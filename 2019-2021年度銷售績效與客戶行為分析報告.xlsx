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25cf0dbcc05303/桌面/"/>
    </mc:Choice>
  </mc:AlternateContent>
  <xr:revisionPtr revIDLastSave="835" documentId="8_{7E61110C-6638-418A-86CB-2022DF8CEF76}" xr6:coauthVersionLast="47" xr6:coauthVersionMax="47" xr10:uidLastSave="{EFE1A8CD-A877-4611-ABF3-BCA397837D52}"/>
  <bookViews>
    <workbookView xWindow="-120" yWindow="-120" windowWidth="29040" windowHeight="15840" tabRatio="675" activeTab="5" xr2:uid="{60AD449C-7DC2-4A45-B3D0-A35EB491C602}"/>
  </bookViews>
  <sheets>
    <sheet name="首頁與導覽" sheetId="4" r:id="rId1"/>
    <sheet name="產品銷售驗證" sheetId="2" r:id="rId2"/>
    <sheet name="核心客戶貢獻度" sheetId="3" r:id="rId3"/>
    <sheet name="2019年度營收指標趨勢" sheetId="1" r:id="rId4"/>
    <sheet name="員工績效考核" sheetId="6" r:id="rId5"/>
    <sheet name="客戶消費行為與趨勢追蹤" sheetId="7" r:id="rId6"/>
    <sheet name="Clients" sheetId="8" state="hidden" r:id="rId7"/>
    <sheet name="Employees" sheetId="9" state="hidden" r:id="rId8"/>
    <sheet name="Products" sheetId="10" state="hidden" r:id="rId9"/>
    <sheet name="Sales" sheetId="11" state="hidden" r:id="rId10"/>
    <sheet name="Salesall" sheetId="12" state="hidden" r:id="rId11"/>
  </sheets>
  <definedNames>
    <definedName name="_xlnm._FilterDatabase" localSheetId="5" hidden="1">客戶消費行為與趨勢追蹤!$B$1:$H$1001</definedName>
    <definedName name="_xlnm._FilterDatabase" localSheetId="0" hidden="1">首頁與導覽!$A$1:$P$1</definedName>
  </definedNames>
  <calcPr calcId="191029"/>
  <pivotCaches>
    <pivotCache cacheId="0" r:id="rId12"/>
    <pivotCache cacheId="1" r:id="rId13"/>
    <pivotCache cacheId="2" r:id="rId14"/>
    <pivotCache cacheId="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 a="1"/>
  <c r="H3" i="7" s="1"/>
  <c r="H4" i="7" a="1"/>
  <c r="H4" i="7" s="1"/>
  <c r="H5" i="7" a="1"/>
  <c r="H5" i="7" s="1"/>
  <c r="H6" i="7" a="1"/>
  <c r="H6" i="7" s="1"/>
  <c r="H7" i="7" a="1"/>
  <c r="H7" i="7" s="1"/>
  <c r="H8" i="7" a="1"/>
  <c r="H8" i="7" s="1"/>
  <c r="H9" i="7" a="1"/>
  <c r="H9" i="7" s="1"/>
  <c r="H10" i="7" a="1"/>
  <c r="H10" i="7" s="1"/>
  <c r="H11" i="7" a="1"/>
  <c r="H11" i="7" s="1"/>
  <c r="H12" i="7" a="1"/>
  <c r="H12" i="7" s="1"/>
  <c r="H13" i="7" a="1"/>
  <c r="H13" i="7" s="1"/>
  <c r="H14" i="7" a="1"/>
  <c r="H14" i="7" s="1"/>
  <c r="H15" i="7" a="1"/>
  <c r="H15" i="7" s="1"/>
  <c r="H16" i="7" a="1"/>
  <c r="H16" i="7" s="1"/>
  <c r="H17" i="7" a="1"/>
  <c r="H17" i="7" s="1"/>
  <c r="H18" i="7" a="1"/>
  <c r="H18" i="7" s="1"/>
  <c r="H19" i="7" a="1"/>
  <c r="H19" i="7" s="1"/>
  <c r="H20" i="7" a="1"/>
  <c r="H20" i="7" s="1"/>
  <c r="H21" i="7" a="1"/>
  <c r="H21" i="7" s="1"/>
  <c r="H22" i="7" a="1"/>
  <c r="H22" i="7" s="1"/>
  <c r="H23" i="7" a="1"/>
  <c r="H23" i="7" s="1"/>
  <c r="H24" i="7" a="1"/>
  <c r="H24" i="7" s="1"/>
  <c r="H25" i="7" a="1"/>
  <c r="H25" i="7" s="1"/>
  <c r="H26" i="7" a="1"/>
  <c r="H26" i="7" s="1"/>
  <c r="H27" i="7" a="1"/>
  <c r="H27" i="7" s="1"/>
  <c r="H28" i="7" a="1"/>
  <c r="H28" i="7" s="1"/>
  <c r="H29" i="7" a="1"/>
  <c r="H29" i="7" s="1"/>
  <c r="H30" i="7" a="1"/>
  <c r="H30" i="7" s="1"/>
  <c r="H31" i="7" a="1"/>
  <c r="H31" i="7" s="1"/>
  <c r="H32" i="7" a="1"/>
  <c r="H32" i="7" s="1"/>
  <c r="H33" i="7" a="1"/>
  <c r="H33" i="7" s="1"/>
  <c r="H34" i="7" a="1"/>
  <c r="H34" i="7" s="1"/>
  <c r="H35" i="7" a="1"/>
  <c r="H35" i="7" s="1"/>
  <c r="H36" i="7" a="1"/>
  <c r="H36" i="7" s="1"/>
  <c r="H37" i="7" a="1"/>
  <c r="H37" i="7" s="1"/>
  <c r="H38" i="7" a="1"/>
  <c r="H38" i="7" s="1"/>
  <c r="H39" i="7" a="1"/>
  <c r="H39" i="7" s="1"/>
  <c r="H40" i="7" a="1"/>
  <c r="H40" i="7" s="1"/>
  <c r="H41" i="7" a="1"/>
  <c r="H41" i="7" s="1"/>
  <c r="H42" i="7" a="1"/>
  <c r="H42" i="7" s="1"/>
  <c r="H43" i="7" a="1"/>
  <c r="H43" i="7" s="1"/>
  <c r="H44" i="7" a="1"/>
  <c r="H44" i="7" s="1"/>
  <c r="H45" i="7" a="1"/>
  <c r="H45" i="7" s="1"/>
  <c r="H46" i="7" a="1"/>
  <c r="H46" i="7" s="1"/>
  <c r="H47" i="7" a="1"/>
  <c r="H47" i="7" s="1"/>
  <c r="H48" i="7" a="1"/>
  <c r="H48" i="7" s="1"/>
  <c r="H49" i="7" a="1"/>
  <c r="H49" i="7" s="1"/>
  <c r="H50" i="7" a="1"/>
  <c r="H50" i="7" s="1"/>
  <c r="H51" i="7" a="1"/>
  <c r="H51" i="7" s="1"/>
  <c r="H52" i="7" a="1"/>
  <c r="H52" i="7" s="1"/>
  <c r="H53" i="7" a="1"/>
  <c r="H53" i="7" s="1"/>
  <c r="H54" i="7" a="1"/>
  <c r="H54" i="7" s="1"/>
  <c r="H55" i="7" a="1"/>
  <c r="H55" i="7" s="1"/>
  <c r="H56" i="7" a="1"/>
  <c r="H56" i="7" s="1"/>
  <c r="H57" i="7" a="1"/>
  <c r="H57" i="7" s="1"/>
  <c r="H58" i="7" a="1"/>
  <c r="H58" i="7" s="1"/>
  <c r="H59" i="7" a="1"/>
  <c r="H59" i="7" s="1"/>
  <c r="H60" i="7" a="1"/>
  <c r="H60" i="7" s="1"/>
  <c r="H61" i="7" a="1"/>
  <c r="H61" i="7" s="1"/>
  <c r="H62" i="7" a="1"/>
  <c r="H62" i="7" s="1"/>
  <c r="H63" i="7" a="1"/>
  <c r="H63" i="7" s="1"/>
  <c r="H64" i="7" a="1"/>
  <c r="H64" i="7" s="1"/>
  <c r="H65" i="7" a="1"/>
  <c r="H65" i="7" s="1"/>
  <c r="H66" i="7" a="1"/>
  <c r="H66" i="7" s="1"/>
  <c r="H67" i="7" a="1"/>
  <c r="H67" i="7" s="1"/>
  <c r="H68" i="7" a="1"/>
  <c r="H68" i="7" s="1"/>
  <c r="H69" i="7" a="1"/>
  <c r="H69" i="7" s="1"/>
  <c r="H70" i="7" a="1"/>
  <c r="H70" i="7" s="1"/>
  <c r="H71" i="7" a="1"/>
  <c r="H71" i="7" s="1"/>
  <c r="H72" i="7" a="1"/>
  <c r="H72" i="7" s="1"/>
  <c r="H73" i="7" a="1"/>
  <c r="H73" i="7" s="1"/>
  <c r="H74" i="7" a="1"/>
  <c r="H74" i="7" s="1"/>
  <c r="H75" i="7" a="1"/>
  <c r="H75" i="7" s="1"/>
  <c r="H76" i="7" a="1"/>
  <c r="H76" i="7" s="1"/>
  <c r="H77" i="7" a="1"/>
  <c r="H77" i="7" s="1"/>
  <c r="H78" i="7" a="1"/>
  <c r="H78" i="7" s="1"/>
  <c r="H79" i="7" a="1"/>
  <c r="H79" i="7" s="1"/>
  <c r="H80" i="7" a="1"/>
  <c r="H80" i="7" s="1"/>
  <c r="H81" i="7" a="1"/>
  <c r="H81" i="7" s="1"/>
  <c r="H82" i="7" a="1"/>
  <c r="H82" i="7" s="1"/>
  <c r="H83" i="7" a="1"/>
  <c r="H83" i="7" s="1"/>
  <c r="H84" i="7" a="1"/>
  <c r="H84" i="7" s="1"/>
  <c r="H85" i="7" a="1"/>
  <c r="H85" i="7" s="1"/>
  <c r="H86" i="7" a="1"/>
  <c r="H86" i="7" s="1"/>
  <c r="H87" i="7" a="1"/>
  <c r="H87" i="7" s="1"/>
  <c r="H88" i="7" a="1"/>
  <c r="H88" i="7" s="1"/>
  <c r="H89" i="7" a="1"/>
  <c r="H89" i="7" s="1"/>
  <c r="H90" i="7" a="1"/>
  <c r="H90" i="7" s="1"/>
  <c r="H91" i="7" a="1"/>
  <c r="H91" i="7" s="1"/>
  <c r="H92" i="7" a="1"/>
  <c r="H92" i="7" s="1"/>
  <c r="H93" i="7" a="1"/>
  <c r="H93" i="7" s="1"/>
  <c r="H94" i="7" a="1"/>
  <c r="H94" i="7" s="1"/>
  <c r="H95" i="7" a="1"/>
  <c r="H95" i="7" s="1"/>
  <c r="H96" i="7" a="1"/>
  <c r="H96" i="7" s="1"/>
  <c r="H97" i="7" a="1"/>
  <c r="H97" i="7" s="1"/>
  <c r="H98" i="7" a="1"/>
  <c r="H98" i="7" s="1"/>
  <c r="H99" i="7" a="1"/>
  <c r="H99" i="7" s="1"/>
  <c r="H100" i="7" a="1"/>
  <c r="H100" i="7" s="1"/>
  <c r="H101" i="7" a="1"/>
  <c r="H101" i="7" s="1"/>
  <c r="H102" i="7" a="1"/>
  <c r="H102" i="7" s="1"/>
  <c r="H103" i="7" a="1"/>
  <c r="H103" i="7" s="1"/>
  <c r="H104" i="7" a="1"/>
  <c r="H104" i="7" s="1"/>
  <c r="H105" i="7" a="1"/>
  <c r="H105" i="7" s="1"/>
  <c r="H106" i="7" a="1"/>
  <c r="H106" i="7" s="1"/>
  <c r="H107" i="7" a="1"/>
  <c r="H107" i="7" s="1"/>
  <c r="H108" i="7" a="1"/>
  <c r="H108" i="7" s="1"/>
  <c r="H109" i="7" a="1"/>
  <c r="H109" i="7" s="1"/>
  <c r="H110" i="7" a="1"/>
  <c r="H110" i="7" s="1"/>
  <c r="H111" i="7" a="1"/>
  <c r="H111" i="7" s="1"/>
  <c r="H112" i="7" a="1"/>
  <c r="H112" i="7" s="1"/>
  <c r="H113" i="7" a="1"/>
  <c r="H113" i="7" s="1"/>
  <c r="H114" i="7" a="1"/>
  <c r="H114" i="7" s="1"/>
  <c r="H115" i="7" a="1"/>
  <c r="H115" i="7" s="1"/>
  <c r="H116" i="7" a="1"/>
  <c r="H116" i="7" s="1"/>
  <c r="H117" i="7" a="1"/>
  <c r="H117" i="7" s="1"/>
  <c r="H118" i="7" a="1"/>
  <c r="H118" i="7" s="1"/>
  <c r="H119" i="7" a="1"/>
  <c r="H119" i="7" s="1"/>
  <c r="H120" i="7" a="1"/>
  <c r="H120" i="7" s="1"/>
  <c r="H121" i="7" a="1"/>
  <c r="H121" i="7" s="1"/>
  <c r="H122" i="7" a="1"/>
  <c r="H122" i="7" s="1"/>
  <c r="H123" i="7" a="1"/>
  <c r="H123" i="7" s="1"/>
  <c r="H124" i="7" a="1"/>
  <c r="H124" i="7" s="1"/>
  <c r="H125" i="7" a="1"/>
  <c r="H125" i="7" s="1"/>
  <c r="H126" i="7" a="1"/>
  <c r="H126" i="7" s="1"/>
  <c r="H127" i="7" a="1"/>
  <c r="H127" i="7" s="1"/>
  <c r="H128" i="7" a="1"/>
  <c r="H128" i="7" s="1"/>
  <c r="H129" i="7" a="1"/>
  <c r="H129" i="7" s="1"/>
  <c r="H130" i="7" a="1"/>
  <c r="H130" i="7" s="1"/>
  <c r="H131" i="7" a="1"/>
  <c r="H131" i="7" s="1"/>
  <c r="H132" i="7" a="1"/>
  <c r="H132" i="7" s="1"/>
  <c r="H133" i="7" a="1"/>
  <c r="H133" i="7" s="1"/>
  <c r="H134" i="7" a="1"/>
  <c r="H134" i="7" s="1"/>
  <c r="H135" i="7" a="1"/>
  <c r="H135" i="7" s="1"/>
  <c r="H136" i="7" a="1"/>
  <c r="H136" i="7" s="1"/>
  <c r="H137" i="7" a="1"/>
  <c r="H137" i="7" s="1"/>
  <c r="H138" i="7" a="1"/>
  <c r="H138" i="7" s="1"/>
  <c r="H139" i="7" a="1"/>
  <c r="H139" i="7" s="1"/>
  <c r="H140" i="7" a="1"/>
  <c r="H140" i="7" s="1"/>
  <c r="H141" i="7" a="1"/>
  <c r="H141" i="7" s="1"/>
  <c r="H142" i="7" a="1"/>
  <c r="H142" i="7" s="1"/>
  <c r="H143" i="7" a="1"/>
  <c r="H143" i="7" s="1"/>
  <c r="H144" i="7" a="1"/>
  <c r="H144" i="7" s="1"/>
  <c r="H145" i="7" a="1"/>
  <c r="H145" i="7" s="1"/>
  <c r="H146" i="7" a="1"/>
  <c r="H146" i="7" s="1"/>
  <c r="H147" i="7" a="1"/>
  <c r="H147" i="7" s="1"/>
  <c r="H148" i="7" a="1"/>
  <c r="H148" i="7" s="1"/>
  <c r="H149" i="7" a="1"/>
  <c r="H149" i="7" s="1"/>
  <c r="H150" i="7" a="1"/>
  <c r="H150" i="7" s="1"/>
  <c r="H151" i="7" a="1"/>
  <c r="H151" i="7" s="1"/>
  <c r="H152" i="7" a="1"/>
  <c r="H152" i="7" s="1"/>
  <c r="H153" i="7" a="1"/>
  <c r="H153" i="7" s="1"/>
  <c r="H154" i="7" a="1"/>
  <c r="H154" i="7" s="1"/>
  <c r="H155" i="7" a="1"/>
  <c r="H155" i="7" s="1"/>
  <c r="H156" i="7" a="1"/>
  <c r="H156" i="7" s="1"/>
  <c r="H157" i="7" a="1"/>
  <c r="H157" i="7" s="1"/>
  <c r="H158" i="7" a="1"/>
  <c r="H158" i="7" s="1"/>
  <c r="H159" i="7" a="1"/>
  <c r="H159" i="7" s="1"/>
  <c r="H160" i="7" a="1"/>
  <c r="H160" i="7" s="1"/>
  <c r="H161" i="7" a="1"/>
  <c r="H161" i="7" s="1"/>
  <c r="H162" i="7" a="1"/>
  <c r="H162" i="7" s="1"/>
  <c r="H163" i="7" a="1"/>
  <c r="H163" i="7" s="1"/>
  <c r="H164" i="7" a="1"/>
  <c r="H164" i="7" s="1"/>
  <c r="H165" i="7" a="1"/>
  <c r="H165" i="7" s="1"/>
  <c r="H166" i="7" a="1"/>
  <c r="H166" i="7" s="1"/>
  <c r="H167" i="7" a="1"/>
  <c r="H167" i="7" s="1"/>
  <c r="H168" i="7" a="1"/>
  <c r="H168" i="7" s="1"/>
  <c r="H169" i="7" a="1"/>
  <c r="H169" i="7" s="1"/>
  <c r="H170" i="7" a="1"/>
  <c r="H170" i="7" s="1"/>
  <c r="H171" i="7" a="1"/>
  <c r="H171" i="7" s="1"/>
  <c r="H172" i="7" a="1"/>
  <c r="H172" i="7" s="1"/>
  <c r="H173" i="7" a="1"/>
  <c r="H173" i="7" s="1"/>
  <c r="H174" i="7" a="1"/>
  <c r="H174" i="7" s="1"/>
  <c r="H175" i="7" a="1"/>
  <c r="H175" i="7" s="1"/>
  <c r="H176" i="7" a="1"/>
  <c r="H176" i="7" s="1"/>
  <c r="H177" i="7" a="1"/>
  <c r="H177" i="7" s="1"/>
  <c r="H178" i="7" a="1"/>
  <c r="H178" i="7" s="1"/>
  <c r="H179" i="7" a="1"/>
  <c r="H179" i="7" s="1"/>
  <c r="H180" i="7" a="1"/>
  <c r="H180" i="7" s="1"/>
  <c r="H181" i="7" a="1"/>
  <c r="H181" i="7" s="1"/>
  <c r="H182" i="7" a="1"/>
  <c r="H182" i="7" s="1"/>
  <c r="H183" i="7" a="1"/>
  <c r="H183" i="7" s="1"/>
  <c r="H184" i="7" a="1"/>
  <c r="H184" i="7" s="1"/>
  <c r="H185" i="7" a="1"/>
  <c r="H185" i="7" s="1"/>
  <c r="H186" i="7" a="1"/>
  <c r="H186" i="7" s="1"/>
  <c r="H187" i="7" a="1"/>
  <c r="H187" i="7" s="1"/>
  <c r="H188" i="7" a="1"/>
  <c r="H188" i="7" s="1"/>
  <c r="H189" i="7" a="1"/>
  <c r="H189" i="7" s="1"/>
  <c r="H190" i="7" a="1"/>
  <c r="H190" i="7" s="1"/>
  <c r="H191" i="7" a="1"/>
  <c r="H191" i="7" s="1"/>
  <c r="H192" i="7" a="1"/>
  <c r="H192" i="7" s="1"/>
  <c r="H193" i="7" a="1"/>
  <c r="H193" i="7" s="1"/>
  <c r="H194" i="7" a="1"/>
  <c r="H194" i="7" s="1"/>
  <c r="H195" i="7" a="1"/>
  <c r="H195" i="7" s="1"/>
  <c r="H196" i="7" a="1"/>
  <c r="H196" i="7" s="1"/>
  <c r="H197" i="7" a="1"/>
  <c r="H197" i="7" s="1"/>
  <c r="H198" i="7" a="1"/>
  <c r="H198" i="7" s="1"/>
  <c r="H199" i="7" a="1"/>
  <c r="H199" i="7" s="1"/>
  <c r="H200" i="7" a="1"/>
  <c r="H200" i="7" s="1"/>
  <c r="H201" i="7" a="1"/>
  <c r="H201" i="7" s="1"/>
  <c r="H202" i="7" a="1"/>
  <c r="H202" i="7" s="1"/>
  <c r="H203" i="7" a="1"/>
  <c r="H203" i="7" s="1"/>
  <c r="H204" i="7" a="1"/>
  <c r="H204" i="7" s="1"/>
  <c r="H205" i="7" a="1"/>
  <c r="H205" i="7" s="1"/>
  <c r="H206" i="7" a="1"/>
  <c r="H206" i="7" s="1"/>
  <c r="H207" i="7" a="1"/>
  <c r="H207" i="7" s="1"/>
  <c r="H208" i="7" a="1"/>
  <c r="H208" i="7" s="1"/>
  <c r="H209" i="7" a="1"/>
  <c r="H209" i="7" s="1"/>
  <c r="H210" i="7" a="1"/>
  <c r="H210" i="7" s="1"/>
  <c r="H211" i="7" a="1"/>
  <c r="H211" i="7" s="1"/>
  <c r="H212" i="7" a="1"/>
  <c r="H212" i="7" s="1"/>
  <c r="H213" i="7" a="1"/>
  <c r="H213" i="7" s="1"/>
  <c r="H214" i="7" a="1"/>
  <c r="H214" i="7" s="1"/>
  <c r="H215" i="7" a="1"/>
  <c r="H215" i="7" s="1"/>
  <c r="H216" i="7" a="1"/>
  <c r="H216" i="7" s="1"/>
  <c r="H217" i="7" a="1"/>
  <c r="H217" i="7" s="1"/>
  <c r="H218" i="7" a="1"/>
  <c r="H218" i="7" s="1"/>
  <c r="H219" i="7" a="1"/>
  <c r="H219" i="7" s="1"/>
  <c r="H220" i="7" a="1"/>
  <c r="H220" i="7" s="1"/>
  <c r="H221" i="7" a="1"/>
  <c r="H221" i="7" s="1"/>
  <c r="H222" i="7" a="1"/>
  <c r="H222" i="7" s="1"/>
  <c r="H223" i="7" a="1"/>
  <c r="H223" i="7" s="1"/>
  <c r="H224" i="7" a="1"/>
  <c r="H224" i="7" s="1"/>
  <c r="H225" i="7" a="1"/>
  <c r="H225" i="7" s="1"/>
  <c r="H226" i="7" a="1"/>
  <c r="H226" i="7" s="1"/>
  <c r="H227" i="7" a="1"/>
  <c r="H227" i="7" s="1"/>
  <c r="H228" i="7" a="1"/>
  <c r="H228" i="7" s="1"/>
  <c r="H229" i="7" a="1"/>
  <c r="H229" i="7" s="1"/>
  <c r="H230" i="7" a="1"/>
  <c r="H230" i="7" s="1"/>
  <c r="H231" i="7" a="1"/>
  <c r="H231" i="7" s="1"/>
  <c r="H232" i="7" a="1"/>
  <c r="H232" i="7" s="1"/>
  <c r="H233" i="7" a="1"/>
  <c r="H233" i="7" s="1"/>
  <c r="H234" i="7" a="1"/>
  <c r="H234" i="7" s="1"/>
  <c r="H235" i="7" a="1"/>
  <c r="H235" i="7" s="1"/>
  <c r="H236" i="7" a="1"/>
  <c r="H236" i="7" s="1"/>
  <c r="H237" i="7" a="1"/>
  <c r="H237" i="7" s="1"/>
  <c r="H238" i="7" a="1"/>
  <c r="H238" i="7" s="1"/>
  <c r="H239" i="7" a="1"/>
  <c r="H239" i="7" s="1"/>
  <c r="H240" i="7" a="1"/>
  <c r="H240" i="7" s="1"/>
  <c r="H241" i="7" a="1"/>
  <c r="H241" i="7" s="1"/>
  <c r="H242" i="7" a="1"/>
  <c r="H242" i="7" s="1"/>
  <c r="H243" i="7" a="1"/>
  <c r="H243" i="7" s="1"/>
  <c r="H244" i="7" a="1"/>
  <c r="H244" i="7" s="1"/>
  <c r="H245" i="7" a="1"/>
  <c r="H245" i="7" s="1"/>
  <c r="H246" i="7" a="1"/>
  <c r="H246" i="7" s="1"/>
  <c r="H247" i="7" a="1"/>
  <c r="H247" i="7" s="1"/>
  <c r="H248" i="7" a="1"/>
  <c r="H248" i="7" s="1"/>
  <c r="H249" i="7" a="1"/>
  <c r="H249" i="7" s="1"/>
  <c r="H250" i="7" a="1"/>
  <c r="H250" i="7" s="1"/>
  <c r="H251" i="7" a="1"/>
  <c r="H251" i="7" s="1"/>
  <c r="H252" i="7" a="1"/>
  <c r="H252" i="7" s="1"/>
  <c r="H253" i="7" a="1"/>
  <c r="H253" i="7" s="1"/>
  <c r="H254" i="7" a="1"/>
  <c r="H254" i="7" s="1"/>
  <c r="H255" i="7" a="1"/>
  <c r="H255" i="7" s="1"/>
  <c r="H256" i="7" a="1"/>
  <c r="H256" i="7" s="1"/>
  <c r="H257" i="7" a="1"/>
  <c r="H257" i="7" s="1"/>
  <c r="H258" i="7" a="1"/>
  <c r="H258" i="7" s="1"/>
  <c r="H259" i="7" a="1"/>
  <c r="H259" i="7" s="1"/>
  <c r="H260" i="7" a="1"/>
  <c r="H260" i="7" s="1"/>
  <c r="H261" i="7" a="1"/>
  <c r="H261" i="7" s="1"/>
  <c r="H262" i="7" a="1"/>
  <c r="H262" i="7" s="1"/>
  <c r="H263" i="7" a="1"/>
  <c r="H263" i="7" s="1"/>
  <c r="H264" i="7" a="1"/>
  <c r="H264" i="7" s="1"/>
  <c r="H265" i="7" a="1"/>
  <c r="H265" i="7" s="1"/>
  <c r="H266" i="7" a="1"/>
  <c r="H266" i="7" s="1"/>
  <c r="H267" i="7" a="1"/>
  <c r="H267" i="7" s="1"/>
  <c r="H268" i="7" a="1"/>
  <c r="H268" i="7" s="1"/>
  <c r="H269" i="7" a="1"/>
  <c r="H269" i="7" s="1"/>
  <c r="H270" i="7" a="1"/>
  <c r="H270" i="7" s="1"/>
  <c r="H271" i="7" a="1"/>
  <c r="H271" i="7" s="1"/>
  <c r="H272" i="7" a="1"/>
  <c r="H272" i="7" s="1"/>
  <c r="H273" i="7" a="1"/>
  <c r="H273" i="7" s="1"/>
  <c r="H274" i="7" a="1"/>
  <c r="H274" i="7" s="1"/>
  <c r="H275" i="7" a="1"/>
  <c r="H275" i="7" s="1"/>
  <c r="H276" i="7" a="1"/>
  <c r="H276" i="7" s="1"/>
  <c r="H277" i="7" a="1"/>
  <c r="H277" i="7" s="1"/>
  <c r="H278" i="7" a="1"/>
  <c r="H278" i="7" s="1"/>
  <c r="H279" i="7" a="1"/>
  <c r="H279" i="7" s="1"/>
  <c r="H280" i="7" a="1"/>
  <c r="H280" i="7" s="1"/>
  <c r="H281" i="7" a="1"/>
  <c r="H281" i="7" s="1"/>
  <c r="H282" i="7" a="1"/>
  <c r="H282" i="7" s="1"/>
  <c r="H283" i="7" a="1"/>
  <c r="H283" i="7" s="1"/>
  <c r="H284" i="7" a="1"/>
  <c r="H284" i="7" s="1"/>
  <c r="H285" i="7" a="1"/>
  <c r="H285" i="7" s="1"/>
  <c r="H286" i="7" a="1"/>
  <c r="H286" i="7" s="1"/>
  <c r="H287" i="7" a="1"/>
  <c r="H287" i="7" s="1"/>
  <c r="H288" i="7" a="1"/>
  <c r="H288" i="7" s="1"/>
  <c r="H289" i="7" a="1"/>
  <c r="H289" i="7" s="1"/>
  <c r="H290" i="7" a="1"/>
  <c r="H290" i="7" s="1"/>
  <c r="H291" i="7" a="1"/>
  <c r="H291" i="7" s="1"/>
  <c r="H292" i="7" a="1"/>
  <c r="H292" i="7" s="1"/>
  <c r="H293" i="7" a="1"/>
  <c r="H293" i="7" s="1"/>
  <c r="H294" i="7" a="1"/>
  <c r="H294" i="7" s="1"/>
  <c r="H295" i="7" a="1"/>
  <c r="H295" i="7" s="1"/>
  <c r="H296" i="7" a="1"/>
  <c r="H296" i="7" s="1"/>
  <c r="H297" i="7" a="1"/>
  <c r="H297" i="7" s="1"/>
  <c r="H298" i="7" a="1"/>
  <c r="H298" i="7" s="1"/>
  <c r="H299" i="7" a="1"/>
  <c r="H299" i="7" s="1"/>
  <c r="H300" i="7" a="1"/>
  <c r="H300" i="7" s="1"/>
  <c r="H301" i="7" a="1"/>
  <c r="H301" i="7" s="1"/>
  <c r="H302" i="7" a="1"/>
  <c r="H302" i="7" s="1"/>
  <c r="H303" i="7" a="1"/>
  <c r="H303" i="7" s="1"/>
  <c r="H304" i="7" a="1"/>
  <c r="H304" i="7" s="1"/>
  <c r="H305" i="7" a="1"/>
  <c r="H305" i="7" s="1"/>
  <c r="H306" i="7" a="1"/>
  <c r="H306" i="7" s="1"/>
  <c r="H307" i="7" a="1"/>
  <c r="H307" i="7" s="1"/>
  <c r="H308" i="7" a="1"/>
  <c r="H308" i="7" s="1"/>
  <c r="H309" i="7" a="1"/>
  <c r="H309" i="7" s="1"/>
  <c r="H310" i="7" a="1"/>
  <c r="H310" i="7" s="1"/>
  <c r="H311" i="7" a="1"/>
  <c r="H311" i="7" s="1"/>
  <c r="H312" i="7" a="1"/>
  <c r="H312" i="7" s="1"/>
  <c r="H313" i="7" a="1"/>
  <c r="H313" i="7" s="1"/>
  <c r="H314" i="7" a="1"/>
  <c r="H314" i="7" s="1"/>
  <c r="H315" i="7" a="1"/>
  <c r="H315" i="7" s="1"/>
  <c r="H316" i="7" a="1"/>
  <c r="H316" i="7" s="1"/>
  <c r="H317" i="7" a="1"/>
  <c r="H317" i="7" s="1"/>
  <c r="H318" i="7" a="1"/>
  <c r="H318" i="7" s="1"/>
  <c r="H319" i="7" a="1"/>
  <c r="H319" i="7" s="1"/>
  <c r="H320" i="7" a="1"/>
  <c r="H320" i="7" s="1"/>
  <c r="H321" i="7" a="1"/>
  <c r="H321" i="7" s="1"/>
  <c r="H322" i="7" a="1"/>
  <c r="H322" i="7" s="1"/>
  <c r="H323" i="7" a="1"/>
  <c r="H323" i="7" s="1"/>
  <c r="H324" i="7" a="1"/>
  <c r="H324" i="7" s="1"/>
  <c r="H325" i="7" a="1"/>
  <c r="H325" i="7" s="1"/>
  <c r="H326" i="7" a="1"/>
  <c r="H326" i="7" s="1"/>
  <c r="H327" i="7" a="1"/>
  <c r="H327" i="7" s="1"/>
  <c r="H328" i="7" a="1"/>
  <c r="H328" i="7" s="1"/>
  <c r="H329" i="7" a="1"/>
  <c r="H329" i="7" s="1"/>
  <c r="H330" i="7" a="1"/>
  <c r="H330" i="7" s="1"/>
  <c r="H331" i="7" a="1"/>
  <c r="H331" i="7" s="1"/>
  <c r="H332" i="7" a="1"/>
  <c r="H332" i="7" s="1"/>
  <c r="H333" i="7" a="1"/>
  <c r="H333" i="7" s="1"/>
  <c r="H334" i="7" a="1"/>
  <c r="H334" i="7" s="1"/>
  <c r="H335" i="7" a="1"/>
  <c r="H335" i="7" s="1"/>
  <c r="H336" i="7" a="1"/>
  <c r="H336" i="7" s="1"/>
  <c r="H337" i="7" a="1"/>
  <c r="H337" i="7" s="1"/>
  <c r="H338" i="7" a="1"/>
  <c r="H338" i="7" s="1"/>
  <c r="H339" i="7" a="1"/>
  <c r="H339" i="7" s="1"/>
  <c r="H340" i="7" a="1"/>
  <c r="H340" i="7" s="1"/>
  <c r="H341" i="7" a="1"/>
  <c r="H341" i="7" s="1"/>
  <c r="H342" i="7" a="1"/>
  <c r="H342" i="7" s="1"/>
  <c r="H343" i="7" a="1"/>
  <c r="H343" i="7" s="1"/>
  <c r="H344" i="7" a="1"/>
  <c r="H344" i="7" s="1"/>
  <c r="H345" i="7" a="1"/>
  <c r="H345" i="7" s="1"/>
  <c r="H346" i="7" a="1"/>
  <c r="H346" i="7" s="1"/>
  <c r="H347" i="7" a="1"/>
  <c r="H347" i="7" s="1"/>
  <c r="H348" i="7" a="1"/>
  <c r="H348" i="7" s="1"/>
  <c r="H349" i="7" a="1"/>
  <c r="H349" i="7" s="1"/>
  <c r="H350" i="7" a="1"/>
  <c r="H350" i="7" s="1"/>
  <c r="H351" i="7" a="1"/>
  <c r="H351" i="7" s="1"/>
  <c r="H352" i="7" a="1"/>
  <c r="H352" i="7" s="1"/>
  <c r="H353" i="7" a="1"/>
  <c r="H353" i="7" s="1"/>
  <c r="H354" i="7" a="1"/>
  <c r="H354" i="7" s="1"/>
  <c r="H355" i="7" a="1"/>
  <c r="H355" i="7" s="1"/>
  <c r="H356" i="7" a="1"/>
  <c r="H356" i="7" s="1"/>
  <c r="H357" i="7" a="1"/>
  <c r="H357" i="7" s="1"/>
  <c r="H358" i="7" a="1"/>
  <c r="H358" i="7" s="1"/>
  <c r="H359" i="7" a="1"/>
  <c r="H359" i="7" s="1"/>
  <c r="H360" i="7" a="1"/>
  <c r="H360" i="7" s="1"/>
  <c r="H361" i="7" a="1"/>
  <c r="H361" i="7" s="1"/>
  <c r="H362" i="7" a="1"/>
  <c r="H362" i="7" s="1"/>
  <c r="H363" i="7" a="1"/>
  <c r="H363" i="7" s="1"/>
  <c r="H364" i="7" a="1"/>
  <c r="H364" i="7" s="1"/>
  <c r="H365" i="7" a="1"/>
  <c r="H365" i="7" s="1"/>
  <c r="H366" i="7" a="1"/>
  <c r="H366" i="7" s="1"/>
  <c r="H367" i="7" a="1"/>
  <c r="H367" i="7" s="1"/>
  <c r="H368" i="7" a="1"/>
  <c r="H368" i="7" s="1"/>
  <c r="H369" i="7" a="1"/>
  <c r="H369" i="7" s="1"/>
  <c r="H370" i="7" a="1"/>
  <c r="H370" i="7" s="1"/>
  <c r="H371" i="7" a="1"/>
  <c r="H371" i="7" s="1"/>
  <c r="H372" i="7" a="1"/>
  <c r="H372" i="7" s="1"/>
  <c r="H373" i="7" a="1"/>
  <c r="H373" i="7" s="1"/>
  <c r="H374" i="7" a="1"/>
  <c r="H374" i="7" s="1"/>
  <c r="H375" i="7" a="1"/>
  <c r="H375" i="7" s="1"/>
  <c r="H376" i="7" a="1"/>
  <c r="H376" i="7" s="1"/>
  <c r="H377" i="7" a="1"/>
  <c r="H377" i="7" s="1"/>
  <c r="H378" i="7" a="1"/>
  <c r="H378" i="7" s="1"/>
  <c r="H379" i="7" a="1"/>
  <c r="H379" i="7" s="1"/>
  <c r="H380" i="7" a="1"/>
  <c r="H380" i="7" s="1"/>
  <c r="H381" i="7" a="1"/>
  <c r="H381" i="7" s="1"/>
  <c r="H382" i="7" a="1"/>
  <c r="H382" i="7" s="1"/>
  <c r="H383" i="7" a="1"/>
  <c r="H383" i="7" s="1"/>
  <c r="H384" i="7" a="1"/>
  <c r="H384" i="7" s="1"/>
  <c r="H385" i="7" a="1"/>
  <c r="H385" i="7" s="1"/>
  <c r="H386" i="7" a="1"/>
  <c r="H386" i="7" s="1"/>
  <c r="H387" i="7" a="1"/>
  <c r="H387" i="7" s="1"/>
  <c r="H388" i="7" a="1"/>
  <c r="H388" i="7" s="1"/>
  <c r="H389" i="7" a="1"/>
  <c r="H389" i="7" s="1"/>
  <c r="H390" i="7" a="1"/>
  <c r="H390" i="7" s="1"/>
  <c r="H391" i="7" a="1"/>
  <c r="H391" i="7" s="1"/>
  <c r="H392" i="7" a="1"/>
  <c r="H392" i="7" s="1"/>
  <c r="H393" i="7" a="1"/>
  <c r="H393" i="7" s="1"/>
  <c r="H394" i="7" a="1"/>
  <c r="H394" i="7" s="1"/>
  <c r="H395" i="7" a="1"/>
  <c r="H395" i="7" s="1"/>
  <c r="H396" i="7" a="1"/>
  <c r="H396" i="7" s="1"/>
  <c r="H397" i="7" a="1"/>
  <c r="H397" i="7" s="1"/>
  <c r="H398" i="7" a="1"/>
  <c r="H398" i="7" s="1"/>
  <c r="H399" i="7" a="1"/>
  <c r="H399" i="7" s="1"/>
  <c r="H400" i="7" a="1"/>
  <c r="H400" i="7" s="1"/>
  <c r="H401" i="7" a="1"/>
  <c r="H401" i="7" s="1"/>
  <c r="H402" i="7" a="1"/>
  <c r="H402" i="7" s="1"/>
  <c r="H403" i="7" a="1"/>
  <c r="H403" i="7" s="1"/>
  <c r="H404" i="7" a="1"/>
  <c r="H404" i="7" s="1"/>
  <c r="H405" i="7" a="1"/>
  <c r="H405" i="7" s="1"/>
  <c r="H406" i="7" a="1"/>
  <c r="H406" i="7" s="1"/>
  <c r="H407" i="7" a="1"/>
  <c r="H407" i="7" s="1"/>
  <c r="H408" i="7" a="1"/>
  <c r="H408" i="7" s="1"/>
  <c r="H409" i="7" a="1"/>
  <c r="H409" i="7" s="1"/>
  <c r="H410" i="7" a="1"/>
  <c r="H410" i="7" s="1"/>
  <c r="H411" i="7" a="1"/>
  <c r="H411" i="7" s="1"/>
  <c r="H412" i="7" a="1"/>
  <c r="H412" i="7" s="1"/>
  <c r="H413" i="7" a="1"/>
  <c r="H413" i="7" s="1"/>
  <c r="H414" i="7" a="1"/>
  <c r="H414" i="7" s="1"/>
  <c r="H415" i="7" a="1"/>
  <c r="H415" i="7" s="1"/>
  <c r="H416" i="7" a="1"/>
  <c r="H416" i="7" s="1"/>
  <c r="H417" i="7" a="1"/>
  <c r="H417" i="7" s="1"/>
  <c r="H418" i="7" a="1"/>
  <c r="H418" i="7" s="1"/>
  <c r="H419" i="7" a="1"/>
  <c r="H419" i="7" s="1"/>
  <c r="H420" i="7" a="1"/>
  <c r="H420" i="7" s="1"/>
  <c r="H421" i="7" a="1"/>
  <c r="H421" i="7" s="1"/>
  <c r="H422" i="7" a="1"/>
  <c r="H422" i="7" s="1"/>
  <c r="H423" i="7" a="1"/>
  <c r="H423" i="7" s="1"/>
  <c r="H424" i="7" a="1"/>
  <c r="H424" i="7" s="1"/>
  <c r="H425" i="7" a="1"/>
  <c r="H425" i="7" s="1"/>
  <c r="H426" i="7" a="1"/>
  <c r="H426" i="7" s="1"/>
  <c r="H427" i="7" a="1"/>
  <c r="H427" i="7" s="1"/>
  <c r="H428" i="7" a="1"/>
  <c r="H428" i="7" s="1"/>
  <c r="H429" i="7" a="1"/>
  <c r="H429" i="7" s="1"/>
  <c r="H430" i="7" a="1"/>
  <c r="H430" i="7" s="1"/>
  <c r="H431" i="7" a="1"/>
  <c r="H431" i="7" s="1"/>
  <c r="H432" i="7" a="1"/>
  <c r="H432" i="7" s="1"/>
  <c r="H433" i="7" a="1"/>
  <c r="H433" i="7" s="1"/>
  <c r="H434" i="7" a="1"/>
  <c r="H434" i="7" s="1"/>
  <c r="H435" i="7" a="1"/>
  <c r="H435" i="7" s="1"/>
  <c r="H436" i="7" a="1"/>
  <c r="H436" i="7" s="1"/>
  <c r="H437" i="7" a="1"/>
  <c r="H437" i="7" s="1"/>
  <c r="H438" i="7" a="1"/>
  <c r="H438" i="7" s="1"/>
  <c r="H439" i="7" a="1"/>
  <c r="H439" i="7" s="1"/>
  <c r="H440" i="7" a="1"/>
  <c r="H440" i="7" s="1"/>
  <c r="H441" i="7" a="1"/>
  <c r="H441" i="7" s="1"/>
  <c r="H442" i="7" a="1"/>
  <c r="H442" i="7" s="1"/>
  <c r="H443" i="7" a="1"/>
  <c r="H443" i="7" s="1"/>
  <c r="H444" i="7" a="1"/>
  <c r="H444" i="7" s="1"/>
  <c r="H445" i="7" a="1"/>
  <c r="H445" i="7" s="1"/>
  <c r="H446" i="7" a="1"/>
  <c r="H446" i="7" s="1"/>
  <c r="H447" i="7" a="1"/>
  <c r="H447" i="7" s="1"/>
  <c r="H448" i="7" a="1"/>
  <c r="H448" i="7" s="1"/>
  <c r="H449" i="7" a="1"/>
  <c r="H449" i="7" s="1"/>
  <c r="H450" i="7" a="1"/>
  <c r="H450" i="7" s="1"/>
  <c r="H451" i="7" a="1"/>
  <c r="H451" i="7" s="1"/>
  <c r="H452" i="7" a="1"/>
  <c r="H452" i="7" s="1"/>
  <c r="H453" i="7" a="1"/>
  <c r="H453" i="7" s="1"/>
  <c r="H454" i="7" a="1"/>
  <c r="H454" i="7" s="1"/>
  <c r="H455" i="7" a="1"/>
  <c r="H455" i="7" s="1"/>
  <c r="H456" i="7" a="1"/>
  <c r="H456" i="7" s="1"/>
  <c r="H457" i="7" a="1"/>
  <c r="H457" i="7" s="1"/>
  <c r="H458" i="7" a="1"/>
  <c r="H458" i="7" s="1"/>
  <c r="H459" i="7" a="1"/>
  <c r="H459" i="7" s="1"/>
  <c r="H460" i="7" a="1"/>
  <c r="H460" i="7" s="1"/>
  <c r="H461" i="7" a="1"/>
  <c r="H461" i="7" s="1"/>
  <c r="H462" i="7" a="1"/>
  <c r="H462" i="7" s="1"/>
  <c r="H463" i="7" a="1"/>
  <c r="H463" i="7" s="1"/>
  <c r="H464" i="7" a="1"/>
  <c r="H464" i="7" s="1"/>
  <c r="H465" i="7" a="1"/>
  <c r="H465" i="7" s="1"/>
  <c r="H466" i="7" a="1"/>
  <c r="H466" i="7" s="1"/>
  <c r="H467" i="7" a="1"/>
  <c r="H467" i="7" s="1"/>
  <c r="H468" i="7" a="1"/>
  <c r="H468" i="7" s="1"/>
  <c r="H469" i="7" a="1"/>
  <c r="H469" i="7" s="1"/>
  <c r="H470" i="7" a="1"/>
  <c r="H470" i="7" s="1"/>
  <c r="H471" i="7" a="1"/>
  <c r="H471" i="7" s="1"/>
  <c r="H472" i="7" a="1"/>
  <c r="H472" i="7" s="1"/>
  <c r="H473" i="7" a="1"/>
  <c r="H473" i="7" s="1"/>
  <c r="H474" i="7" a="1"/>
  <c r="H474" i="7" s="1"/>
  <c r="H475" i="7" a="1"/>
  <c r="H475" i="7" s="1"/>
  <c r="H476" i="7" a="1"/>
  <c r="H476" i="7" s="1"/>
  <c r="H477" i="7" a="1"/>
  <c r="H477" i="7" s="1"/>
  <c r="H478" i="7" a="1"/>
  <c r="H478" i="7" s="1"/>
  <c r="H479" i="7" a="1"/>
  <c r="H479" i="7" s="1"/>
  <c r="H480" i="7" a="1"/>
  <c r="H480" i="7" s="1"/>
  <c r="H481" i="7" a="1"/>
  <c r="H481" i="7" s="1"/>
  <c r="H482" i="7" a="1"/>
  <c r="H482" i="7" s="1"/>
  <c r="H483" i="7" a="1"/>
  <c r="H483" i="7" s="1"/>
  <c r="H484" i="7" a="1"/>
  <c r="H484" i="7" s="1"/>
  <c r="H485" i="7" a="1"/>
  <c r="H485" i="7" s="1"/>
  <c r="H486" i="7" a="1"/>
  <c r="H486" i="7" s="1"/>
  <c r="H487" i="7" a="1"/>
  <c r="H487" i="7" s="1"/>
  <c r="H488" i="7" a="1"/>
  <c r="H488" i="7" s="1"/>
  <c r="H489" i="7" a="1"/>
  <c r="H489" i="7" s="1"/>
  <c r="H490" i="7" a="1"/>
  <c r="H490" i="7" s="1"/>
  <c r="H491" i="7" a="1"/>
  <c r="H491" i="7" s="1"/>
  <c r="H492" i="7" a="1"/>
  <c r="H492" i="7" s="1"/>
  <c r="H493" i="7" a="1"/>
  <c r="H493" i="7" s="1"/>
  <c r="H494" i="7" a="1"/>
  <c r="H494" i="7" s="1"/>
  <c r="H495" i="7" a="1"/>
  <c r="H495" i="7" s="1"/>
  <c r="H496" i="7" a="1"/>
  <c r="H496" i="7" s="1"/>
  <c r="H497" i="7" a="1"/>
  <c r="H497" i="7" s="1"/>
  <c r="H498" i="7" a="1"/>
  <c r="H498" i="7" s="1"/>
  <c r="H499" i="7" a="1"/>
  <c r="H499" i="7" s="1"/>
  <c r="H500" i="7" a="1"/>
  <c r="H500" i="7" s="1"/>
  <c r="H501" i="7" a="1"/>
  <c r="H501" i="7" s="1"/>
  <c r="H502" i="7" a="1"/>
  <c r="H502" i="7" s="1"/>
  <c r="H503" i="7" a="1"/>
  <c r="H503" i="7" s="1"/>
  <c r="H504" i="7" a="1"/>
  <c r="H504" i="7" s="1"/>
  <c r="H505" i="7" a="1"/>
  <c r="H505" i="7" s="1"/>
  <c r="H506" i="7" a="1"/>
  <c r="H506" i="7" s="1"/>
  <c r="H507" i="7" a="1"/>
  <c r="H507" i="7" s="1"/>
  <c r="H508" i="7" a="1"/>
  <c r="H508" i="7" s="1"/>
  <c r="H509" i="7" a="1"/>
  <c r="H509" i="7" s="1"/>
  <c r="H510" i="7" a="1"/>
  <c r="H510" i="7" s="1"/>
  <c r="H511" i="7" a="1"/>
  <c r="H511" i="7" s="1"/>
  <c r="H512" i="7" a="1"/>
  <c r="H512" i="7" s="1"/>
  <c r="H513" i="7" a="1"/>
  <c r="H513" i="7" s="1"/>
  <c r="H514" i="7" a="1"/>
  <c r="H514" i="7" s="1"/>
  <c r="H515" i="7" a="1"/>
  <c r="H515" i="7" s="1"/>
  <c r="H516" i="7" a="1"/>
  <c r="H516" i="7" s="1"/>
  <c r="H517" i="7" a="1"/>
  <c r="H517" i="7" s="1"/>
  <c r="H518" i="7" a="1"/>
  <c r="H518" i="7" s="1"/>
  <c r="H519" i="7" a="1"/>
  <c r="H519" i="7" s="1"/>
  <c r="H520" i="7" a="1"/>
  <c r="H520" i="7" s="1"/>
  <c r="H521" i="7" a="1"/>
  <c r="H521" i="7" s="1"/>
  <c r="H522" i="7" a="1"/>
  <c r="H522" i="7" s="1"/>
  <c r="H523" i="7" a="1"/>
  <c r="H523" i="7" s="1"/>
  <c r="H524" i="7" a="1"/>
  <c r="H524" i="7" s="1"/>
  <c r="H525" i="7" a="1"/>
  <c r="H525" i="7" s="1"/>
  <c r="H526" i="7" a="1"/>
  <c r="H526" i="7" s="1"/>
  <c r="H527" i="7" a="1"/>
  <c r="H527" i="7" s="1"/>
  <c r="H528" i="7" a="1"/>
  <c r="H528" i="7" s="1"/>
  <c r="H529" i="7" a="1"/>
  <c r="H529" i="7" s="1"/>
  <c r="H530" i="7" a="1"/>
  <c r="H530" i="7" s="1"/>
  <c r="H531" i="7" a="1"/>
  <c r="H531" i="7" s="1"/>
  <c r="H532" i="7" a="1"/>
  <c r="H532" i="7" s="1"/>
  <c r="H533" i="7" a="1"/>
  <c r="H533" i="7" s="1"/>
  <c r="H534" i="7" a="1"/>
  <c r="H534" i="7" s="1"/>
  <c r="H535" i="7" a="1"/>
  <c r="H535" i="7" s="1"/>
  <c r="H536" i="7" a="1"/>
  <c r="H536" i="7" s="1"/>
  <c r="H537" i="7" a="1"/>
  <c r="H537" i="7" s="1"/>
  <c r="H538" i="7" a="1"/>
  <c r="H538" i="7" s="1"/>
  <c r="H539" i="7" a="1"/>
  <c r="H539" i="7" s="1"/>
  <c r="H540" i="7" a="1"/>
  <c r="H540" i="7" s="1"/>
  <c r="H541" i="7" a="1"/>
  <c r="H541" i="7" s="1"/>
  <c r="H542" i="7" a="1"/>
  <c r="H542" i="7" s="1"/>
  <c r="H543" i="7" a="1"/>
  <c r="H543" i="7" s="1"/>
  <c r="H544" i="7" a="1"/>
  <c r="H544" i="7" s="1"/>
  <c r="H545" i="7" a="1"/>
  <c r="H545" i="7" s="1"/>
  <c r="H546" i="7" a="1"/>
  <c r="H546" i="7" s="1"/>
  <c r="H547" i="7" a="1"/>
  <c r="H547" i="7" s="1"/>
  <c r="H548" i="7" a="1"/>
  <c r="H548" i="7" s="1"/>
  <c r="H549" i="7" a="1"/>
  <c r="H549" i="7" s="1"/>
  <c r="H550" i="7" a="1"/>
  <c r="H550" i="7" s="1"/>
  <c r="H551" i="7" a="1"/>
  <c r="H551" i="7" s="1"/>
  <c r="H552" i="7" a="1"/>
  <c r="H552" i="7" s="1"/>
  <c r="H553" i="7" a="1"/>
  <c r="H553" i="7" s="1"/>
  <c r="H554" i="7" a="1"/>
  <c r="H554" i="7" s="1"/>
  <c r="H555" i="7" a="1"/>
  <c r="H555" i="7" s="1"/>
  <c r="H556" i="7" a="1"/>
  <c r="H556" i="7" s="1"/>
  <c r="H557" i="7" a="1"/>
  <c r="H557" i="7" s="1"/>
  <c r="H558" i="7" a="1"/>
  <c r="H558" i="7" s="1"/>
  <c r="H559" i="7" a="1"/>
  <c r="H559" i="7" s="1"/>
  <c r="H560" i="7" a="1"/>
  <c r="H560" i="7" s="1"/>
  <c r="H561" i="7" a="1"/>
  <c r="H561" i="7" s="1"/>
  <c r="H562" i="7" a="1"/>
  <c r="H562" i="7" s="1"/>
  <c r="H563" i="7" a="1"/>
  <c r="H563" i="7" s="1"/>
  <c r="H564" i="7" a="1"/>
  <c r="H564" i="7" s="1"/>
  <c r="H565" i="7" a="1"/>
  <c r="H565" i="7" s="1"/>
  <c r="H566" i="7" a="1"/>
  <c r="H566" i="7" s="1"/>
  <c r="H567" i="7" a="1"/>
  <c r="H567" i="7" s="1"/>
  <c r="H568" i="7" a="1"/>
  <c r="H568" i="7" s="1"/>
  <c r="H569" i="7" a="1"/>
  <c r="H569" i="7" s="1"/>
  <c r="H570" i="7" a="1"/>
  <c r="H570" i="7" s="1"/>
  <c r="H571" i="7" a="1"/>
  <c r="H571" i="7" s="1"/>
  <c r="H572" i="7" a="1"/>
  <c r="H572" i="7" s="1"/>
  <c r="H573" i="7" a="1"/>
  <c r="H573" i="7" s="1"/>
  <c r="H574" i="7" a="1"/>
  <c r="H574" i="7" s="1"/>
  <c r="H575" i="7" a="1"/>
  <c r="H575" i="7" s="1"/>
  <c r="H576" i="7" a="1"/>
  <c r="H576" i="7" s="1"/>
  <c r="H577" i="7" a="1"/>
  <c r="H577" i="7" s="1"/>
  <c r="H578" i="7" a="1"/>
  <c r="H578" i="7" s="1"/>
  <c r="H579" i="7" a="1"/>
  <c r="H579" i="7" s="1"/>
  <c r="H580" i="7" a="1"/>
  <c r="H580" i="7" s="1"/>
  <c r="H581" i="7" a="1"/>
  <c r="H581" i="7" s="1"/>
  <c r="H582" i="7" a="1"/>
  <c r="H582" i="7" s="1"/>
  <c r="H583" i="7" a="1"/>
  <c r="H583" i="7" s="1"/>
  <c r="H584" i="7" a="1"/>
  <c r="H584" i="7" s="1"/>
  <c r="H585" i="7" a="1"/>
  <c r="H585" i="7" s="1"/>
  <c r="H586" i="7" a="1"/>
  <c r="H586" i="7" s="1"/>
  <c r="H587" i="7" a="1"/>
  <c r="H587" i="7" s="1"/>
  <c r="H588" i="7" a="1"/>
  <c r="H588" i="7" s="1"/>
  <c r="H589" i="7" a="1"/>
  <c r="H589" i="7" s="1"/>
  <c r="H590" i="7" a="1"/>
  <c r="H590" i="7" s="1"/>
  <c r="H591" i="7" a="1"/>
  <c r="H591" i="7" s="1"/>
  <c r="H592" i="7" a="1"/>
  <c r="H592" i="7" s="1"/>
  <c r="H593" i="7" a="1"/>
  <c r="H593" i="7" s="1"/>
  <c r="H594" i="7" a="1"/>
  <c r="H594" i="7" s="1"/>
  <c r="H595" i="7" a="1"/>
  <c r="H595" i="7" s="1"/>
  <c r="H596" i="7" a="1"/>
  <c r="H596" i="7" s="1"/>
  <c r="H597" i="7" a="1"/>
  <c r="H597" i="7" s="1"/>
  <c r="H598" i="7" a="1"/>
  <c r="H598" i="7" s="1"/>
  <c r="H599" i="7" a="1"/>
  <c r="H599" i="7" s="1"/>
  <c r="H600" i="7" a="1"/>
  <c r="H600" i="7" s="1"/>
  <c r="H601" i="7" a="1"/>
  <c r="H601" i="7" s="1"/>
  <c r="H602" i="7" a="1"/>
  <c r="H602" i="7" s="1"/>
  <c r="H603" i="7" a="1"/>
  <c r="H603" i="7" s="1"/>
  <c r="H604" i="7" a="1"/>
  <c r="H604" i="7" s="1"/>
  <c r="H605" i="7" a="1"/>
  <c r="H605" i="7" s="1"/>
  <c r="H606" i="7" a="1"/>
  <c r="H606" i="7" s="1"/>
  <c r="H607" i="7" a="1"/>
  <c r="H607" i="7" s="1"/>
  <c r="H608" i="7" a="1"/>
  <c r="H608" i="7" s="1"/>
  <c r="H609" i="7" a="1"/>
  <c r="H609" i="7" s="1"/>
  <c r="H610" i="7" a="1"/>
  <c r="H610" i="7" s="1"/>
  <c r="H611" i="7" a="1"/>
  <c r="H611" i="7" s="1"/>
  <c r="H612" i="7" a="1"/>
  <c r="H612" i="7" s="1"/>
  <c r="H613" i="7" a="1"/>
  <c r="H613" i="7" s="1"/>
  <c r="H614" i="7" a="1"/>
  <c r="H614" i="7" s="1"/>
  <c r="H615" i="7" a="1"/>
  <c r="H615" i="7" s="1"/>
  <c r="H616" i="7" a="1"/>
  <c r="H616" i="7" s="1"/>
  <c r="H617" i="7" a="1"/>
  <c r="H617" i="7" s="1"/>
  <c r="H618" i="7" a="1"/>
  <c r="H618" i="7" s="1"/>
  <c r="H619" i="7" a="1"/>
  <c r="H619" i="7" s="1"/>
  <c r="H620" i="7" a="1"/>
  <c r="H620" i="7" s="1"/>
  <c r="H621" i="7" a="1"/>
  <c r="H621" i="7" s="1"/>
  <c r="H622" i="7" a="1"/>
  <c r="H622" i="7" s="1"/>
  <c r="H623" i="7" a="1"/>
  <c r="H623" i="7" s="1"/>
  <c r="H624" i="7" a="1"/>
  <c r="H624" i="7" s="1"/>
  <c r="H625" i="7" a="1"/>
  <c r="H625" i="7" s="1"/>
  <c r="H626" i="7" a="1"/>
  <c r="H626" i="7" s="1"/>
  <c r="H627" i="7" a="1"/>
  <c r="H627" i="7" s="1"/>
  <c r="H628" i="7" a="1"/>
  <c r="H628" i="7" s="1"/>
  <c r="H629" i="7" a="1"/>
  <c r="H629" i="7" s="1"/>
  <c r="H630" i="7" a="1"/>
  <c r="H630" i="7" s="1"/>
  <c r="H631" i="7" a="1"/>
  <c r="H631" i="7" s="1"/>
  <c r="H632" i="7" a="1"/>
  <c r="H632" i="7" s="1"/>
  <c r="H633" i="7" a="1"/>
  <c r="H633" i="7" s="1"/>
  <c r="H634" i="7" a="1"/>
  <c r="H634" i="7" s="1"/>
  <c r="H635" i="7" a="1"/>
  <c r="H635" i="7" s="1"/>
  <c r="H636" i="7" a="1"/>
  <c r="H636" i="7" s="1"/>
  <c r="H637" i="7" a="1"/>
  <c r="H637" i="7" s="1"/>
  <c r="H638" i="7" a="1"/>
  <c r="H638" i="7" s="1"/>
  <c r="H639" i="7" a="1"/>
  <c r="H639" i="7" s="1"/>
  <c r="H640" i="7" a="1"/>
  <c r="H640" i="7" s="1"/>
  <c r="H641" i="7" a="1"/>
  <c r="H641" i="7" s="1"/>
  <c r="H642" i="7" a="1"/>
  <c r="H642" i="7" s="1"/>
  <c r="H643" i="7" a="1"/>
  <c r="H643" i="7" s="1"/>
  <c r="H644" i="7" a="1"/>
  <c r="H644" i="7" s="1"/>
  <c r="H645" i="7" a="1"/>
  <c r="H645" i="7" s="1"/>
  <c r="H646" i="7" a="1"/>
  <c r="H646" i="7" s="1"/>
  <c r="H647" i="7" a="1"/>
  <c r="H647" i="7" s="1"/>
  <c r="H648" i="7" a="1"/>
  <c r="H648" i="7" s="1"/>
  <c r="H649" i="7" a="1"/>
  <c r="H649" i="7" s="1"/>
  <c r="H650" i="7" a="1"/>
  <c r="H650" i="7" s="1"/>
  <c r="H651" i="7" a="1"/>
  <c r="H651" i="7" s="1"/>
  <c r="H652" i="7" a="1"/>
  <c r="H652" i="7" s="1"/>
  <c r="H653" i="7" a="1"/>
  <c r="H653" i="7" s="1"/>
  <c r="H654" i="7" a="1"/>
  <c r="H654" i="7" s="1"/>
  <c r="H655" i="7" a="1"/>
  <c r="H655" i="7" s="1"/>
  <c r="H656" i="7" a="1"/>
  <c r="H656" i="7" s="1"/>
  <c r="H657" i="7" a="1"/>
  <c r="H657" i="7" s="1"/>
  <c r="H658" i="7" a="1"/>
  <c r="H658" i="7" s="1"/>
  <c r="H659" i="7" a="1"/>
  <c r="H659" i="7" s="1"/>
  <c r="H660" i="7" a="1"/>
  <c r="H660" i="7" s="1"/>
  <c r="H661" i="7" a="1"/>
  <c r="H661" i="7" s="1"/>
  <c r="H662" i="7" a="1"/>
  <c r="H662" i="7" s="1"/>
  <c r="H663" i="7" a="1"/>
  <c r="H663" i="7" s="1"/>
  <c r="H664" i="7" a="1"/>
  <c r="H664" i="7" s="1"/>
  <c r="H665" i="7" a="1"/>
  <c r="H665" i="7" s="1"/>
  <c r="H666" i="7" a="1"/>
  <c r="H666" i="7" s="1"/>
  <c r="H667" i="7" a="1"/>
  <c r="H667" i="7" s="1"/>
  <c r="H668" i="7" a="1"/>
  <c r="H668" i="7" s="1"/>
  <c r="H669" i="7" a="1"/>
  <c r="H669" i="7" s="1"/>
  <c r="H670" i="7" a="1"/>
  <c r="H670" i="7" s="1"/>
  <c r="H671" i="7" a="1"/>
  <c r="H671" i="7" s="1"/>
  <c r="H672" i="7" a="1"/>
  <c r="H672" i="7" s="1"/>
  <c r="H673" i="7" a="1"/>
  <c r="H673" i="7" s="1"/>
  <c r="H674" i="7" a="1"/>
  <c r="H674" i="7" s="1"/>
  <c r="H675" i="7" a="1"/>
  <c r="H675" i="7" s="1"/>
  <c r="H676" i="7" a="1"/>
  <c r="H676" i="7" s="1"/>
  <c r="H677" i="7" a="1"/>
  <c r="H677" i="7" s="1"/>
  <c r="H678" i="7" a="1"/>
  <c r="H678" i="7" s="1"/>
  <c r="H679" i="7" a="1"/>
  <c r="H679" i="7" s="1"/>
  <c r="H680" i="7" a="1"/>
  <c r="H680" i="7" s="1"/>
  <c r="H681" i="7" a="1"/>
  <c r="H681" i="7" s="1"/>
  <c r="H682" i="7" a="1"/>
  <c r="H682" i="7" s="1"/>
  <c r="H683" i="7" a="1"/>
  <c r="H683" i="7" s="1"/>
  <c r="H684" i="7" a="1"/>
  <c r="H684" i="7" s="1"/>
  <c r="H685" i="7" a="1"/>
  <c r="H685" i="7" s="1"/>
  <c r="H686" i="7" a="1"/>
  <c r="H686" i="7" s="1"/>
  <c r="H687" i="7" a="1"/>
  <c r="H687" i="7" s="1"/>
  <c r="H688" i="7" a="1"/>
  <c r="H688" i="7" s="1"/>
  <c r="H689" i="7" a="1"/>
  <c r="H689" i="7" s="1"/>
  <c r="H690" i="7" a="1"/>
  <c r="H690" i="7" s="1"/>
  <c r="H691" i="7" a="1"/>
  <c r="H691" i="7" s="1"/>
  <c r="H692" i="7" a="1"/>
  <c r="H692" i="7" s="1"/>
  <c r="H693" i="7" a="1"/>
  <c r="H693" i="7" s="1"/>
  <c r="H694" i="7" a="1"/>
  <c r="H694" i="7" s="1"/>
  <c r="H695" i="7" a="1"/>
  <c r="H695" i="7" s="1"/>
  <c r="H696" i="7" a="1"/>
  <c r="H696" i="7" s="1"/>
  <c r="H697" i="7" a="1"/>
  <c r="H697" i="7" s="1"/>
  <c r="H698" i="7" a="1"/>
  <c r="H698" i="7" s="1"/>
  <c r="H699" i="7" a="1"/>
  <c r="H699" i="7" s="1"/>
  <c r="H700" i="7" a="1"/>
  <c r="H700" i="7" s="1"/>
  <c r="H701" i="7" a="1"/>
  <c r="H701" i="7" s="1"/>
  <c r="H702" i="7" a="1"/>
  <c r="H702" i="7" s="1"/>
  <c r="H703" i="7" a="1"/>
  <c r="H703" i="7" s="1"/>
  <c r="H704" i="7" a="1"/>
  <c r="H704" i="7" s="1"/>
  <c r="H705" i="7" a="1"/>
  <c r="H705" i="7" s="1"/>
  <c r="H706" i="7" a="1"/>
  <c r="H706" i="7" s="1"/>
  <c r="H707" i="7" a="1"/>
  <c r="H707" i="7" s="1"/>
  <c r="H708" i="7" a="1"/>
  <c r="H708" i="7" s="1"/>
  <c r="H709" i="7" a="1"/>
  <c r="H709" i="7" s="1"/>
  <c r="H710" i="7" a="1"/>
  <c r="H710" i="7" s="1"/>
  <c r="H711" i="7" a="1"/>
  <c r="H711" i="7" s="1"/>
  <c r="H712" i="7" a="1"/>
  <c r="H712" i="7" s="1"/>
  <c r="H713" i="7" a="1"/>
  <c r="H713" i="7" s="1"/>
  <c r="H714" i="7" a="1"/>
  <c r="H714" i="7" s="1"/>
  <c r="H715" i="7" a="1"/>
  <c r="H715" i="7" s="1"/>
  <c r="H716" i="7" a="1"/>
  <c r="H716" i="7" s="1"/>
  <c r="H717" i="7" a="1"/>
  <c r="H717" i="7" s="1"/>
  <c r="H718" i="7" a="1"/>
  <c r="H718" i="7" s="1"/>
  <c r="H719" i="7" a="1"/>
  <c r="H719" i="7" s="1"/>
  <c r="H720" i="7" a="1"/>
  <c r="H720" i="7" s="1"/>
  <c r="H721" i="7" a="1"/>
  <c r="H721" i="7" s="1"/>
  <c r="H722" i="7" a="1"/>
  <c r="H722" i="7" s="1"/>
  <c r="H723" i="7" a="1"/>
  <c r="H723" i="7" s="1"/>
  <c r="H724" i="7" a="1"/>
  <c r="H724" i="7" s="1"/>
  <c r="H725" i="7" a="1"/>
  <c r="H725" i="7" s="1"/>
  <c r="H726" i="7" a="1"/>
  <c r="H726" i="7" s="1"/>
  <c r="H727" i="7" a="1"/>
  <c r="H727" i="7" s="1"/>
  <c r="H728" i="7" a="1"/>
  <c r="H728" i="7" s="1"/>
  <c r="H729" i="7" a="1"/>
  <c r="H729" i="7" s="1"/>
  <c r="H730" i="7" a="1"/>
  <c r="H730" i="7" s="1"/>
  <c r="H731" i="7" a="1"/>
  <c r="H731" i="7" s="1"/>
  <c r="H732" i="7" a="1"/>
  <c r="H732" i="7" s="1"/>
  <c r="H733" i="7" a="1"/>
  <c r="H733" i="7" s="1"/>
  <c r="H734" i="7" a="1"/>
  <c r="H734" i="7" s="1"/>
  <c r="H735" i="7" a="1"/>
  <c r="H735" i="7" s="1"/>
  <c r="H736" i="7" a="1"/>
  <c r="H736" i="7" s="1"/>
  <c r="H737" i="7" a="1"/>
  <c r="H737" i="7" s="1"/>
  <c r="H738" i="7" a="1"/>
  <c r="H738" i="7" s="1"/>
  <c r="H739" i="7" a="1"/>
  <c r="H739" i="7" s="1"/>
  <c r="H740" i="7" a="1"/>
  <c r="H740" i="7" s="1"/>
  <c r="H741" i="7" a="1"/>
  <c r="H741" i="7" s="1"/>
  <c r="H742" i="7" a="1"/>
  <c r="H742" i="7" s="1"/>
  <c r="H743" i="7" a="1"/>
  <c r="H743" i="7" s="1"/>
  <c r="H744" i="7" a="1"/>
  <c r="H744" i="7" s="1"/>
  <c r="H745" i="7" a="1"/>
  <c r="H745" i="7" s="1"/>
  <c r="H746" i="7" a="1"/>
  <c r="H746" i="7" s="1"/>
  <c r="H747" i="7" a="1"/>
  <c r="H747" i="7" s="1"/>
  <c r="H748" i="7" a="1"/>
  <c r="H748" i="7" s="1"/>
  <c r="H749" i="7" a="1"/>
  <c r="H749" i="7" s="1"/>
  <c r="H750" i="7" a="1"/>
  <c r="H750" i="7" s="1"/>
  <c r="H751" i="7" a="1"/>
  <c r="H751" i="7" s="1"/>
  <c r="H752" i="7" a="1"/>
  <c r="H752" i="7" s="1"/>
  <c r="H753" i="7" a="1"/>
  <c r="H753" i="7" s="1"/>
  <c r="H754" i="7" a="1"/>
  <c r="H754" i="7" s="1"/>
  <c r="H755" i="7" a="1"/>
  <c r="H755" i="7" s="1"/>
  <c r="H756" i="7" a="1"/>
  <c r="H756" i="7" s="1"/>
  <c r="H757" i="7" a="1"/>
  <c r="H757" i="7" s="1"/>
  <c r="H758" i="7" a="1"/>
  <c r="H758" i="7" s="1"/>
  <c r="H759" i="7" a="1"/>
  <c r="H759" i="7" s="1"/>
  <c r="H760" i="7" a="1"/>
  <c r="H760" i="7" s="1"/>
  <c r="H761" i="7" a="1"/>
  <c r="H761" i="7" s="1"/>
  <c r="H762" i="7" a="1"/>
  <c r="H762" i="7" s="1"/>
  <c r="H763" i="7" a="1"/>
  <c r="H763" i="7" s="1"/>
  <c r="H764" i="7" a="1"/>
  <c r="H764" i="7" s="1"/>
  <c r="H765" i="7" a="1"/>
  <c r="H765" i="7" s="1"/>
  <c r="H766" i="7" a="1"/>
  <c r="H766" i="7" s="1"/>
  <c r="H767" i="7" a="1"/>
  <c r="H767" i="7" s="1"/>
  <c r="H768" i="7" a="1"/>
  <c r="H768" i="7" s="1"/>
  <c r="H769" i="7" a="1"/>
  <c r="H769" i="7" s="1"/>
  <c r="H770" i="7" a="1"/>
  <c r="H770" i="7" s="1"/>
  <c r="H771" i="7" a="1"/>
  <c r="H771" i="7" s="1"/>
  <c r="H772" i="7" a="1"/>
  <c r="H772" i="7" s="1"/>
  <c r="H773" i="7" a="1"/>
  <c r="H773" i="7" s="1"/>
  <c r="H774" i="7" a="1"/>
  <c r="H774" i="7" s="1"/>
  <c r="H775" i="7" a="1"/>
  <c r="H775" i="7" s="1"/>
  <c r="H776" i="7" a="1"/>
  <c r="H776" i="7" s="1"/>
  <c r="H777" i="7" a="1"/>
  <c r="H777" i="7" s="1"/>
  <c r="H778" i="7" a="1"/>
  <c r="H778" i="7" s="1"/>
  <c r="H779" i="7" a="1"/>
  <c r="H779" i="7" s="1"/>
  <c r="H780" i="7" a="1"/>
  <c r="H780" i="7" s="1"/>
  <c r="H781" i="7" a="1"/>
  <c r="H781" i="7" s="1"/>
  <c r="H782" i="7" a="1"/>
  <c r="H782" i="7" s="1"/>
  <c r="H783" i="7" a="1"/>
  <c r="H783" i="7" s="1"/>
  <c r="H784" i="7" a="1"/>
  <c r="H784" i="7" s="1"/>
  <c r="H785" i="7" a="1"/>
  <c r="H785" i="7" s="1"/>
  <c r="H786" i="7" a="1"/>
  <c r="H786" i="7" s="1"/>
  <c r="H787" i="7" a="1"/>
  <c r="H787" i="7" s="1"/>
  <c r="H788" i="7" a="1"/>
  <c r="H788" i="7" s="1"/>
  <c r="H789" i="7" a="1"/>
  <c r="H789" i="7" s="1"/>
  <c r="H790" i="7" a="1"/>
  <c r="H790" i="7" s="1"/>
  <c r="H791" i="7" a="1"/>
  <c r="H791" i="7" s="1"/>
  <c r="H792" i="7" a="1"/>
  <c r="H792" i="7" s="1"/>
  <c r="H793" i="7" a="1"/>
  <c r="H793" i="7" s="1"/>
  <c r="H794" i="7" a="1"/>
  <c r="H794" i="7" s="1"/>
  <c r="H795" i="7" a="1"/>
  <c r="H795" i="7" s="1"/>
  <c r="H796" i="7" a="1"/>
  <c r="H796" i="7" s="1"/>
  <c r="H797" i="7" a="1"/>
  <c r="H797" i="7" s="1"/>
  <c r="H798" i="7" a="1"/>
  <c r="H798" i="7" s="1"/>
  <c r="H799" i="7" a="1"/>
  <c r="H799" i="7" s="1"/>
  <c r="H800" i="7" a="1"/>
  <c r="H800" i="7" s="1"/>
  <c r="H801" i="7" a="1"/>
  <c r="H801" i="7" s="1"/>
  <c r="H802" i="7" a="1"/>
  <c r="H802" i="7" s="1"/>
  <c r="H803" i="7" a="1"/>
  <c r="H803" i="7" s="1"/>
  <c r="H804" i="7" a="1"/>
  <c r="H804" i="7" s="1"/>
  <c r="H805" i="7" a="1"/>
  <c r="H805" i="7" s="1"/>
  <c r="H806" i="7" a="1"/>
  <c r="H806" i="7" s="1"/>
  <c r="H807" i="7" a="1"/>
  <c r="H807" i="7" s="1"/>
  <c r="H808" i="7" a="1"/>
  <c r="H808" i="7" s="1"/>
  <c r="H809" i="7" a="1"/>
  <c r="H809" i="7" s="1"/>
  <c r="H810" i="7" a="1"/>
  <c r="H810" i="7" s="1"/>
  <c r="H811" i="7" a="1"/>
  <c r="H811" i="7" s="1"/>
  <c r="H812" i="7" a="1"/>
  <c r="H812" i="7" s="1"/>
  <c r="H813" i="7" a="1"/>
  <c r="H813" i="7" s="1"/>
  <c r="H814" i="7" a="1"/>
  <c r="H814" i="7" s="1"/>
  <c r="H815" i="7" a="1"/>
  <c r="H815" i="7" s="1"/>
  <c r="H816" i="7" a="1"/>
  <c r="H816" i="7" s="1"/>
  <c r="H817" i="7" a="1"/>
  <c r="H817" i="7" s="1"/>
  <c r="H818" i="7" a="1"/>
  <c r="H818" i="7" s="1"/>
  <c r="H819" i="7" a="1"/>
  <c r="H819" i="7" s="1"/>
  <c r="H820" i="7" a="1"/>
  <c r="H820" i="7" s="1"/>
  <c r="H821" i="7" a="1"/>
  <c r="H821" i="7" s="1"/>
  <c r="H822" i="7" a="1"/>
  <c r="H822" i="7" s="1"/>
  <c r="H823" i="7" a="1"/>
  <c r="H823" i="7" s="1"/>
  <c r="H824" i="7" a="1"/>
  <c r="H824" i="7" s="1"/>
  <c r="H825" i="7" a="1"/>
  <c r="H825" i="7" s="1"/>
  <c r="H826" i="7" a="1"/>
  <c r="H826" i="7" s="1"/>
  <c r="H827" i="7" a="1"/>
  <c r="H827" i="7" s="1"/>
  <c r="H828" i="7" a="1"/>
  <c r="H828" i="7" s="1"/>
  <c r="H829" i="7" a="1"/>
  <c r="H829" i="7" s="1"/>
  <c r="H830" i="7" a="1"/>
  <c r="H830" i="7" s="1"/>
  <c r="H831" i="7" a="1"/>
  <c r="H831" i="7" s="1"/>
  <c r="H832" i="7" a="1"/>
  <c r="H832" i="7" s="1"/>
  <c r="H833" i="7" a="1"/>
  <c r="H833" i="7" s="1"/>
  <c r="H834" i="7" a="1"/>
  <c r="H834" i="7" s="1"/>
  <c r="H835" i="7" a="1"/>
  <c r="H835" i="7" s="1"/>
  <c r="H836" i="7" a="1"/>
  <c r="H836" i="7" s="1"/>
  <c r="H837" i="7" a="1"/>
  <c r="H837" i="7" s="1"/>
  <c r="H838" i="7" a="1"/>
  <c r="H838" i="7" s="1"/>
  <c r="H839" i="7" a="1"/>
  <c r="H839" i="7" s="1"/>
  <c r="H840" i="7" a="1"/>
  <c r="H840" i="7" s="1"/>
  <c r="H841" i="7" a="1"/>
  <c r="H841" i="7" s="1"/>
  <c r="H842" i="7" a="1"/>
  <c r="H842" i="7" s="1"/>
  <c r="H843" i="7" a="1"/>
  <c r="H843" i="7" s="1"/>
  <c r="H844" i="7" a="1"/>
  <c r="H844" i="7" s="1"/>
  <c r="H845" i="7" a="1"/>
  <c r="H845" i="7" s="1"/>
  <c r="H846" i="7" a="1"/>
  <c r="H846" i="7" s="1"/>
  <c r="H847" i="7" a="1"/>
  <c r="H847" i="7" s="1"/>
  <c r="H848" i="7" a="1"/>
  <c r="H848" i="7" s="1"/>
  <c r="H849" i="7" a="1"/>
  <c r="H849" i="7" s="1"/>
  <c r="H850" i="7" a="1"/>
  <c r="H850" i="7" s="1"/>
  <c r="H851" i="7" a="1"/>
  <c r="H851" i="7" s="1"/>
  <c r="H852" i="7" a="1"/>
  <c r="H852" i="7" s="1"/>
  <c r="H853" i="7" a="1"/>
  <c r="H853" i="7" s="1"/>
  <c r="H854" i="7" a="1"/>
  <c r="H854" i="7" s="1"/>
  <c r="H855" i="7" a="1"/>
  <c r="H855" i="7" s="1"/>
  <c r="H856" i="7" a="1"/>
  <c r="H856" i="7" s="1"/>
  <c r="H857" i="7" a="1"/>
  <c r="H857" i="7" s="1"/>
  <c r="H858" i="7" a="1"/>
  <c r="H858" i="7" s="1"/>
  <c r="H859" i="7" a="1"/>
  <c r="H859" i="7" s="1"/>
  <c r="H860" i="7" a="1"/>
  <c r="H860" i="7" s="1"/>
  <c r="H861" i="7" a="1"/>
  <c r="H861" i="7" s="1"/>
  <c r="H862" i="7" a="1"/>
  <c r="H862" i="7" s="1"/>
  <c r="H863" i="7" a="1"/>
  <c r="H863" i="7" s="1"/>
  <c r="H864" i="7" a="1"/>
  <c r="H864" i="7" s="1"/>
  <c r="H865" i="7" a="1"/>
  <c r="H865" i="7" s="1"/>
  <c r="H866" i="7" a="1"/>
  <c r="H866" i="7" s="1"/>
  <c r="H867" i="7" a="1"/>
  <c r="H867" i="7" s="1"/>
  <c r="H868" i="7" a="1"/>
  <c r="H868" i="7" s="1"/>
  <c r="H869" i="7" a="1"/>
  <c r="H869" i="7" s="1"/>
  <c r="H870" i="7" a="1"/>
  <c r="H870" i="7" s="1"/>
  <c r="H871" i="7" a="1"/>
  <c r="H871" i="7" s="1"/>
  <c r="H872" i="7" a="1"/>
  <c r="H872" i="7" s="1"/>
  <c r="H873" i="7" a="1"/>
  <c r="H873" i="7" s="1"/>
  <c r="H874" i="7" a="1"/>
  <c r="H874" i="7" s="1"/>
  <c r="H875" i="7" a="1"/>
  <c r="H875" i="7" s="1"/>
  <c r="H876" i="7" a="1"/>
  <c r="H876" i="7" s="1"/>
  <c r="H877" i="7" a="1"/>
  <c r="H877" i="7" s="1"/>
  <c r="H878" i="7" a="1"/>
  <c r="H878" i="7" s="1"/>
  <c r="H879" i="7" a="1"/>
  <c r="H879" i="7" s="1"/>
  <c r="H880" i="7" a="1"/>
  <c r="H880" i="7" s="1"/>
  <c r="H881" i="7" a="1"/>
  <c r="H881" i="7" s="1"/>
  <c r="H882" i="7" a="1"/>
  <c r="H882" i="7" s="1"/>
  <c r="H883" i="7" a="1"/>
  <c r="H883" i="7" s="1"/>
  <c r="H884" i="7" a="1"/>
  <c r="H884" i="7" s="1"/>
  <c r="H885" i="7" a="1"/>
  <c r="H885" i="7" s="1"/>
  <c r="H886" i="7" a="1"/>
  <c r="H886" i="7" s="1"/>
  <c r="H887" i="7" a="1"/>
  <c r="H887" i="7" s="1"/>
  <c r="H888" i="7" a="1"/>
  <c r="H888" i="7" s="1"/>
  <c r="H889" i="7" a="1"/>
  <c r="H889" i="7" s="1"/>
  <c r="H890" i="7" a="1"/>
  <c r="H890" i="7" s="1"/>
  <c r="H891" i="7" a="1"/>
  <c r="H891" i="7" s="1"/>
  <c r="H892" i="7" a="1"/>
  <c r="H892" i="7" s="1"/>
  <c r="H893" i="7" a="1"/>
  <c r="H893" i="7" s="1"/>
  <c r="H894" i="7" a="1"/>
  <c r="H894" i="7" s="1"/>
  <c r="H895" i="7" a="1"/>
  <c r="H895" i="7" s="1"/>
  <c r="H896" i="7" a="1"/>
  <c r="H896" i="7" s="1"/>
  <c r="H897" i="7" a="1"/>
  <c r="H897" i="7" s="1"/>
  <c r="H898" i="7" a="1"/>
  <c r="H898" i="7" s="1"/>
  <c r="H899" i="7" a="1"/>
  <c r="H899" i="7" s="1"/>
  <c r="H900" i="7" a="1"/>
  <c r="H900" i="7" s="1"/>
  <c r="H901" i="7" a="1"/>
  <c r="H901" i="7" s="1"/>
  <c r="H902" i="7" a="1"/>
  <c r="H902" i="7" s="1"/>
  <c r="H903" i="7" a="1"/>
  <c r="H903" i="7" s="1"/>
  <c r="H904" i="7" a="1"/>
  <c r="H904" i="7" s="1"/>
  <c r="H905" i="7" a="1"/>
  <c r="H905" i="7" s="1"/>
  <c r="H906" i="7" a="1"/>
  <c r="H906" i="7" s="1"/>
  <c r="H907" i="7" a="1"/>
  <c r="H907" i="7" s="1"/>
  <c r="H908" i="7" a="1"/>
  <c r="H908" i="7" s="1"/>
  <c r="H909" i="7" a="1"/>
  <c r="H909" i="7" s="1"/>
  <c r="H910" i="7" a="1"/>
  <c r="H910" i="7" s="1"/>
  <c r="H911" i="7" a="1"/>
  <c r="H911" i="7" s="1"/>
  <c r="H912" i="7" a="1"/>
  <c r="H912" i="7" s="1"/>
  <c r="H913" i="7" a="1"/>
  <c r="H913" i="7" s="1"/>
  <c r="H914" i="7" a="1"/>
  <c r="H914" i="7" s="1"/>
  <c r="H915" i="7" a="1"/>
  <c r="H915" i="7" s="1"/>
  <c r="H916" i="7" a="1"/>
  <c r="H916" i="7" s="1"/>
  <c r="H917" i="7" a="1"/>
  <c r="H917" i="7" s="1"/>
  <c r="H918" i="7" a="1"/>
  <c r="H918" i="7" s="1"/>
  <c r="H919" i="7" a="1"/>
  <c r="H919" i="7" s="1"/>
  <c r="H920" i="7" a="1"/>
  <c r="H920" i="7" s="1"/>
  <c r="H921" i="7" a="1"/>
  <c r="H921" i="7" s="1"/>
  <c r="H922" i="7" a="1"/>
  <c r="H922" i="7" s="1"/>
  <c r="H923" i="7" a="1"/>
  <c r="H923" i="7" s="1"/>
  <c r="H924" i="7" a="1"/>
  <c r="H924" i="7" s="1"/>
  <c r="H925" i="7" a="1"/>
  <c r="H925" i="7" s="1"/>
  <c r="H926" i="7" a="1"/>
  <c r="H926" i="7" s="1"/>
  <c r="H927" i="7" a="1"/>
  <c r="H927" i="7" s="1"/>
  <c r="H928" i="7" a="1"/>
  <c r="H928" i="7" s="1"/>
  <c r="H929" i="7" a="1"/>
  <c r="H929" i="7" s="1"/>
  <c r="H930" i="7" a="1"/>
  <c r="H930" i="7" s="1"/>
  <c r="H931" i="7" a="1"/>
  <c r="H931" i="7" s="1"/>
  <c r="H932" i="7" a="1"/>
  <c r="H932" i="7" s="1"/>
  <c r="H933" i="7" a="1"/>
  <c r="H933" i="7" s="1"/>
  <c r="H934" i="7" a="1"/>
  <c r="H934" i="7" s="1"/>
  <c r="H935" i="7" a="1"/>
  <c r="H935" i="7" s="1"/>
  <c r="H936" i="7" a="1"/>
  <c r="H936" i="7" s="1"/>
  <c r="H937" i="7" a="1"/>
  <c r="H937" i="7" s="1"/>
  <c r="H938" i="7" a="1"/>
  <c r="H938" i="7" s="1"/>
  <c r="H939" i="7" a="1"/>
  <c r="H939" i="7" s="1"/>
  <c r="H940" i="7" a="1"/>
  <c r="H940" i="7" s="1"/>
  <c r="H941" i="7" a="1"/>
  <c r="H941" i="7" s="1"/>
  <c r="H942" i="7" a="1"/>
  <c r="H942" i="7" s="1"/>
  <c r="H943" i="7" a="1"/>
  <c r="H943" i="7" s="1"/>
  <c r="H944" i="7" a="1"/>
  <c r="H944" i="7" s="1"/>
  <c r="H945" i="7" a="1"/>
  <c r="H945" i="7" s="1"/>
  <c r="H946" i="7" a="1"/>
  <c r="H946" i="7" s="1"/>
  <c r="H947" i="7" a="1"/>
  <c r="H947" i="7" s="1"/>
  <c r="H948" i="7" a="1"/>
  <c r="H948" i="7" s="1"/>
  <c r="H949" i="7" a="1"/>
  <c r="H949" i="7" s="1"/>
  <c r="H950" i="7" a="1"/>
  <c r="H950" i="7" s="1"/>
  <c r="H951" i="7" a="1"/>
  <c r="H951" i="7" s="1"/>
  <c r="H952" i="7" a="1"/>
  <c r="H952" i="7" s="1"/>
  <c r="H953" i="7" a="1"/>
  <c r="H953" i="7" s="1"/>
  <c r="H954" i="7" a="1"/>
  <c r="H954" i="7" s="1"/>
  <c r="H955" i="7" a="1"/>
  <c r="H955" i="7" s="1"/>
  <c r="H956" i="7" a="1"/>
  <c r="H956" i="7" s="1"/>
  <c r="H957" i="7" a="1"/>
  <c r="H957" i="7" s="1"/>
  <c r="H958" i="7" a="1"/>
  <c r="H958" i="7" s="1"/>
  <c r="H959" i="7" a="1"/>
  <c r="H959" i="7" s="1"/>
  <c r="H960" i="7" a="1"/>
  <c r="H960" i="7" s="1"/>
  <c r="H961" i="7" a="1"/>
  <c r="H961" i="7" s="1"/>
  <c r="H962" i="7" a="1"/>
  <c r="H962" i="7" s="1"/>
  <c r="H963" i="7" a="1"/>
  <c r="H963" i="7" s="1"/>
  <c r="H964" i="7" a="1"/>
  <c r="H964" i="7" s="1"/>
  <c r="H965" i="7" a="1"/>
  <c r="H965" i="7" s="1"/>
  <c r="H966" i="7" a="1"/>
  <c r="H966" i="7" s="1"/>
  <c r="H967" i="7" a="1"/>
  <c r="H967" i="7" s="1"/>
  <c r="H968" i="7" a="1"/>
  <c r="H968" i="7" s="1"/>
  <c r="H969" i="7" a="1"/>
  <c r="H969" i="7" s="1"/>
  <c r="H970" i="7" a="1"/>
  <c r="H970" i="7" s="1"/>
  <c r="H971" i="7" a="1"/>
  <c r="H971" i="7" s="1"/>
  <c r="H972" i="7" a="1"/>
  <c r="H972" i="7" s="1"/>
  <c r="H973" i="7" a="1"/>
  <c r="H973" i="7" s="1"/>
  <c r="H974" i="7" a="1"/>
  <c r="H974" i="7" s="1"/>
  <c r="H975" i="7" a="1"/>
  <c r="H975" i="7" s="1"/>
  <c r="H976" i="7" a="1"/>
  <c r="H976" i="7" s="1"/>
  <c r="H977" i="7" a="1"/>
  <c r="H977" i="7" s="1"/>
  <c r="H978" i="7" a="1"/>
  <c r="H978" i="7" s="1"/>
  <c r="H979" i="7" a="1"/>
  <c r="H979" i="7" s="1"/>
  <c r="H980" i="7" a="1"/>
  <c r="H980" i="7" s="1"/>
  <c r="H981" i="7" a="1"/>
  <c r="H981" i="7" s="1"/>
  <c r="H982" i="7" a="1"/>
  <c r="H982" i="7" s="1"/>
  <c r="H983" i="7" a="1"/>
  <c r="H983" i="7" s="1"/>
  <c r="H984" i="7" a="1"/>
  <c r="H984" i="7" s="1"/>
  <c r="H985" i="7" a="1"/>
  <c r="H985" i="7" s="1"/>
  <c r="H986" i="7" a="1"/>
  <c r="H986" i="7" s="1"/>
  <c r="H987" i="7" a="1"/>
  <c r="H987" i="7" s="1"/>
  <c r="H988" i="7" a="1"/>
  <c r="H988" i="7" s="1"/>
  <c r="H989" i="7" a="1"/>
  <c r="H989" i="7" s="1"/>
  <c r="H990" i="7" a="1"/>
  <c r="H990" i="7" s="1"/>
  <c r="H991" i="7" a="1"/>
  <c r="H991" i="7" s="1"/>
  <c r="H992" i="7" a="1"/>
  <c r="H992" i="7" s="1"/>
  <c r="H993" i="7" a="1"/>
  <c r="H993" i="7" s="1"/>
  <c r="H994" i="7" a="1"/>
  <c r="H994" i="7" s="1"/>
  <c r="H995" i="7" a="1"/>
  <c r="H995" i="7" s="1"/>
  <c r="H996" i="7" a="1"/>
  <c r="H996" i="7" s="1"/>
  <c r="H997" i="7" a="1"/>
  <c r="H997" i="7" s="1"/>
  <c r="H998" i="7" a="1"/>
  <c r="H998" i="7" s="1"/>
  <c r="H999" i="7" a="1"/>
  <c r="H999" i="7" s="1"/>
  <c r="H1000" i="7" a="1"/>
  <c r="H1000" i="7" s="1"/>
  <c r="H1001" i="7" a="1"/>
  <c r="H1001" i="7" s="1"/>
  <c r="H2" i="7" a="1"/>
  <c r="H2" i="7" s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2" i="6"/>
  <c r="L4" i="6"/>
  <c r="L5" i="6"/>
  <c r="L6" i="6"/>
  <c r="L7" i="6"/>
  <c r="L8" i="6"/>
  <c r="L9" i="6"/>
  <c r="L10" i="6"/>
  <c r="L11" i="6"/>
  <c r="L3" i="6"/>
  <c r="M4" i="1"/>
  <c r="M5" i="1"/>
  <c r="M6" i="1"/>
  <c r="M7" i="1"/>
  <c r="M8" i="1"/>
  <c r="M9" i="1"/>
  <c r="M10" i="1"/>
  <c r="M11" i="1"/>
  <c r="M12" i="1"/>
  <c r="M13" i="1"/>
  <c r="M14" i="1"/>
  <c r="M15" i="1"/>
  <c r="H2" i="1"/>
  <c r="I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H856" i="1"/>
  <c r="I856" i="1"/>
  <c r="H857" i="1"/>
  <c r="I857" i="1"/>
  <c r="H858" i="1"/>
  <c r="I858" i="1"/>
  <c r="H859" i="1"/>
  <c r="I859" i="1"/>
  <c r="H860" i="1"/>
  <c r="I860" i="1"/>
  <c r="H861" i="1"/>
  <c r="I861" i="1"/>
  <c r="H862" i="1"/>
  <c r="I862" i="1"/>
  <c r="H863" i="1"/>
  <c r="I863" i="1"/>
  <c r="H864" i="1"/>
  <c r="I864" i="1"/>
  <c r="H865" i="1"/>
  <c r="I865" i="1"/>
  <c r="H866" i="1"/>
  <c r="I866" i="1"/>
  <c r="H867" i="1"/>
  <c r="I867" i="1"/>
  <c r="H868" i="1"/>
  <c r="I868" i="1"/>
  <c r="H869" i="1"/>
  <c r="I869" i="1"/>
  <c r="H870" i="1"/>
  <c r="I870" i="1"/>
  <c r="H871" i="1"/>
  <c r="I871" i="1"/>
  <c r="H872" i="1"/>
  <c r="I872" i="1"/>
  <c r="H873" i="1"/>
  <c r="I873" i="1"/>
  <c r="H874" i="1"/>
  <c r="I874" i="1"/>
  <c r="H875" i="1"/>
  <c r="I875" i="1"/>
  <c r="H876" i="1"/>
  <c r="I876" i="1"/>
  <c r="H877" i="1"/>
  <c r="I877" i="1"/>
  <c r="H878" i="1"/>
  <c r="I878" i="1"/>
  <c r="H879" i="1"/>
  <c r="I879" i="1"/>
  <c r="H880" i="1"/>
  <c r="I880" i="1"/>
  <c r="H881" i="1"/>
  <c r="I881" i="1"/>
  <c r="H882" i="1"/>
  <c r="I882" i="1"/>
  <c r="H883" i="1"/>
  <c r="I883" i="1"/>
  <c r="H884" i="1"/>
  <c r="I884" i="1"/>
  <c r="H885" i="1"/>
  <c r="I885" i="1"/>
  <c r="H886" i="1"/>
  <c r="I886" i="1"/>
  <c r="H887" i="1"/>
  <c r="I887" i="1"/>
  <c r="H888" i="1"/>
  <c r="I888" i="1"/>
  <c r="H889" i="1"/>
  <c r="I889" i="1"/>
  <c r="H890" i="1"/>
  <c r="I890" i="1"/>
  <c r="H891" i="1"/>
  <c r="I891" i="1"/>
  <c r="H892" i="1"/>
  <c r="I892" i="1"/>
  <c r="H893" i="1"/>
  <c r="I893" i="1"/>
  <c r="H894" i="1"/>
  <c r="I894" i="1"/>
  <c r="H895" i="1"/>
  <c r="I895" i="1"/>
  <c r="H896" i="1"/>
  <c r="I896" i="1"/>
  <c r="H897" i="1"/>
  <c r="I897" i="1"/>
  <c r="H898" i="1"/>
  <c r="I898" i="1"/>
  <c r="H899" i="1"/>
  <c r="I899" i="1"/>
  <c r="H900" i="1"/>
  <c r="I900" i="1"/>
  <c r="H901" i="1"/>
  <c r="I901" i="1"/>
  <c r="H902" i="1"/>
  <c r="I902" i="1"/>
  <c r="H903" i="1"/>
  <c r="I903" i="1"/>
  <c r="H904" i="1"/>
  <c r="I904" i="1"/>
  <c r="H905" i="1"/>
  <c r="I905" i="1"/>
  <c r="H906" i="1"/>
  <c r="I906" i="1"/>
  <c r="H907" i="1"/>
  <c r="I907" i="1"/>
  <c r="H908" i="1"/>
  <c r="I908" i="1"/>
  <c r="H909" i="1"/>
  <c r="I909" i="1"/>
  <c r="H910" i="1"/>
  <c r="I910" i="1"/>
  <c r="H911" i="1"/>
  <c r="I911" i="1"/>
  <c r="H912" i="1"/>
  <c r="I912" i="1"/>
  <c r="H913" i="1"/>
  <c r="I913" i="1"/>
  <c r="H914" i="1"/>
  <c r="I914" i="1"/>
  <c r="H915" i="1"/>
  <c r="I915" i="1"/>
  <c r="H916" i="1"/>
  <c r="I916" i="1"/>
  <c r="H917" i="1"/>
  <c r="I917" i="1"/>
  <c r="H918" i="1"/>
  <c r="I918" i="1"/>
  <c r="H919" i="1"/>
  <c r="I919" i="1"/>
  <c r="H920" i="1"/>
  <c r="I920" i="1"/>
  <c r="H921" i="1"/>
  <c r="I921" i="1"/>
  <c r="H922" i="1"/>
  <c r="I922" i="1"/>
  <c r="H923" i="1"/>
  <c r="I923" i="1"/>
  <c r="H924" i="1"/>
  <c r="I924" i="1"/>
  <c r="H925" i="1"/>
  <c r="I925" i="1"/>
  <c r="H926" i="1"/>
  <c r="I926" i="1"/>
  <c r="H927" i="1"/>
  <c r="I927" i="1"/>
  <c r="H928" i="1"/>
  <c r="I928" i="1"/>
  <c r="H929" i="1"/>
  <c r="I929" i="1"/>
  <c r="H930" i="1"/>
  <c r="I930" i="1"/>
  <c r="H931" i="1"/>
  <c r="I931" i="1"/>
  <c r="H932" i="1"/>
  <c r="I932" i="1"/>
  <c r="H933" i="1"/>
  <c r="I933" i="1"/>
  <c r="H934" i="1"/>
  <c r="I934" i="1"/>
  <c r="H935" i="1"/>
  <c r="I935" i="1"/>
  <c r="H936" i="1"/>
  <c r="I936" i="1"/>
  <c r="H937" i="1"/>
  <c r="I937" i="1"/>
  <c r="H938" i="1"/>
  <c r="I938" i="1"/>
  <c r="H939" i="1"/>
  <c r="I939" i="1"/>
  <c r="H940" i="1"/>
  <c r="I940" i="1"/>
  <c r="H941" i="1"/>
  <c r="I941" i="1"/>
  <c r="H942" i="1"/>
  <c r="I942" i="1"/>
  <c r="H943" i="1"/>
  <c r="I943" i="1"/>
  <c r="H944" i="1"/>
  <c r="I944" i="1"/>
  <c r="H945" i="1"/>
  <c r="I945" i="1"/>
  <c r="H946" i="1"/>
  <c r="I946" i="1"/>
  <c r="H947" i="1"/>
  <c r="I947" i="1"/>
  <c r="H948" i="1"/>
  <c r="I948" i="1"/>
  <c r="H949" i="1"/>
  <c r="I949" i="1"/>
  <c r="H950" i="1"/>
  <c r="I950" i="1"/>
  <c r="H951" i="1"/>
  <c r="I951" i="1"/>
  <c r="H952" i="1"/>
  <c r="I952" i="1"/>
  <c r="H953" i="1"/>
  <c r="I953" i="1"/>
  <c r="H954" i="1"/>
  <c r="I954" i="1"/>
  <c r="H955" i="1"/>
  <c r="I955" i="1"/>
  <c r="H956" i="1"/>
  <c r="I956" i="1"/>
  <c r="H957" i="1"/>
  <c r="I957" i="1"/>
  <c r="H958" i="1"/>
  <c r="I958" i="1"/>
  <c r="H959" i="1"/>
  <c r="I959" i="1"/>
  <c r="H960" i="1"/>
  <c r="I960" i="1"/>
  <c r="H961" i="1"/>
  <c r="I961" i="1"/>
  <c r="H962" i="1"/>
  <c r="I962" i="1"/>
  <c r="H963" i="1"/>
  <c r="I963" i="1"/>
  <c r="H964" i="1"/>
  <c r="I964" i="1"/>
  <c r="H965" i="1"/>
  <c r="I965" i="1"/>
  <c r="H966" i="1"/>
  <c r="I966" i="1"/>
  <c r="H967" i="1"/>
  <c r="I967" i="1"/>
  <c r="H968" i="1"/>
  <c r="I968" i="1"/>
  <c r="H969" i="1"/>
  <c r="I969" i="1"/>
  <c r="H970" i="1"/>
  <c r="I970" i="1"/>
  <c r="H971" i="1"/>
  <c r="I971" i="1"/>
  <c r="H972" i="1"/>
  <c r="I972" i="1"/>
  <c r="H973" i="1"/>
  <c r="I973" i="1"/>
  <c r="H974" i="1"/>
  <c r="I974" i="1"/>
  <c r="H975" i="1"/>
  <c r="I975" i="1"/>
  <c r="H976" i="1"/>
  <c r="I976" i="1"/>
  <c r="H977" i="1"/>
  <c r="I977" i="1"/>
  <c r="H978" i="1"/>
  <c r="I978" i="1"/>
  <c r="H979" i="1"/>
  <c r="I979" i="1"/>
  <c r="H980" i="1"/>
  <c r="I980" i="1"/>
  <c r="H981" i="1"/>
  <c r="I981" i="1"/>
  <c r="H982" i="1"/>
  <c r="I982" i="1"/>
  <c r="H983" i="1"/>
  <c r="I983" i="1"/>
  <c r="H984" i="1"/>
  <c r="I984" i="1"/>
  <c r="H985" i="1"/>
  <c r="I985" i="1"/>
  <c r="H986" i="1"/>
  <c r="I986" i="1"/>
  <c r="H987" i="1"/>
  <c r="I987" i="1"/>
  <c r="H988" i="1"/>
  <c r="I988" i="1"/>
  <c r="H989" i="1"/>
  <c r="I989" i="1"/>
  <c r="H990" i="1"/>
  <c r="I990" i="1"/>
  <c r="H991" i="1"/>
  <c r="I991" i="1"/>
  <c r="H992" i="1"/>
  <c r="I992" i="1"/>
  <c r="H993" i="1"/>
  <c r="I993" i="1"/>
  <c r="H994" i="1"/>
  <c r="I994" i="1"/>
  <c r="H995" i="1"/>
  <c r="I995" i="1"/>
  <c r="H996" i="1"/>
  <c r="I996" i="1"/>
  <c r="H997" i="1"/>
  <c r="I997" i="1"/>
  <c r="H998" i="1"/>
  <c r="I998" i="1"/>
  <c r="H999" i="1"/>
  <c r="I999" i="1"/>
  <c r="H1000" i="1"/>
  <c r="I1000" i="1"/>
  <c r="H1001" i="1"/>
  <c r="I1001" i="1"/>
  <c r="M2" i="3"/>
  <c r="C1" i="2"/>
  <c r="D7" i="2"/>
  <c r="D8" i="2"/>
  <c r="D9" i="2"/>
  <c r="D10" i="2"/>
  <c r="D11" i="2"/>
  <c r="D6" i="2"/>
  <c r="C3" i="2" l="1"/>
  <c r="C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5F2A35-2B64-4B14-8FEE-EE222B1C1FAF}" keepAlive="1" name="查詢 - sheet1" description="與活頁簿中 'sheet1' 查詢的連接。" type="5" refreshedVersion="0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<sst xmlns="http://schemas.openxmlformats.org/spreadsheetml/2006/main" count="32203" uniqueCount="2711">
  <si>
    <t>專案名稱：HappyFruit 2019-2021年度銷售績效與客戶行為分析報告</t>
    <phoneticPr fontId="2" type="noConversion"/>
  </si>
  <si>
    <t>資料集結構說明</t>
    <phoneticPr fontId="2" type="noConversion"/>
  </si>
  <si>
    <t>Sales表：紀錄交易金額、日期及關聯ID。</t>
    <phoneticPr fontId="2" type="noConversion"/>
  </si>
  <si>
    <t>Products表：紀錄產品名稱及產品ID。</t>
    <phoneticPr fontId="2" type="noConversion"/>
  </si>
  <si>
    <t>Salesall表：紀錄交易金額、日期、業務員、客戶及產品名稱。</t>
    <phoneticPr fontId="2" type="noConversion"/>
  </si>
  <si>
    <t>Employees表：紀錄業務員姓名及員工ID。</t>
    <phoneticPr fontId="2" type="noConversion"/>
  </si>
  <si>
    <t>分析內容導覽</t>
    <phoneticPr fontId="2" type="noConversion"/>
  </si>
  <si>
    <t>分析主題</t>
    <phoneticPr fontId="2" type="noConversion"/>
  </si>
  <si>
    <t>導覽連結</t>
    <phoneticPr fontId="2" type="noConversion"/>
  </si>
  <si>
    <t>id</t>
  </si>
  <si>
    <t>Name</t>
  </si>
  <si>
    <t>City</t>
  </si>
  <si>
    <t>69小華超商</t>
  </si>
  <si>
    <t>臺北市</t>
  </si>
  <si>
    <t>樂活超市</t>
  </si>
  <si>
    <t>新竹市</t>
  </si>
  <si>
    <t>愉悅水果運銷</t>
  </si>
  <si>
    <t>高雄市</t>
  </si>
  <si>
    <t>布林食品公司</t>
  </si>
  <si>
    <t>新北市</t>
  </si>
  <si>
    <t>松壽生鮮食超商</t>
  </si>
  <si>
    <t>臺中市</t>
  </si>
  <si>
    <t>品國水果行</t>
  </si>
  <si>
    <t>雲林縣</t>
  </si>
  <si>
    <t>清泉水果產銷</t>
  </si>
  <si>
    <t>苗栗縣</t>
  </si>
  <si>
    <t>核心目標：透過多維度指標分析，識別高價值產品、核心業績驅動因素及月度營收趨勢，為營運決策提供數據支持。</t>
    <phoneticPr fontId="2" type="noConversion"/>
  </si>
  <si>
    <t>SQL核心語法邏輯</t>
    <phoneticPr fontId="2" type="noConversion"/>
  </si>
  <si>
    <t>Excel展現重點</t>
    <phoneticPr fontId="2" type="noConversion"/>
  </si>
  <si>
    <t>產品銷售驗證</t>
    <phoneticPr fontId="2" type="noConversion"/>
  </si>
  <si>
    <t>2019年度營收指標趨勢</t>
    <phoneticPr fontId="2" type="noConversion"/>
  </si>
  <si>
    <t>員工績效考核</t>
    <phoneticPr fontId="2" type="noConversion"/>
  </si>
  <si>
    <t>客戶消費行為與趨勢追蹤</t>
    <phoneticPr fontId="2" type="noConversion"/>
  </si>
  <si>
    <t>分析背景：針對HappyFruit資料庫中的銷售、產品、員工及客戶資料進行整合。</t>
    <phoneticPr fontId="2" type="noConversion"/>
  </si>
  <si>
    <t>1</t>
  </si>
  <si>
    <t>2</t>
  </si>
  <si>
    <t>3</t>
  </si>
  <si>
    <t>4</t>
  </si>
  <si>
    <t>5</t>
  </si>
  <si>
    <t>6</t>
  </si>
  <si>
    <t>7</t>
  </si>
  <si>
    <t>Code</t>
  </si>
  <si>
    <t>T001</t>
  </si>
  <si>
    <t>林小玉</t>
  </si>
  <si>
    <t>T002</t>
  </si>
  <si>
    <t>葉小美</t>
  </si>
  <si>
    <t>T003</t>
  </si>
  <si>
    <t>江小花</t>
  </si>
  <si>
    <t>T004</t>
  </si>
  <si>
    <t>楊小杉</t>
  </si>
  <si>
    <t>T005</t>
  </si>
  <si>
    <t>郭小婷</t>
  </si>
  <si>
    <t>T006</t>
  </si>
  <si>
    <t>吳小亮</t>
  </si>
  <si>
    <t>T007</t>
  </si>
  <si>
    <t>林阿杰</t>
  </si>
  <si>
    <t>8</t>
  </si>
  <si>
    <t>T008</t>
  </si>
  <si>
    <t>李小怡</t>
  </si>
  <si>
    <t>9</t>
  </si>
  <si>
    <t>T009</t>
  </si>
  <si>
    <t>方小文</t>
  </si>
  <si>
    <t>西瓜</t>
  </si>
  <si>
    <t>芒果</t>
  </si>
  <si>
    <t>柚子</t>
  </si>
  <si>
    <t>香蕉</t>
  </si>
  <si>
    <t>鳳梨</t>
  </si>
  <si>
    <t>蘋果</t>
  </si>
  <si>
    <t>employee_id</t>
  </si>
  <si>
    <t>client_id</t>
  </si>
  <si>
    <t>product_id</t>
  </si>
  <si>
    <t>Amount</t>
  </si>
  <si>
    <t>Date</t>
  </si>
  <si>
    <t>41000.00</t>
  </si>
  <si>
    <t>2019年1月2日</t>
  </si>
  <si>
    <t>230000.00</t>
  </si>
  <si>
    <t>2019年1月3日</t>
  </si>
  <si>
    <t>154000.00</t>
  </si>
  <si>
    <t>2019年1月4日</t>
  </si>
  <si>
    <t>170000.00</t>
  </si>
  <si>
    <t>2019年1月5日</t>
  </si>
  <si>
    <t>100000.00</t>
  </si>
  <si>
    <t>139000.00</t>
  </si>
  <si>
    <t>2019年1月6日</t>
  </si>
  <si>
    <t>93000.00</t>
  </si>
  <si>
    <t>2019年1月7日</t>
  </si>
  <si>
    <t>247000.00</t>
  </si>
  <si>
    <t>2019年1月9日</t>
  </si>
  <si>
    <t>58000.00</t>
  </si>
  <si>
    <t>2019年1月10日</t>
  </si>
  <si>
    <t>10</t>
  </si>
  <si>
    <t>231000.00</t>
  </si>
  <si>
    <t>11</t>
  </si>
  <si>
    <t>183000.00</t>
  </si>
  <si>
    <t>12</t>
  </si>
  <si>
    <t>156000.00</t>
  </si>
  <si>
    <t>2019年1月12日</t>
  </si>
  <si>
    <t>13</t>
  </si>
  <si>
    <t>66000.00</t>
  </si>
  <si>
    <t>14</t>
  </si>
  <si>
    <t>80000.00</t>
  </si>
  <si>
    <t>2019年1月15日</t>
  </si>
  <si>
    <t>15</t>
  </si>
  <si>
    <t>31000.00</t>
  </si>
  <si>
    <t>16</t>
  </si>
  <si>
    <t>217000.00</t>
  </si>
  <si>
    <t>17</t>
  </si>
  <si>
    <t>239000.00</t>
  </si>
  <si>
    <t>18</t>
  </si>
  <si>
    <t>120000.00</t>
  </si>
  <si>
    <t>2019年1月16日</t>
  </si>
  <si>
    <t>19</t>
  </si>
  <si>
    <t>246000.00</t>
  </si>
  <si>
    <t>20</t>
  </si>
  <si>
    <t>79000.00</t>
  </si>
  <si>
    <t>2019年1月17日</t>
  </si>
  <si>
    <t>21</t>
  </si>
  <si>
    <t>167000.00</t>
  </si>
  <si>
    <t>22</t>
  </si>
  <si>
    <t>111000.00</t>
  </si>
  <si>
    <t>2019年1月18日</t>
  </si>
  <si>
    <t>23</t>
  </si>
  <si>
    <t>215000.00</t>
  </si>
  <si>
    <t>24</t>
  </si>
  <si>
    <t>84000.00</t>
  </si>
  <si>
    <t>25</t>
  </si>
  <si>
    <t>275000.00</t>
  </si>
  <si>
    <t>26</t>
  </si>
  <si>
    <t>119000.00</t>
  </si>
  <si>
    <t>2019年1月19日</t>
  </si>
  <si>
    <t>27</t>
  </si>
  <si>
    <t>88000.00</t>
  </si>
  <si>
    <t>2019年1月20日</t>
  </si>
  <si>
    <t>28</t>
  </si>
  <si>
    <t>199000.00</t>
  </si>
  <si>
    <t>2019年1月21日</t>
  </si>
  <si>
    <t>29</t>
  </si>
  <si>
    <t>47000.00</t>
  </si>
  <si>
    <t>30</t>
  </si>
  <si>
    <t>52000.00</t>
  </si>
  <si>
    <t>2019年1月22日</t>
  </si>
  <si>
    <t>31</t>
  </si>
  <si>
    <t>141000.00</t>
  </si>
  <si>
    <t>2019年1月23日</t>
  </si>
  <si>
    <t>32</t>
  </si>
  <si>
    <t>273000.00</t>
  </si>
  <si>
    <t>33</t>
  </si>
  <si>
    <t>268000.00</t>
  </si>
  <si>
    <t>2019年1月25日</t>
  </si>
  <si>
    <t>34</t>
  </si>
  <si>
    <t>255000.00</t>
  </si>
  <si>
    <t>35</t>
  </si>
  <si>
    <t>105000.00</t>
  </si>
  <si>
    <t>2019年1月28日</t>
  </si>
  <si>
    <t>36</t>
  </si>
  <si>
    <t>238000.00</t>
  </si>
  <si>
    <t>2019年1月29日</t>
  </si>
  <si>
    <t>37</t>
  </si>
  <si>
    <t>222000.00</t>
  </si>
  <si>
    <t>38</t>
  </si>
  <si>
    <t>270000.00</t>
  </si>
  <si>
    <t>2019年1月31日</t>
  </si>
  <si>
    <t>39</t>
  </si>
  <si>
    <t>244000.00</t>
  </si>
  <si>
    <t>40</t>
  </si>
  <si>
    <t>64000.00</t>
  </si>
  <si>
    <t>2019年2月1日</t>
  </si>
  <si>
    <t>41</t>
  </si>
  <si>
    <t>130000.00</t>
  </si>
  <si>
    <t>2019年2月2日</t>
  </si>
  <si>
    <t>42</t>
  </si>
  <si>
    <t>296000.00</t>
  </si>
  <si>
    <t>2019年2月3日</t>
  </si>
  <si>
    <t>43</t>
  </si>
  <si>
    <t>173000.00</t>
  </si>
  <si>
    <t>2019年2月6日</t>
  </si>
  <si>
    <t>44</t>
  </si>
  <si>
    <t>108000.00</t>
  </si>
  <si>
    <t>2019年2月7日</t>
  </si>
  <si>
    <t>45</t>
  </si>
  <si>
    <t>138000.00</t>
  </si>
  <si>
    <t>2019年2月8日</t>
  </si>
  <si>
    <t>46</t>
  </si>
  <si>
    <t>228000.00</t>
  </si>
  <si>
    <t>47</t>
  </si>
  <si>
    <t>60000.00</t>
  </si>
  <si>
    <t>2019年2月9日</t>
  </si>
  <si>
    <t>48</t>
  </si>
  <si>
    <t>98000.00</t>
  </si>
  <si>
    <t>2019年2月10日</t>
  </si>
  <si>
    <t>49</t>
  </si>
  <si>
    <t>251000.00</t>
  </si>
  <si>
    <t>2019年2月11日</t>
  </si>
  <si>
    <t>50</t>
  </si>
  <si>
    <t>256000.00</t>
  </si>
  <si>
    <t>2019年2月13日</t>
  </si>
  <si>
    <t>51</t>
  </si>
  <si>
    <t>2019年2月16日</t>
  </si>
  <si>
    <t>52</t>
  </si>
  <si>
    <t>70000.00</t>
  </si>
  <si>
    <t>2019年2月17日</t>
  </si>
  <si>
    <t>53</t>
  </si>
  <si>
    <t>33000.00</t>
  </si>
  <si>
    <t>54</t>
  </si>
  <si>
    <t>186000.00</t>
  </si>
  <si>
    <t>2019年2月18日</t>
  </si>
  <si>
    <t>55</t>
  </si>
  <si>
    <t>204000.00</t>
  </si>
  <si>
    <t>2019年2月19日</t>
  </si>
  <si>
    <t>56</t>
  </si>
  <si>
    <t>57</t>
  </si>
  <si>
    <t>258000.00</t>
  </si>
  <si>
    <t>2019年2月21日</t>
  </si>
  <si>
    <t>58</t>
  </si>
  <si>
    <t>264000.00</t>
  </si>
  <si>
    <t>2019年2月22日</t>
  </si>
  <si>
    <t>59</t>
  </si>
  <si>
    <t>287000.00</t>
  </si>
  <si>
    <t>60</t>
  </si>
  <si>
    <t>226000.00</t>
  </si>
  <si>
    <t>61</t>
  </si>
  <si>
    <t>62</t>
  </si>
  <si>
    <t>213000.00</t>
  </si>
  <si>
    <t>2019年2月23日</t>
  </si>
  <si>
    <t>63</t>
  </si>
  <si>
    <t>249000.00</t>
  </si>
  <si>
    <t>2019年2月25日</t>
  </si>
  <si>
    <t>64</t>
  </si>
  <si>
    <t>297000.00</t>
  </si>
  <si>
    <t>65</t>
  </si>
  <si>
    <t>180000.00</t>
  </si>
  <si>
    <t>2019年2月26日</t>
  </si>
  <si>
    <t>66</t>
  </si>
  <si>
    <t>30000.00</t>
  </si>
  <si>
    <t>2019年2月27日</t>
  </si>
  <si>
    <t>67</t>
  </si>
  <si>
    <t>106000.00</t>
  </si>
  <si>
    <t>2019年3月1日</t>
  </si>
  <si>
    <t>68</t>
  </si>
  <si>
    <t>281000.00</t>
  </si>
  <si>
    <t>2019年3月2日</t>
  </si>
  <si>
    <t>69</t>
  </si>
  <si>
    <t>92000.00</t>
  </si>
  <si>
    <t>70</t>
  </si>
  <si>
    <t>78000.00</t>
  </si>
  <si>
    <t>2019年3月3日</t>
  </si>
  <si>
    <t>71</t>
  </si>
  <si>
    <t>192000.00</t>
  </si>
  <si>
    <t>72</t>
  </si>
  <si>
    <t>126000.00</t>
  </si>
  <si>
    <t>2019年3月4日</t>
  </si>
  <si>
    <t>73</t>
  </si>
  <si>
    <t>115000.00</t>
  </si>
  <si>
    <t>74</t>
  </si>
  <si>
    <t>191000.00</t>
  </si>
  <si>
    <t>2019年3月5日</t>
  </si>
  <si>
    <t>75</t>
  </si>
  <si>
    <t>289000.00</t>
  </si>
  <si>
    <t>2019年3月6日</t>
  </si>
  <si>
    <t>76</t>
  </si>
  <si>
    <t>127000.00</t>
  </si>
  <si>
    <t>77</t>
  </si>
  <si>
    <t>207000.00</t>
  </si>
  <si>
    <t>78</t>
  </si>
  <si>
    <t>152000.00</t>
  </si>
  <si>
    <t>2019年3月7日</t>
  </si>
  <si>
    <t>79</t>
  </si>
  <si>
    <t>113000.00</t>
  </si>
  <si>
    <t>2019年3月9日</t>
  </si>
  <si>
    <t>80</t>
  </si>
  <si>
    <t>112000.00</t>
  </si>
  <si>
    <t>2019年3月11日</t>
  </si>
  <si>
    <t>81</t>
  </si>
  <si>
    <t>2019年3月15日</t>
  </si>
  <si>
    <t>82</t>
  </si>
  <si>
    <t>202000.00</t>
  </si>
  <si>
    <t>2019年3月20日</t>
  </si>
  <si>
    <t>83</t>
  </si>
  <si>
    <t>163000.00</t>
  </si>
  <si>
    <t>84</t>
  </si>
  <si>
    <t>188000.00</t>
  </si>
  <si>
    <t>2019年3月21日</t>
  </si>
  <si>
    <t>85</t>
  </si>
  <si>
    <t>86</t>
  </si>
  <si>
    <t>174000.00</t>
  </si>
  <si>
    <t>87</t>
  </si>
  <si>
    <t>55000.00</t>
  </si>
  <si>
    <t>2019年3月23日</t>
  </si>
  <si>
    <t>88</t>
  </si>
  <si>
    <t>147000.00</t>
  </si>
  <si>
    <t>89</t>
  </si>
  <si>
    <t>54000.00</t>
  </si>
  <si>
    <t>2019年3月24日</t>
  </si>
  <si>
    <t>90</t>
  </si>
  <si>
    <t>91</t>
  </si>
  <si>
    <t>51000.00</t>
  </si>
  <si>
    <t>92</t>
  </si>
  <si>
    <t>116000.00</t>
  </si>
  <si>
    <t>2019年3月25日</t>
  </si>
  <si>
    <t>93</t>
  </si>
  <si>
    <t>125000.00</t>
  </si>
  <si>
    <t>2019年3月29日</t>
  </si>
  <si>
    <t>94</t>
  </si>
  <si>
    <t>196000.00</t>
  </si>
  <si>
    <t>2019年3月30日</t>
  </si>
  <si>
    <t>95</t>
  </si>
  <si>
    <t>96</t>
  </si>
  <si>
    <t>69000.00</t>
  </si>
  <si>
    <t>2019年3月31日</t>
  </si>
  <si>
    <t>97</t>
  </si>
  <si>
    <t>2019年4月3日</t>
  </si>
  <si>
    <t>98</t>
  </si>
  <si>
    <t>216000.00</t>
  </si>
  <si>
    <t>2019年4月4日</t>
  </si>
  <si>
    <t>99</t>
  </si>
  <si>
    <t>193000.00</t>
  </si>
  <si>
    <t>2019年4月5日</t>
  </si>
  <si>
    <t>100</t>
  </si>
  <si>
    <t>2019年4月6日</t>
  </si>
  <si>
    <t>101</t>
  </si>
  <si>
    <t>2019年4月7日</t>
  </si>
  <si>
    <t>102</t>
  </si>
  <si>
    <t>2019年4月9日</t>
  </si>
  <si>
    <t>103</t>
  </si>
  <si>
    <t>155000.00</t>
  </si>
  <si>
    <t>104</t>
  </si>
  <si>
    <t>2019年4月11日</t>
  </si>
  <si>
    <t>105</t>
  </si>
  <si>
    <t>99000.00</t>
  </si>
  <si>
    <t>2019年4月13日</t>
  </si>
  <si>
    <t>106</t>
  </si>
  <si>
    <t>2019年4月15日</t>
  </si>
  <si>
    <t>107</t>
  </si>
  <si>
    <t>91000.00</t>
  </si>
  <si>
    <t>2019年4月16日</t>
  </si>
  <si>
    <t>108</t>
  </si>
  <si>
    <t>2019年4月17日</t>
  </si>
  <si>
    <t>109</t>
  </si>
  <si>
    <t>124000.00</t>
  </si>
  <si>
    <t>110</t>
  </si>
  <si>
    <t>198000.00</t>
  </si>
  <si>
    <t>2019年4月19日</t>
  </si>
  <si>
    <t>111</t>
  </si>
  <si>
    <t>279000.00</t>
  </si>
  <si>
    <t>2019年4月21日</t>
  </si>
  <si>
    <t>112</t>
  </si>
  <si>
    <t>271000.00</t>
  </si>
  <si>
    <t>2019年4月26日</t>
  </si>
  <si>
    <t>113</t>
  </si>
  <si>
    <t>2019年4月28日</t>
  </si>
  <si>
    <t>114</t>
  </si>
  <si>
    <t>82000.00</t>
  </si>
  <si>
    <t>2019年4月29日</t>
  </si>
  <si>
    <t>115</t>
  </si>
  <si>
    <t>257000.00</t>
  </si>
  <si>
    <t>116</t>
  </si>
  <si>
    <t>2019年5月1日</t>
  </si>
  <si>
    <t>117</t>
  </si>
  <si>
    <t>118</t>
  </si>
  <si>
    <t>119</t>
  </si>
  <si>
    <t>2019年5月2日</t>
  </si>
  <si>
    <t>120</t>
  </si>
  <si>
    <t>121</t>
  </si>
  <si>
    <t>252000.00</t>
  </si>
  <si>
    <t>122</t>
  </si>
  <si>
    <t>161000.00</t>
  </si>
  <si>
    <t>2019年5月3日</t>
  </si>
  <si>
    <t>123</t>
  </si>
  <si>
    <t>2019年5月4日</t>
  </si>
  <si>
    <t>124</t>
  </si>
  <si>
    <t>125</t>
  </si>
  <si>
    <t>274000.00</t>
  </si>
  <si>
    <t>2019年5月5日</t>
  </si>
  <si>
    <t>126</t>
  </si>
  <si>
    <t>225000.00</t>
  </si>
  <si>
    <t>127</t>
  </si>
  <si>
    <t>2019年5月7日</t>
  </si>
  <si>
    <t>128</t>
  </si>
  <si>
    <t>232000.00</t>
  </si>
  <si>
    <t>129</t>
  </si>
  <si>
    <t>2019年5月8日</t>
  </si>
  <si>
    <t>130</t>
  </si>
  <si>
    <t>214000.00</t>
  </si>
  <si>
    <t>2019年5月10日</t>
  </si>
  <si>
    <t>131</t>
  </si>
  <si>
    <t>160000.00</t>
  </si>
  <si>
    <t>132</t>
  </si>
  <si>
    <t>172000.00</t>
  </si>
  <si>
    <t>2019年5月11日</t>
  </si>
  <si>
    <t>133</t>
  </si>
  <si>
    <t>218000.00</t>
  </si>
  <si>
    <t>134</t>
  </si>
  <si>
    <t>2019年5月12日</t>
  </si>
  <si>
    <t>135</t>
  </si>
  <si>
    <t>136</t>
  </si>
  <si>
    <t>2019年5月13日</t>
  </si>
  <si>
    <t>137</t>
  </si>
  <si>
    <t>272000.00</t>
  </si>
  <si>
    <t>2019年5月14日</t>
  </si>
  <si>
    <t>138</t>
  </si>
  <si>
    <t>245000.00</t>
  </si>
  <si>
    <t>139</t>
  </si>
  <si>
    <t>2019年5月15日</t>
  </si>
  <si>
    <t>140</t>
  </si>
  <si>
    <t>2019年5月16日</t>
  </si>
  <si>
    <t>141</t>
  </si>
  <si>
    <t>142</t>
  </si>
  <si>
    <t>2019年5月17日</t>
  </si>
  <si>
    <t>143</t>
  </si>
  <si>
    <t>208000.00</t>
  </si>
  <si>
    <t>144</t>
  </si>
  <si>
    <t>269000.00</t>
  </si>
  <si>
    <t>145</t>
  </si>
  <si>
    <t>200000.00</t>
  </si>
  <si>
    <t>2019年5月21日</t>
  </si>
  <si>
    <t>146</t>
  </si>
  <si>
    <t>2019年5月22日</t>
  </si>
  <si>
    <t>147</t>
  </si>
  <si>
    <t>144000.00</t>
  </si>
  <si>
    <t>2019年5月27日</t>
  </si>
  <si>
    <t>148</t>
  </si>
  <si>
    <t>149000.00</t>
  </si>
  <si>
    <t>149</t>
  </si>
  <si>
    <t>102000.00</t>
  </si>
  <si>
    <t>2019年5月28日</t>
  </si>
  <si>
    <t>150</t>
  </si>
  <si>
    <t>2019年5月29日</t>
  </si>
  <si>
    <t>151</t>
  </si>
  <si>
    <t>152</t>
  </si>
  <si>
    <t>2019年5月31日</t>
  </si>
  <si>
    <t>153</t>
  </si>
  <si>
    <t>154</t>
  </si>
  <si>
    <t>2019年6月1日</t>
  </si>
  <si>
    <t>155</t>
  </si>
  <si>
    <t>75000.00</t>
  </si>
  <si>
    <t>2019年6月4日</t>
  </si>
  <si>
    <t>156</t>
  </si>
  <si>
    <t>2019年6月5日</t>
  </si>
  <si>
    <t>157</t>
  </si>
  <si>
    <t>2019年6月6日</t>
  </si>
  <si>
    <t>158</t>
  </si>
  <si>
    <t>2019年6月7日</t>
  </si>
  <si>
    <t>159</t>
  </si>
  <si>
    <t>94000.00</t>
  </si>
  <si>
    <t>2019年6月8日</t>
  </si>
  <si>
    <t>160</t>
  </si>
  <si>
    <t>104000.00</t>
  </si>
  <si>
    <t>161</t>
  </si>
  <si>
    <t>162</t>
  </si>
  <si>
    <t>2019年6月9日</t>
  </si>
  <si>
    <t>163</t>
  </si>
  <si>
    <t>2019年6月13日</t>
  </si>
  <si>
    <t>164</t>
  </si>
  <si>
    <t>121000.00</t>
  </si>
  <si>
    <t>2019年6月17日</t>
  </si>
  <si>
    <t>165</t>
  </si>
  <si>
    <t>286000.00</t>
  </si>
  <si>
    <t>166</t>
  </si>
  <si>
    <t>167</t>
  </si>
  <si>
    <t>2019年6月18日</t>
  </si>
  <si>
    <t>168</t>
  </si>
  <si>
    <t>169</t>
  </si>
  <si>
    <t>2019年6月20日</t>
  </si>
  <si>
    <t>170</t>
  </si>
  <si>
    <t>2019年6月21日</t>
  </si>
  <si>
    <t>171</t>
  </si>
  <si>
    <t>153000.00</t>
  </si>
  <si>
    <t>172</t>
  </si>
  <si>
    <t>2019年6月22日</t>
  </si>
  <si>
    <t>173</t>
  </si>
  <si>
    <t>261000.00</t>
  </si>
  <si>
    <t>2019年6月24日</t>
  </si>
  <si>
    <t>174</t>
  </si>
  <si>
    <t>175</t>
  </si>
  <si>
    <t>2019年6月25日</t>
  </si>
  <si>
    <t>176</t>
  </si>
  <si>
    <t>2019年6月26日</t>
  </si>
  <si>
    <t>177</t>
  </si>
  <si>
    <t>166000.00</t>
  </si>
  <si>
    <t>2019年6月27日</t>
  </si>
  <si>
    <t>178</t>
  </si>
  <si>
    <t>71000.00</t>
  </si>
  <si>
    <t>2019年6月28日</t>
  </si>
  <si>
    <t>179</t>
  </si>
  <si>
    <t>136000.00</t>
  </si>
  <si>
    <t>180</t>
  </si>
  <si>
    <t>181</t>
  </si>
  <si>
    <t>182</t>
  </si>
  <si>
    <t>183</t>
  </si>
  <si>
    <t>63000.00</t>
  </si>
  <si>
    <t>2019年6月29日</t>
  </si>
  <si>
    <t>184</t>
  </si>
  <si>
    <t>65000.00</t>
  </si>
  <si>
    <t>185</t>
  </si>
  <si>
    <t>266000.00</t>
  </si>
  <si>
    <t>2019年6月30日</t>
  </si>
  <si>
    <t>186</t>
  </si>
  <si>
    <t>259000.00</t>
  </si>
  <si>
    <t>187</t>
  </si>
  <si>
    <t>2019年7月1日</t>
  </si>
  <si>
    <t>188</t>
  </si>
  <si>
    <t>260000.00</t>
  </si>
  <si>
    <t>189</t>
  </si>
  <si>
    <t>132000.00</t>
  </si>
  <si>
    <t>2019年7月2日</t>
  </si>
  <si>
    <t>190</t>
  </si>
  <si>
    <t>191</t>
  </si>
  <si>
    <t>145000.00</t>
  </si>
  <si>
    <t>2019年7月3日</t>
  </si>
  <si>
    <t>192</t>
  </si>
  <si>
    <t>2019年7月4日</t>
  </si>
  <si>
    <t>193</t>
  </si>
  <si>
    <t>197000.00</t>
  </si>
  <si>
    <t>2019年7月6日</t>
  </si>
  <si>
    <t>194</t>
  </si>
  <si>
    <t>234000.00</t>
  </si>
  <si>
    <t>195</t>
  </si>
  <si>
    <t>142000.00</t>
  </si>
  <si>
    <t>2019年7月7日</t>
  </si>
  <si>
    <t>196</t>
  </si>
  <si>
    <t>2019年7月10日</t>
  </si>
  <si>
    <t>197</t>
  </si>
  <si>
    <t>243000.00</t>
  </si>
  <si>
    <t>2019年7月11日</t>
  </si>
  <si>
    <t>198</t>
  </si>
  <si>
    <t>199</t>
  </si>
  <si>
    <t>2019年7月13日</t>
  </si>
  <si>
    <t>200</t>
  </si>
  <si>
    <t>2019年7月14日</t>
  </si>
  <si>
    <t>201</t>
  </si>
  <si>
    <t>46000.00</t>
  </si>
  <si>
    <t>202</t>
  </si>
  <si>
    <t>203</t>
  </si>
  <si>
    <t>2019年7月16日</t>
  </si>
  <si>
    <t>204</t>
  </si>
  <si>
    <t>57000.00</t>
  </si>
  <si>
    <t>205</t>
  </si>
  <si>
    <t>2019年7月18日</t>
  </si>
  <si>
    <t>206</t>
  </si>
  <si>
    <t>168000.00</t>
  </si>
  <si>
    <t>2019年7月19日</t>
  </si>
  <si>
    <t>207</t>
  </si>
  <si>
    <t>48000.00</t>
  </si>
  <si>
    <t>2019年7月20日</t>
  </si>
  <si>
    <t>208</t>
  </si>
  <si>
    <t>72000.00</t>
  </si>
  <si>
    <t>209</t>
  </si>
  <si>
    <t>123000.00</t>
  </si>
  <si>
    <t>2019年7月24日</t>
  </si>
  <si>
    <t>210</t>
  </si>
  <si>
    <t>2019年7月27日</t>
  </si>
  <si>
    <t>211</t>
  </si>
  <si>
    <t>43000.00</t>
  </si>
  <si>
    <t>2019年7月29日</t>
  </si>
  <si>
    <t>212</t>
  </si>
  <si>
    <t>2019年7月31日</t>
  </si>
  <si>
    <t>213</t>
  </si>
  <si>
    <t>2019年8月1日</t>
  </si>
  <si>
    <t>214</t>
  </si>
  <si>
    <t>282000.00</t>
  </si>
  <si>
    <t>215</t>
  </si>
  <si>
    <t>216</t>
  </si>
  <si>
    <t>2019年8月2日</t>
  </si>
  <si>
    <t>217</t>
  </si>
  <si>
    <t>218</t>
  </si>
  <si>
    <t>229000.00</t>
  </si>
  <si>
    <t>2019年8月3日</t>
  </si>
  <si>
    <t>219</t>
  </si>
  <si>
    <t>2019年8月4日</t>
  </si>
  <si>
    <t>220</t>
  </si>
  <si>
    <t>221</t>
  </si>
  <si>
    <t>2019年8月5日</t>
  </si>
  <si>
    <t>222</t>
  </si>
  <si>
    <t>2019年8月6日</t>
  </si>
  <si>
    <t>223</t>
  </si>
  <si>
    <t>224</t>
  </si>
  <si>
    <t>225</t>
  </si>
  <si>
    <t>2019年8月7日</t>
  </si>
  <si>
    <t>226</t>
  </si>
  <si>
    <t>227</t>
  </si>
  <si>
    <t>211000.00</t>
  </si>
  <si>
    <t>2019年8月10日</t>
  </si>
  <si>
    <t>228</t>
  </si>
  <si>
    <t>2019年8月15日</t>
  </si>
  <si>
    <t>229</t>
  </si>
  <si>
    <t>230</t>
  </si>
  <si>
    <t>2019年8月17日</t>
  </si>
  <si>
    <t>231</t>
  </si>
  <si>
    <t>232</t>
  </si>
  <si>
    <t>118000.00</t>
  </si>
  <si>
    <t>2019年8月19日</t>
  </si>
  <si>
    <t>233</t>
  </si>
  <si>
    <t>2019年8月20日</t>
  </si>
  <si>
    <t>234</t>
  </si>
  <si>
    <t>86000.00</t>
  </si>
  <si>
    <t>235</t>
  </si>
  <si>
    <t>2019年8月22日</t>
  </si>
  <si>
    <t>236</t>
  </si>
  <si>
    <t>2019年8月23日</t>
  </si>
  <si>
    <t>237</t>
  </si>
  <si>
    <t>277000.00</t>
  </si>
  <si>
    <t>2019年8月24日</t>
  </si>
  <si>
    <t>238</t>
  </si>
  <si>
    <t>53000.00</t>
  </si>
  <si>
    <t>2019年8月25日</t>
  </si>
  <si>
    <t>239</t>
  </si>
  <si>
    <t>2019年8月26日</t>
  </si>
  <si>
    <t>240</t>
  </si>
  <si>
    <t>2019年8月27日</t>
  </si>
  <si>
    <t>241</t>
  </si>
  <si>
    <t>242</t>
  </si>
  <si>
    <t>189000.00</t>
  </si>
  <si>
    <t>2019年8月28日</t>
  </si>
  <si>
    <t>243</t>
  </si>
  <si>
    <t>244</t>
  </si>
  <si>
    <t>2019年8月29日</t>
  </si>
  <si>
    <t>245</t>
  </si>
  <si>
    <t>246</t>
  </si>
  <si>
    <t>2019年8月30日</t>
  </si>
  <si>
    <t>247</t>
  </si>
  <si>
    <t>37000.00</t>
  </si>
  <si>
    <t>248</t>
  </si>
  <si>
    <t>2019年9月1日</t>
  </si>
  <si>
    <t>249</t>
  </si>
  <si>
    <t>110000.00</t>
  </si>
  <si>
    <t>250</t>
  </si>
  <si>
    <t>2019年9月3日</t>
  </si>
  <si>
    <t>251</t>
  </si>
  <si>
    <t>285000.00</t>
  </si>
  <si>
    <t>2019年9月7日</t>
  </si>
  <si>
    <t>252</t>
  </si>
  <si>
    <t>2019年9月8日</t>
  </si>
  <si>
    <t>253</t>
  </si>
  <si>
    <t>97000.00</t>
  </si>
  <si>
    <t>2019年9月11日</t>
  </si>
  <si>
    <t>254</t>
  </si>
  <si>
    <t>212000.00</t>
  </si>
  <si>
    <t>255</t>
  </si>
  <si>
    <t>256</t>
  </si>
  <si>
    <t>227000.00</t>
  </si>
  <si>
    <t>257</t>
  </si>
  <si>
    <t>40000.00</t>
  </si>
  <si>
    <t>2019年9月12日</t>
  </si>
  <si>
    <t>258</t>
  </si>
  <si>
    <t>36000.00</t>
  </si>
  <si>
    <t>2019年9月15日</t>
  </si>
  <si>
    <t>259</t>
  </si>
  <si>
    <t>2019年9月18日</t>
  </si>
  <si>
    <t>260</t>
  </si>
  <si>
    <t>210000.00</t>
  </si>
  <si>
    <t>2019年9月19日</t>
  </si>
  <si>
    <t>261</t>
  </si>
  <si>
    <t>96000.00</t>
  </si>
  <si>
    <t>2019年9月22日</t>
  </si>
  <si>
    <t>262</t>
  </si>
  <si>
    <t>2019年9月23日</t>
  </si>
  <si>
    <t>263</t>
  </si>
  <si>
    <t>2019年9月25日</t>
  </si>
  <si>
    <t>264</t>
  </si>
  <si>
    <t>2019年9月26日</t>
  </si>
  <si>
    <t>265</t>
  </si>
  <si>
    <t>266</t>
  </si>
  <si>
    <t>101000.00</t>
  </si>
  <si>
    <t>2019年9月28日</t>
  </si>
  <si>
    <t>267</t>
  </si>
  <si>
    <t>2019年9月29日</t>
  </si>
  <si>
    <t>268</t>
  </si>
  <si>
    <t>269</t>
  </si>
  <si>
    <t>2019年9月30日</t>
  </si>
  <si>
    <t>270</t>
  </si>
  <si>
    <t>169000.00</t>
  </si>
  <si>
    <t>2019年10月2日</t>
  </si>
  <si>
    <t>271</t>
  </si>
  <si>
    <t>272</t>
  </si>
  <si>
    <t>273</t>
  </si>
  <si>
    <t>290000.00</t>
  </si>
  <si>
    <t>2019年10月4日</t>
  </si>
  <si>
    <t>274</t>
  </si>
  <si>
    <t>128000.00</t>
  </si>
  <si>
    <t>2019年10月7日</t>
  </si>
  <si>
    <t>275</t>
  </si>
  <si>
    <t>2019年10月8日</t>
  </si>
  <si>
    <t>276</t>
  </si>
  <si>
    <t>284000.00</t>
  </si>
  <si>
    <t>2019年10月13日</t>
  </si>
  <si>
    <t>277</t>
  </si>
  <si>
    <t>2019年10月14日</t>
  </si>
  <si>
    <t>278</t>
  </si>
  <si>
    <t>107000.00</t>
  </si>
  <si>
    <t>2019年10月16日</t>
  </si>
  <si>
    <t>279</t>
  </si>
  <si>
    <t>280</t>
  </si>
  <si>
    <t>2019年10月18日</t>
  </si>
  <si>
    <t>281</t>
  </si>
  <si>
    <t>182000.00</t>
  </si>
  <si>
    <t>2019年10月19日</t>
  </si>
  <si>
    <t>282</t>
  </si>
  <si>
    <t>276000.00</t>
  </si>
  <si>
    <t>2019年10月21日</t>
  </si>
  <si>
    <t>283</t>
  </si>
  <si>
    <t>2019年10月22日</t>
  </si>
  <si>
    <t>284</t>
  </si>
  <si>
    <t>285</t>
  </si>
  <si>
    <t>61000.00</t>
  </si>
  <si>
    <t>286</t>
  </si>
  <si>
    <t>187000.00</t>
  </si>
  <si>
    <t>287</t>
  </si>
  <si>
    <t>2019年10月23日</t>
  </si>
  <si>
    <t>288</t>
  </si>
  <si>
    <t>2019年10月25日</t>
  </si>
  <si>
    <t>289</t>
  </si>
  <si>
    <t>2019年10月26日</t>
  </si>
  <si>
    <t>290</t>
  </si>
  <si>
    <t>2019年10月29日</t>
  </si>
  <si>
    <t>291</t>
  </si>
  <si>
    <t>292</t>
  </si>
  <si>
    <t>2019年10月30日</t>
  </si>
  <si>
    <t>293</t>
  </si>
  <si>
    <t>242000.00</t>
  </si>
  <si>
    <t>2019年11月1日</t>
  </si>
  <si>
    <t>294</t>
  </si>
  <si>
    <t>295</t>
  </si>
  <si>
    <t>233000.00</t>
  </si>
  <si>
    <t>2019年11月2日</t>
  </si>
  <si>
    <t>296</t>
  </si>
  <si>
    <t>148000.00</t>
  </si>
  <si>
    <t>297</t>
  </si>
  <si>
    <t>77000.00</t>
  </si>
  <si>
    <t>2019年11月3日</t>
  </si>
  <si>
    <t>298</t>
  </si>
  <si>
    <t>179000.00</t>
  </si>
  <si>
    <t>299</t>
  </si>
  <si>
    <t>2019年11月5日</t>
  </si>
  <si>
    <t>300</t>
  </si>
  <si>
    <t>2019年11月6日</t>
  </si>
  <si>
    <t>301</t>
  </si>
  <si>
    <t>291000.00</t>
  </si>
  <si>
    <t>302</t>
  </si>
  <si>
    <t>2019年11月9日</t>
  </si>
  <si>
    <t>303</t>
  </si>
  <si>
    <t>237000.00</t>
  </si>
  <si>
    <t>304</t>
  </si>
  <si>
    <t>305</t>
  </si>
  <si>
    <t>2019年11月10日</t>
  </si>
  <si>
    <t>306</t>
  </si>
  <si>
    <t>2019年11月12日</t>
  </si>
  <si>
    <t>307</t>
  </si>
  <si>
    <t>185000.00</t>
  </si>
  <si>
    <t>2019年11月14日</t>
  </si>
  <si>
    <t>308</t>
  </si>
  <si>
    <t>309</t>
  </si>
  <si>
    <t>310</t>
  </si>
  <si>
    <t>223000.00</t>
  </si>
  <si>
    <t>311</t>
  </si>
  <si>
    <t>175000.00</t>
  </si>
  <si>
    <t>2019年11月15日</t>
  </si>
  <si>
    <t>312</t>
  </si>
  <si>
    <t>89000.00</t>
  </si>
  <si>
    <t>2019年11月16日</t>
  </si>
  <si>
    <t>313</t>
  </si>
  <si>
    <t>206000.00</t>
  </si>
  <si>
    <t>2019年11月17日</t>
  </si>
  <si>
    <t>314</t>
  </si>
  <si>
    <t>2019年11月19日</t>
  </si>
  <si>
    <t>315</t>
  </si>
  <si>
    <t>159000.00</t>
  </si>
  <si>
    <t>2019年11月21日</t>
  </si>
  <si>
    <t>316</t>
  </si>
  <si>
    <t>317</t>
  </si>
  <si>
    <t>2019年11月22日</t>
  </si>
  <si>
    <t>318</t>
  </si>
  <si>
    <t>319</t>
  </si>
  <si>
    <t>288000.00</t>
  </si>
  <si>
    <t>2019年11月23日</t>
  </si>
  <si>
    <t>320</t>
  </si>
  <si>
    <t>2019年11月25日</t>
  </si>
  <si>
    <t>321</t>
  </si>
  <si>
    <t>2019年11月26日</t>
  </si>
  <si>
    <t>322</t>
  </si>
  <si>
    <t>209000.00</t>
  </si>
  <si>
    <t>323</t>
  </si>
  <si>
    <t>2019年12月3日</t>
  </si>
  <si>
    <t>324</t>
  </si>
  <si>
    <t>263000.00</t>
  </si>
  <si>
    <t>2019年12月4日</t>
  </si>
  <si>
    <t>325</t>
  </si>
  <si>
    <t>236000.00</t>
  </si>
  <si>
    <t>2019年12月6日</t>
  </si>
  <si>
    <t>326</t>
  </si>
  <si>
    <t>114000.00</t>
  </si>
  <si>
    <t>2019年12月10日</t>
  </si>
  <si>
    <t>327</t>
  </si>
  <si>
    <t>178000.00</t>
  </si>
  <si>
    <t>2019年12月12日</t>
  </si>
  <si>
    <t>328</t>
  </si>
  <si>
    <t>329</t>
  </si>
  <si>
    <t>221000.00</t>
  </si>
  <si>
    <t>2019年12月15日</t>
  </si>
  <si>
    <t>330</t>
  </si>
  <si>
    <t>2019年12月16日</t>
  </si>
  <si>
    <t>331</t>
  </si>
  <si>
    <t>2019年12月18日</t>
  </si>
  <si>
    <t>332</t>
  </si>
  <si>
    <t>333</t>
  </si>
  <si>
    <t>140000.00</t>
  </si>
  <si>
    <t>334</t>
  </si>
  <si>
    <t>85000.00</t>
  </si>
  <si>
    <t>2019年12月19日</t>
  </si>
  <si>
    <t>335</t>
  </si>
  <si>
    <t>336</t>
  </si>
  <si>
    <t>103000.00</t>
  </si>
  <si>
    <t>2019年12月20日</t>
  </si>
  <si>
    <t>337</t>
  </si>
  <si>
    <t>2019年12月24日</t>
  </si>
  <si>
    <t>338</t>
  </si>
  <si>
    <t>280000.00</t>
  </si>
  <si>
    <t>339</t>
  </si>
  <si>
    <t>2019年12月26日</t>
  </si>
  <si>
    <t>340</t>
  </si>
  <si>
    <t>341</t>
  </si>
  <si>
    <t>2019年12月29日</t>
  </si>
  <si>
    <t>342</t>
  </si>
  <si>
    <t>2019年12月30日</t>
  </si>
  <si>
    <t>343</t>
  </si>
  <si>
    <t>344</t>
  </si>
  <si>
    <t>81000.00</t>
  </si>
  <si>
    <t>2019年12月31日</t>
  </si>
  <si>
    <t>345</t>
  </si>
  <si>
    <t>346</t>
  </si>
  <si>
    <t>294000.00</t>
  </si>
  <si>
    <t>2020年1月2日</t>
  </si>
  <si>
    <t>347</t>
  </si>
  <si>
    <t>348</t>
  </si>
  <si>
    <t>2020年1月3日</t>
  </si>
  <si>
    <t>349</t>
  </si>
  <si>
    <t>137000.00</t>
  </si>
  <si>
    <t>2020年1月4日</t>
  </si>
  <si>
    <t>350</t>
  </si>
  <si>
    <t>2020年1月5日</t>
  </si>
  <si>
    <t>351</t>
  </si>
  <si>
    <t>157000.00</t>
  </si>
  <si>
    <t>2020年1月6日</t>
  </si>
  <si>
    <t>352</t>
  </si>
  <si>
    <t>2020年1月8日</t>
  </si>
  <si>
    <t>353</t>
  </si>
  <si>
    <t>354</t>
  </si>
  <si>
    <t>355</t>
  </si>
  <si>
    <t>2020年1月9日</t>
  </si>
  <si>
    <t>356</t>
  </si>
  <si>
    <t>357</t>
  </si>
  <si>
    <t>2020年1月10日</t>
  </si>
  <si>
    <t>358</t>
  </si>
  <si>
    <t>359</t>
  </si>
  <si>
    <t>2020年1月12日</t>
  </si>
  <si>
    <t>360</t>
  </si>
  <si>
    <t>117000.00</t>
  </si>
  <si>
    <t>2020年1月13日</t>
  </si>
  <si>
    <t>361</t>
  </si>
  <si>
    <t>2020年1月15日</t>
  </si>
  <si>
    <t>362</t>
  </si>
  <si>
    <t>363</t>
  </si>
  <si>
    <t>2020年1月18日</t>
  </si>
  <si>
    <t>364</t>
  </si>
  <si>
    <t>2020年1月21日</t>
  </si>
  <si>
    <t>365</t>
  </si>
  <si>
    <t>42000.00</t>
  </si>
  <si>
    <t>2020年1月22日</t>
  </si>
  <si>
    <t>366</t>
  </si>
  <si>
    <t>68000.00</t>
  </si>
  <si>
    <t>367</t>
  </si>
  <si>
    <t>2020年1月23日</t>
  </si>
  <si>
    <t>368</t>
  </si>
  <si>
    <t>2020年1月25日</t>
  </si>
  <si>
    <t>369</t>
  </si>
  <si>
    <t>241000.00</t>
  </si>
  <si>
    <t>2020年1月27日</t>
  </si>
  <si>
    <t>370</t>
  </si>
  <si>
    <t>2020年1月28日</t>
  </si>
  <si>
    <t>371</t>
  </si>
  <si>
    <t>372</t>
  </si>
  <si>
    <t>373</t>
  </si>
  <si>
    <t>2020年1月30日</t>
  </si>
  <si>
    <t>374</t>
  </si>
  <si>
    <t>2020年2月2日</t>
  </si>
  <si>
    <t>375</t>
  </si>
  <si>
    <t>2020年2月3日</t>
  </si>
  <si>
    <t>376</t>
  </si>
  <si>
    <t>377</t>
  </si>
  <si>
    <t>2020年2月5日</t>
  </si>
  <si>
    <t>378</t>
  </si>
  <si>
    <t>2020年2月6日</t>
  </si>
  <si>
    <t>379</t>
  </si>
  <si>
    <t>2020年2月7日</t>
  </si>
  <si>
    <t>380</t>
  </si>
  <si>
    <t>2020年2月8日</t>
  </si>
  <si>
    <t>381</t>
  </si>
  <si>
    <t>298000.00</t>
  </si>
  <si>
    <t>382</t>
  </si>
  <si>
    <t>2020年2月9日</t>
  </si>
  <si>
    <t>383</t>
  </si>
  <si>
    <t>384</t>
  </si>
  <si>
    <t>2020年2月10日</t>
  </si>
  <si>
    <t>385</t>
  </si>
  <si>
    <t>386</t>
  </si>
  <si>
    <t>2020年2月11日</t>
  </si>
  <si>
    <t>387</t>
  </si>
  <si>
    <t>2020年2月12日</t>
  </si>
  <si>
    <t>388</t>
  </si>
  <si>
    <t>2020年2月18日</t>
  </si>
  <si>
    <t>389</t>
  </si>
  <si>
    <t>2020年2月19日</t>
  </si>
  <si>
    <t>390</t>
  </si>
  <si>
    <t>2020年2月20日</t>
  </si>
  <si>
    <t>391</t>
  </si>
  <si>
    <t>35000.00</t>
  </si>
  <si>
    <t>2020年2月23日</t>
  </si>
  <si>
    <t>392</t>
  </si>
  <si>
    <t>393</t>
  </si>
  <si>
    <t>2020年2月24日</t>
  </si>
  <si>
    <t>394</t>
  </si>
  <si>
    <t>134000.00</t>
  </si>
  <si>
    <t>395</t>
  </si>
  <si>
    <t>253000.00</t>
  </si>
  <si>
    <t>2020年2月26日</t>
  </si>
  <si>
    <t>396</t>
  </si>
  <si>
    <t>87000.00</t>
  </si>
  <si>
    <t>2020年2月29日</t>
  </si>
  <si>
    <t>397</t>
  </si>
  <si>
    <t>398</t>
  </si>
  <si>
    <t>2020年3月1日</t>
  </si>
  <si>
    <t>399</t>
  </si>
  <si>
    <t>129000.00</t>
  </si>
  <si>
    <t>2020年3月3日</t>
  </si>
  <si>
    <t>400</t>
  </si>
  <si>
    <t>2020年3月4日</t>
  </si>
  <si>
    <t>401</t>
  </si>
  <si>
    <t>2020年3月6日</t>
  </si>
  <si>
    <t>402</t>
  </si>
  <si>
    <t>2020年3月8日</t>
  </si>
  <si>
    <t>403</t>
  </si>
  <si>
    <t>2020年3月10日</t>
  </si>
  <si>
    <t>404</t>
  </si>
  <si>
    <t>2020年3月11日</t>
  </si>
  <si>
    <t>405</t>
  </si>
  <si>
    <t>406</t>
  </si>
  <si>
    <t>2020年3月12日</t>
  </si>
  <si>
    <t>407</t>
  </si>
  <si>
    <t>2020年3月13日</t>
  </si>
  <si>
    <t>408</t>
  </si>
  <si>
    <t>2020年3月15日</t>
  </si>
  <si>
    <t>409</t>
  </si>
  <si>
    <t>2020年3月16日</t>
  </si>
  <si>
    <t>410</t>
  </si>
  <si>
    <t>411</t>
  </si>
  <si>
    <t>412</t>
  </si>
  <si>
    <t>413</t>
  </si>
  <si>
    <t>2020年3月17日</t>
  </si>
  <si>
    <t>414</t>
  </si>
  <si>
    <t>146000.00</t>
  </si>
  <si>
    <t>2020年3月19日</t>
  </si>
  <si>
    <t>415</t>
  </si>
  <si>
    <t>95000.00</t>
  </si>
  <si>
    <t>2020年3月21日</t>
  </si>
  <si>
    <t>416</t>
  </si>
  <si>
    <t>248000.00</t>
  </si>
  <si>
    <t>2020年3月23日</t>
  </si>
  <si>
    <t>417</t>
  </si>
  <si>
    <t>2020年3月26日</t>
  </si>
  <si>
    <t>418</t>
  </si>
  <si>
    <t>2020年3月27日</t>
  </si>
  <si>
    <t>419</t>
  </si>
  <si>
    <t>2020年3月28日</t>
  </si>
  <si>
    <t>420</t>
  </si>
  <si>
    <t>2020年3月29日</t>
  </si>
  <si>
    <t>421</t>
  </si>
  <si>
    <t>2020年3月30日</t>
  </si>
  <si>
    <t>422</t>
  </si>
  <si>
    <t>423</t>
  </si>
  <si>
    <t>424</t>
  </si>
  <si>
    <t>83000.00</t>
  </si>
  <si>
    <t>425</t>
  </si>
  <si>
    <t>165000.00</t>
  </si>
  <si>
    <t>2020年3月31日</t>
  </si>
  <si>
    <t>426</t>
  </si>
  <si>
    <t>427</t>
  </si>
  <si>
    <t>428</t>
  </si>
  <si>
    <t>265000.00</t>
  </si>
  <si>
    <t>2020年4月1日</t>
  </si>
  <si>
    <t>429</t>
  </si>
  <si>
    <t>184000.00</t>
  </si>
  <si>
    <t>2020年4月2日</t>
  </si>
  <si>
    <t>430</t>
  </si>
  <si>
    <t>2020年4月3日</t>
  </si>
  <si>
    <t>431</t>
  </si>
  <si>
    <t>2020年4月4日</t>
  </si>
  <si>
    <t>432</t>
  </si>
  <si>
    <t>2020年4月7日</t>
  </si>
  <si>
    <t>433</t>
  </si>
  <si>
    <t>2020年4月9日</t>
  </si>
  <si>
    <t>434</t>
  </si>
  <si>
    <t>2020年4月10日</t>
  </si>
  <si>
    <t>435</t>
  </si>
  <si>
    <t>436</t>
  </si>
  <si>
    <t>437</t>
  </si>
  <si>
    <t>2020年4月12日</t>
  </si>
  <si>
    <t>438</t>
  </si>
  <si>
    <t>2020年4月13日</t>
  </si>
  <si>
    <t>439</t>
  </si>
  <si>
    <t>2020年4月15日</t>
  </si>
  <si>
    <t>440</t>
  </si>
  <si>
    <t>441</t>
  </si>
  <si>
    <t>2020年4月17日</t>
  </si>
  <si>
    <t>442</t>
  </si>
  <si>
    <t>443</t>
  </si>
  <si>
    <t>2020年4月18日</t>
  </si>
  <si>
    <t>444</t>
  </si>
  <si>
    <t>2020年4月19日</t>
  </si>
  <si>
    <t>445</t>
  </si>
  <si>
    <t>2020年4月21日</t>
  </si>
  <si>
    <t>446</t>
  </si>
  <si>
    <t>2020年4月22日</t>
  </si>
  <si>
    <t>447</t>
  </si>
  <si>
    <t>38000.00</t>
  </si>
  <si>
    <t>2020年4月25日</t>
  </si>
  <si>
    <t>448</t>
  </si>
  <si>
    <t>2020年4月30日</t>
  </si>
  <si>
    <t>449</t>
  </si>
  <si>
    <t>90000.00</t>
  </si>
  <si>
    <t>2020年5月1日</t>
  </si>
  <si>
    <t>450</t>
  </si>
  <si>
    <t>2020年5月2日</t>
  </si>
  <si>
    <t>451</t>
  </si>
  <si>
    <t>171000.00</t>
  </si>
  <si>
    <t>452</t>
  </si>
  <si>
    <t>150000.00</t>
  </si>
  <si>
    <t>2020年5月3日</t>
  </si>
  <si>
    <t>453</t>
  </si>
  <si>
    <t>2020年5月5日</t>
  </si>
  <si>
    <t>454</t>
  </si>
  <si>
    <t>455</t>
  </si>
  <si>
    <t>2020年5月6日</t>
  </si>
  <si>
    <t>456</t>
  </si>
  <si>
    <t>2020年5月7日</t>
  </si>
  <si>
    <t>457</t>
  </si>
  <si>
    <t>2020年5月8日</t>
  </si>
  <si>
    <t>458</t>
  </si>
  <si>
    <t>2020年5月10日</t>
  </si>
  <si>
    <t>459</t>
  </si>
  <si>
    <t>299000.00</t>
  </si>
  <si>
    <t>2020年5月11日</t>
  </si>
  <si>
    <t>460</t>
  </si>
  <si>
    <t>2020年5月13日</t>
  </si>
  <si>
    <t>461</t>
  </si>
  <si>
    <t>158000.00</t>
  </si>
  <si>
    <t>462</t>
  </si>
  <si>
    <t>235000.00</t>
  </si>
  <si>
    <t>2020年5月14日</t>
  </si>
  <si>
    <t>463</t>
  </si>
  <si>
    <t>267000.00</t>
  </si>
  <si>
    <t>2020年5月16日</t>
  </si>
  <si>
    <t>464</t>
  </si>
  <si>
    <t>2020年5月17日</t>
  </si>
  <si>
    <t>465</t>
  </si>
  <si>
    <t>466</t>
  </si>
  <si>
    <t>467</t>
  </si>
  <si>
    <t>2020年5月18日</t>
  </si>
  <si>
    <t>468</t>
  </si>
  <si>
    <t>2020年5月19日</t>
  </si>
  <si>
    <t>469</t>
  </si>
  <si>
    <t>2020年5月21日</t>
  </si>
  <si>
    <t>470</t>
  </si>
  <si>
    <t>2020年5月22日</t>
  </si>
  <si>
    <t>471</t>
  </si>
  <si>
    <t>278000.00</t>
  </si>
  <si>
    <t>472</t>
  </si>
  <si>
    <t>2020年5月23日</t>
  </si>
  <si>
    <t>473</t>
  </si>
  <si>
    <t>34000.00</t>
  </si>
  <si>
    <t>474</t>
  </si>
  <si>
    <t>2020年5月24日</t>
  </si>
  <si>
    <t>475</t>
  </si>
  <si>
    <t>476</t>
  </si>
  <si>
    <t>477</t>
  </si>
  <si>
    <t>122000.00</t>
  </si>
  <si>
    <t>2020年5月25日</t>
  </si>
  <si>
    <t>478</t>
  </si>
  <si>
    <t>2020年5月26日</t>
  </si>
  <si>
    <t>479</t>
  </si>
  <si>
    <t>2020年5月28日</t>
  </si>
  <si>
    <t>480</t>
  </si>
  <si>
    <t>109000.00</t>
  </si>
  <si>
    <t>2020年5月29日</t>
  </si>
  <si>
    <t>481</t>
  </si>
  <si>
    <t>482</t>
  </si>
  <si>
    <t>2020年5月30日</t>
  </si>
  <si>
    <t>483</t>
  </si>
  <si>
    <t>484</t>
  </si>
  <si>
    <t>2020年5月31日</t>
  </si>
  <si>
    <t>485</t>
  </si>
  <si>
    <t>2020年6月1日</t>
  </si>
  <si>
    <t>486</t>
  </si>
  <si>
    <t>2020年6月2日</t>
  </si>
  <si>
    <t>487</t>
  </si>
  <si>
    <t>2020年6月4日</t>
  </si>
  <si>
    <t>488</t>
  </si>
  <si>
    <t>2020年6月6日</t>
  </si>
  <si>
    <t>489</t>
  </si>
  <si>
    <t>135000.00</t>
  </si>
  <si>
    <t>2020年6月7日</t>
  </si>
  <si>
    <t>490</t>
  </si>
  <si>
    <t>2020年6月8日</t>
  </si>
  <si>
    <t>491</t>
  </si>
  <si>
    <t>2020年6月9日</t>
  </si>
  <si>
    <t>492</t>
  </si>
  <si>
    <t>2020年6月10日</t>
  </si>
  <si>
    <t>493</t>
  </si>
  <si>
    <t>2020年6月13日</t>
  </si>
  <si>
    <t>494</t>
  </si>
  <si>
    <t>495</t>
  </si>
  <si>
    <t>2020年6月17日</t>
  </si>
  <si>
    <t>496</t>
  </si>
  <si>
    <t>2020年6月18日</t>
  </si>
  <si>
    <t>497</t>
  </si>
  <si>
    <t>2020年6月19日</t>
  </si>
  <si>
    <t>498</t>
  </si>
  <si>
    <t>240000.00</t>
  </si>
  <si>
    <t>2020年6月20日</t>
  </si>
  <si>
    <t>499</t>
  </si>
  <si>
    <t>295000.00</t>
  </si>
  <si>
    <t>2020年6月23日</t>
  </si>
  <si>
    <t>500</t>
  </si>
  <si>
    <t>501</t>
  </si>
  <si>
    <t>2020年6月24日</t>
  </si>
  <si>
    <t>502</t>
  </si>
  <si>
    <t>503</t>
  </si>
  <si>
    <t>504</t>
  </si>
  <si>
    <t>505</t>
  </si>
  <si>
    <t>2020年6月27日</t>
  </si>
  <si>
    <t>506</t>
  </si>
  <si>
    <t>2020年6月28日</t>
  </si>
  <si>
    <t>507</t>
  </si>
  <si>
    <t>2020年6月30日</t>
  </si>
  <si>
    <t>508</t>
  </si>
  <si>
    <t>2020年7月2日</t>
  </si>
  <si>
    <t>509</t>
  </si>
  <si>
    <t>2020年7月4日</t>
  </si>
  <si>
    <t>510</t>
  </si>
  <si>
    <t>254000.00</t>
  </si>
  <si>
    <t>2020年7月5日</t>
  </si>
  <si>
    <t>511</t>
  </si>
  <si>
    <t>512</t>
  </si>
  <si>
    <t>133000.00</t>
  </si>
  <si>
    <t>513</t>
  </si>
  <si>
    <t>194000.00</t>
  </si>
  <si>
    <t>2020年7月6日</t>
  </si>
  <si>
    <t>514</t>
  </si>
  <si>
    <t>2020年7月7日</t>
  </si>
  <si>
    <t>515</t>
  </si>
  <si>
    <t>2020年7月8日</t>
  </si>
  <si>
    <t>516</t>
  </si>
  <si>
    <t>2020年7月9日</t>
  </si>
  <si>
    <t>517</t>
  </si>
  <si>
    <t>2020年7月10日</t>
  </si>
  <si>
    <t>518</t>
  </si>
  <si>
    <t>2020年7月12日</t>
  </si>
  <si>
    <t>519</t>
  </si>
  <si>
    <t>2020年7月13日</t>
  </si>
  <si>
    <t>520</t>
  </si>
  <si>
    <t>2020年7月14日</t>
  </si>
  <si>
    <t>521</t>
  </si>
  <si>
    <t>522</t>
  </si>
  <si>
    <t>2020年7月16日</t>
  </si>
  <si>
    <t>523</t>
  </si>
  <si>
    <t>2020年7月18日</t>
  </si>
  <si>
    <t>524</t>
  </si>
  <si>
    <t>525</t>
  </si>
  <si>
    <t>2020年7月19日</t>
  </si>
  <si>
    <t>526</t>
  </si>
  <si>
    <t>2020年7月20日</t>
  </si>
  <si>
    <t>527</t>
  </si>
  <si>
    <t>528</t>
  </si>
  <si>
    <t>2020年7月21日</t>
  </si>
  <si>
    <t>529</t>
  </si>
  <si>
    <t>224000.00</t>
  </si>
  <si>
    <t>530</t>
  </si>
  <si>
    <t>2020年7月22日</t>
  </si>
  <si>
    <t>531</t>
  </si>
  <si>
    <t>532</t>
  </si>
  <si>
    <t>2020年7月23日</t>
  </si>
  <si>
    <t>533</t>
  </si>
  <si>
    <t>534</t>
  </si>
  <si>
    <t>535</t>
  </si>
  <si>
    <t>2020年7月24日</t>
  </si>
  <si>
    <t>536</t>
  </si>
  <si>
    <t>537</t>
  </si>
  <si>
    <t>2020年7月25日</t>
  </si>
  <si>
    <t>538</t>
  </si>
  <si>
    <t>2020年7月28日</t>
  </si>
  <si>
    <t>539</t>
  </si>
  <si>
    <t>540</t>
  </si>
  <si>
    <t>541</t>
  </si>
  <si>
    <t>2020年7月30日</t>
  </si>
  <si>
    <t>542</t>
  </si>
  <si>
    <t>2020年7月31日</t>
  </si>
  <si>
    <t>543</t>
  </si>
  <si>
    <t>2020年8月2日</t>
  </si>
  <si>
    <t>544</t>
  </si>
  <si>
    <t>545</t>
  </si>
  <si>
    <t>2020年8月3日</t>
  </si>
  <si>
    <t>546</t>
  </si>
  <si>
    <t>2020年8月4日</t>
  </si>
  <si>
    <t>547</t>
  </si>
  <si>
    <t>548</t>
  </si>
  <si>
    <t>549</t>
  </si>
  <si>
    <t>2020年8月5日</t>
  </si>
  <si>
    <t>550</t>
  </si>
  <si>
    <t>551</t>
  </si>
  <si>
    <t>2020年8月8日</t>
  </si>
  <si>
    <t>552</t>
  </si>
  <si>
    <t>2020年8月9日</t>
  </si>
  <si>
    <t>553</t>
  </si>
  <si>
    <t>2020年8月15日</t>
  </si>
  <si>
    <t>554</t>
  </si>
  <si>
    <t>555</t>
  </si>
  <si>
    <t>2020年8月16日</t>
  </si>
  <si>
    <t>556</t>
  </si>
  <si>
    <t>2020年8月17日</t>
  </si>
  <si>
    <t>557</t>
  </si>
  <si>
    <t>558</t>
  </si>
  <si>
    <t>176000.00</t>
  </si>
  <si>
    <t>559</t>
  </si>
  <si>
    <t>2020年8月19日</t>
  </si>
  <si>
    <t>560</t>
  </si>
  <si>
    <t>561</t>
  </si>
  <si>
    <t>2020年8月20日</t>
  </si>
  <si>
    <t>562</t>
  </si>
  <si>
    <t>2020年8月21日</t>
  </si>
  <si>
    <t>563</t>
  </si>
  <si>
    <t>564</t>
  </si>
  <si>
    <t>565</t>
  </si>
  <si>
    <t>2020年8月22日</t>
  </si>
  <si>
    <t>566</t>
  </si>
  <si>
    <t>567</t>
  </si>
  <si>
    <t>2020年8月23日</t>
  </si>
  <si>
    <t>568</t>
  </si>
  <si>
    <t>569</t>
  </si>
  <si>
    <t>2020年8月25日</t>
  </si>
  <si>
    <t>570</t>
  </si>
  <si>
    <t>2020年8月26日</t>
  </si>
  <si>
    <t>571</t>
  </si>
  <si>
    <t>2020年8月27日</t>
  </si>
  <si>
    <t>572</t>
  </si>
  <si>
    <t>2020年8月28日</t>
  </si>
  <si>
    <t>573</t>
  </si>
  <si>
    <t>2020年8月30日</t>
  </si>
  <si>
    <t>574</t>
  </si>
  <si>
    <t>2020年8月31日</t>
  </si>
  <si>
    <t>575</t>
  </si>
  <si>
    <t>2020年9月1日</t>
  </si>
  <si>
    <t>576</t>
  </si>
  <si>
    <t>2020年9月5日</t>
  </si>
  <si>
    <t>577</t>
  </si>
  <si>
    <t>2020年9月6日</t>
  </si>
  <si>
    <t>578</t>
  </si>
  <si>
    <t>2020年9月10日</t>
  </si>
  <si>
    <t>579</t>
  </si>
  <si>
    <t>580</t>
  </si>
  <si>
    <t>2020年9月11日</t>
  </si>
  <si>
    <t>581</t>
  </si>
  <si>
    <t>582</t>
  </si>
  <si>
    <t>2020年9月13日</t>
  </si>
  <si>
    <t>583</t>
  </si>
  <si>
    <t>584</t>
  </si>
  <si>
    <t>162000.00</t>
  </si>
  <si>
    <t>2020年9月14日</t>
  </si>
  <si>
    <t>585</t>
  </si>
  <si>
    <t>2020年9月16日</t>
  </si>
  <si>
    <t>586</t>
  </si>
  <si>
    <t>587</t>
  </si>
  <si>
    <t>2020年9月17日</t>
  </si>
  <si>
    <t>588</t>
  </si>
  <si>
    <t>164000.00</t>
  </si>
  <si>
    <t>2020年9月18日</t>
  </si>
  <si>
    <t>589</t>
  </si>
  <si>
    <t>2020年9月20日</t>
  </si>
  <si>
    <t>590</t>
  </si>
  <si>
    <t>2020年9月21日</t>
  </si>
  <si>
    <t>591</t>
  </si>
  <si>
    <t>2020年9月23日</t>
  </si>
  <si>
    <t>592</t>
  </si>
  <si>
    <t>2020年9月24日</t>
  </si>
  <si>
    <t>593</t>
  </si>
  <si>
    <t>594</t>
  </si>
  <si>
    <t>2020年9月28日</t>
  </si>
  <si>
    <t>595</t>
  </si>
  <si>
    <t>2020年9月30日</t>
  </si>
  <si>
    <t>596</t>
  </si>
  <si>
    <t>597</t>
  </si>
  <si>
    <t>2020年10月2日</t>
  </si>
  <si>
    <t>598</t>
  </si>
  <si>
    <t>2020年10月4日</t>
  </si>
  <si>
    <t>599</t>
  </si>
  <si>
    <t>600</t>
  </si>
  <si>
    <t>2020年10月5日</t>
  </si>
  <si>
    <t>601</t>
  </si>
  <si>
    <t>602</t>
  </si>
  <si>
    <t>2020年10月6日</t>
  </si>
  <si>
    <t>603</t>
  </si>
  <si>
    <t>2020年10月7日</t>
  </si>
  <si>
    <t>604</t>
  </si>
  <si>
    <t>2020年10月10日</t>
  </si>
  <si>
    <t>605</t>
  </si>
  <si>
    <t>2020年10月12日</t>
  </si>
  <si>
    <t>606</t>
  </si>
  <si>
    <t>220000.00</t>
  </si>
  <si>
    <t>2020年10月14日</t>
  </si>
  <si>
    <t>607</t>
  </si>
  <si>
    <t>76000.00</t>
  </si>
  <si>
    <t>608</t>
  </si>
  <si>
    <t>609</t>
  </si>
  <si>
    <t>2020年10月16日</t>
  </si>
  <si>
    <t>610</t>
  </si>
  <si>
    <t>283000.00</t>
  </si>
  <si>
    <t>2020年10月18日</t>
  </si>
  <si>
    <t>611</t>
  </si>
  <si>
    <t>2020年10月19日</t>
  </si>
  <si>
    <t>612</t>
  </si>
  <si>
    <t>44000.00</t>
  </si>
  <si>
    <t>2020年10月21日</t>
  </si>
  <si>
    <t>613</t>
  </si>
  <si>
    <t>614</t>
  </si>
  <si>
    <t>615</t>
  </si>
  <si>
    <t>2020年10月22日</t>
  </si>
  <si>
    <t>616</t>
  </si>
  <si>
    <t>2020年10月24日</t>
  </si>
  <si>
    <t>617</t>
  </si>
  <si>
    <t>2020年10月26日</t>
  </si>
  <si>
    <t>618</t>
  </si>
  <si>
    <t>619</t>
  </si>
  <si>
    <t>620</t>
  </si>
  <si>
    <t>2020年10月27日</t>
  </si>
  <si>
    <t>621</t>
  </si>
  <si>
    <t>2020年10月29日</t>
  </si>
  <si>
    <t>622</t>
  </si>
  <si>
    <t>195000.00</t>
  </si>
  <si>
    <t>2020年10月31日</t>
  </si>
  <si>
    <t>623</t>
  </si>
  <si>
    <t>2020年11月1日</t>
  </si>
  <si>
    <t>624</t>
  </si>
  <si>
    <t>262000.00</t>
  </si>
  <si>
    <t>625</t>
  </si>
  <si>
    <t>626</t>
  </si>
  <si>
    <t>2020年11月2日</t>
  </si>
  <si>
    <t>627</t>
  </si>
  <si>
    <t>628</t>
  </si>
  <si>
    <t>2020年11月4日</t>
  </si>
  <si>
    <t>629</t>
  </si>
  <si>
    <t>2020年11月6日</t>
  </si>
  <si>
    <t>630</t>
  </si>
  <si>
    <t>2020年11月9日</t>
  </si>
  <si>
    <t>631</t>
  </si>
  <si>
    <t>2020年11月10日</t>
  </si>
  <si>
    <t>632</t>
  </si>
  <si>
    <t>2020年11月11日</t>
  </si>
  <si>
    <t>633</t>
  </si>
  <si>
    <t>2020年11月12日</t>
  </si>
  <si>
    <t>634</t>
  </si>
  <si>
    <t>2020年11月15日</t>
  </si>
  <si>
    <t>635</t>
  </si>
  <si>
    <t>2020年11月16日</t>
  </si>
  <si>
    <t>636</t>
  </si>
  <si>
    <t>2020年11月17日</t>
  </si>
  <si>
    <t>637</t>
  </si>
  <si>
    <t>2020年11月19日</t>
  </si>
  <si>
    <t>638</t>
  </si>
  <si>
    <t>2020年11月20日</t>
  </si>
  <si>
    <t>639</t>
  </si>
  <si>
    <t>640</t>
  </si>
  <si>
    <t>2020年11月22日</t>
  </si>
  <si>
    <t>641</t>
  </si>
  <si>
    <t>642</t>
  </si>
  <si>
    <t>39000.00</t>
  </si>
  <si>
    <t>2020年11月24日</t>
  </si>
  <si>
    <t>643</t>
  </si>
  <si>
    <t>2020年11月30日</t>
  </si>
  <si>
    <t>644</t>
  </si>
  <si>
    <t>2020年12月3日</t>
  </si>
  <si>
    <t>645</t>
  </si>
  <si>
    <t>646</t>
  </si>
  <si>
    <t>2020年12月4日</t>
  </si>
  <si>
    <t>647</t>
  </si>
  <si>
    <t>2020年12月5日</t>
  </si>
  <si>
    <t>648</t>
  </si>
  <si>
    <t>649</t>
  </si>
  <si>
    <t>2020年12月6日</t>
  </si>
  <si>
    <t>650</t>
  </si>
  <si>
    <t>2020年12月7日</t>
  </si>
  <si>
    <t>651</t>
  </si>
  <si>
    <t>2020年12月8日</t>
  </si>
  <si>
    <t>652</t>
  </si>
  <si>
    <t>2020年12月10日</t>
  </si>
  <si>
    <t>653</t>
  </si>
  <si>
    <t>2020年12月11日</t>
  </si>
  <si>
    <t>654</t>
  </si>
  <si>
    <t>655</t>
  </si>
  <si>
    <t>2020年12月12日</t>
  </si>
  <si>
    <t>656</t>
  </si>
  <si>
    <t>2020年12月15日</t>
  </si>
  <si>
    <t>657</t>
  </si>
  <si>
    <t>67000.00</t>
  </si>
  <si>
    <t>658</t>
  </si>
  <si>
    <t>2020年12月19日</t>
  </si>
  <si>
    <t>659</t>
  </si>
  <si>
    <t>660</t>
  </si>
  <si>
    <t>2020年12月20日</t>
  </si>
  <si>
    <t>661</t>
  </si>
  <si>
    <t>2020年12月22日</t>
  </si>
  <si>
    <t>662</t>
  </si>
  <si>
    <t>2020年12月23日</t>
  </si>
  <si>
    <t>663</t>
  </si>
  <si>
    <t>2020年12月25日</t>
  </si>
  <si>
    <t>664</t>
  </si>
  <si>
    <t>665</t>
  </si>
  <si>
    <t>2020年12月26日</t>
  </si>
  <si>
    <t>666</t>
  </si>
  <si>
    <t>2020年12月27日</t>
  </si>
  <si>
    <t>667</t>
  </si>
  <si>
    <t>668</t>
  </si>
  <si>
    <t>2020年12月28日</t>
  </si>
  <si>
    <t>669</t>
  </si>
  <si>
    <t>2020年12月29日</t>
  </si>
  <si>
    <t>670</t>
  </si>
  <si>
    <t>671</t>
  </si>
  <si>
    <t>2020年12月30日</t>
  </si>
  <si>
    <t>672</t>
  </si>
  <si>
    <t>673</t>
  </si>
  <si>
    <t>2021年1月1日</t>
  </si>
  <si>
    <t>674</t>
  </si>
  <si>
    <t>2021年1月5日</t>
  </si>
  <si>
    <t>675</t>
  </si>
  <si>
    <t>676</t>
  </si>
  <si>
    <t>2021年1月7日</t>
  </si>
  <si>
    <t>677</t>
  </si>
  <si>
    <t>50000.00</t>
  </si>
  <si>
    <t>678</t>
  </si>
  <si>
    <t>2021年1月8日</t>
  </si>
  <si>
    <t>679</t>
  </si>
  <si>
    <t>2021年1月9日</t>
  </si>
  <si>
    <t>680</t>
  </si>
  <si>
    <t>681</t>
  </si>
  <si>
    <t>682</t>
  </si>
  <si>
    <t>683</t>
  </si>
  <si>
    <t>2021年1月10日</t>
  </si>
  <si>
    <t>684</t>
  </si>
  <si>
    <t>685</t>
  </si>
  <si>
    <t>2021年1月13日</t>
  </si>
  <si>
    <t>686</t>
  </si>
  <si>
    <t>687</t>
  </si>
  <si>
    <t>2021年1月17日</t>
  </si>
  <si>
    <t>688</t>
  </si>
  <si>
    <t>2021年1月18日</t>
  </si>
  <si>
    <t>689</t>
  </si>
  <si>
    <t>690</t>
  </si>
  <si>
    <t>2021年1月21日</t>
  </si>
  <si>
    <t>691</t>
  </si>
  <si>
    <t>2021年1月22日</t>
  </si>
  <si>
    <t>692</t>
  </si>
  <si>
    <t>2021年1月24日</t>
  </si>
  <si>
    <t>693</t>
  </si>
  <si>
    <t>2021年1月25日</t>
  </si>
  <si>
    <t>694</t>
  </si>
  <si>
    <t>2021年1月27日</t>
  </si>
  <si>
    <t>695</t>
  </si>
  <si>
    <t>2021年1月28日</t>
  </si>
  <si>
    <t>696</t>
  </si>
  <si>
    <t>697</t>
  </si>
  <si>
    <t>2021年1月31日</t>
  </si>
  <si>
    <t>698</t>
  </si>
  <si>
    <t>699</t>
  </si>
  <si>
    <t>2021年2月1日</t>
  </si>
  <si>
    <t>700</t>
  </si>
  <si>
    <t>2021年2月3日</t>
  </si>
  <si>
    <t>701</t>
  </si>
  <si>
    <t>702</t>
  </si>
  <si>
    <t>73000.00</t>
  </si>
  <si>
    <t>2021年2月4日</t>
  </si>
  <si>
    <t>703</t>
  </si>
  <si>
    <t>2021年2月8日</t>
  </si>
  <si>
    <t>704</t>
  </si>
  <si>
    <t>705</t>
  </si>
  <si>
    <t>2021年2月9日</t>
  </si>
  <si>
    <t>706</t>
  </si>
  <si>
    <t>2021年2月10日</t>
  </si>
  <si>
    <t>707</t>
  </si>
  <si>
    <t>2021年2月12日</t>
  </si>
  <si>
    <t>708</t>
  </si>
  <si>
    <t>2021年2月13日</t>
  </si>
  <si>
    <t>709</t>
  </si>
  <si>
    <t>710</t>
  </si>
  <si>
    <t>2021年2月14日</t>
  </si>
  <si>
    <t>711</t>
  </si>
  <si>
    <t>2021年2月15日</t>
  </si>
  <si>
    <t>712</t>
  </si>
  <si>
    <t>201000.00</t>
  </si>
  <si>
    <t>713</t>
  </si>
  <si>
    <t>2021年2月18日</t>
  </si>
  <si>
    <t>714</t>
  </si>
  <si>
    <t>45000.00</t>
  </si>
  <si>
    <t>715</t>
  </si>
  <si>
    <t>2021年2月20日</t>
  </si>
  <si>
    <t>716</t>
  </si>
  <si>
    <t>2021年2月22日</t>
  </si>
  <si>
    <t>717</t>
  </si>
  <si>
    <t>2021年2月24日</t>
  </si>
  <si>
    <t>718</t>
  </si>
  <si>
    <t>719</t>
  </si>
  <si>
    <t>720</t>
  </si>
  <si>
    <t>2021年2月27日</t>
  </si>
  <si>
    <t>721</t>
  </si>
  <si>
    <t>2021年3月2日</t>
  </si>
  <si>
    <t>722</t>
  </si>
  <si>
    <t>2021年3月3日</t>
  </si>
  <si>
    <t>723</t>
  </si>
  <si>
    <t>2021年3月4日</t>
  </si>
  <si>
    <t>724</t>
  </si>
  <si>
    <t>725</t>
  </si>
  <si>
    <t>726</t>
  </si>
  <si>
    <t>727</t>
  </si>
  <si>
    <t>2021年3月5日</t>
  </si>
  <si>
    <t>728</t>
  </si>
  <si>
    <t>2021年3月6日</t>
  </si>
  <si>
    <t>729</t>
  </si>
  <si>
    <t>2021年3月7日</t>
  </si>
  <si>
    <t>730</t>
  </si>
  <si>
    <t>131000.00</t>
  </si>
  <si>
    <t>2021年3月10日</t>
  </si>
  <si>
    <t>731</t>
  </si>
  <si>
    <t>2021年3月11日</t>
  </si>
  <si>
    <t>732</t>
  </si>
  <si>
    <t>2021年3月13日</t>
  </si>
  <si>
    <t>733</t>
  </si>
  <si>
    <t>734</t>
  </si>
  <si>
    <t>2021年3月15日</t>
  </si>
  <si>
    <t>735</t>
  </si>
  <si>
    <t>2021年3月18日</t>
  </si>
  <si>
    <t>736</t>
  </si>
  <si>
    <t>2021年3月19日</t>
  </si>
  <si>
    <t>737</t>
  </si>
  <si>
    <t>738</t>
  </si>
  <si>
    <t>2021年3月20日</t>
  </si>
  <si>
    <t>739</t>
  </si>
  <si>
    <t>2021年3月21日</t>
  </si>
  <si>
    <t>740</t>
  </si>
  <si>
    <t>2021年3月24日</t>
  </si>
  <si>
    <t>741</t>
  </si>
  <si>
    <t>2021年3月25日</t>
  </si>
  <si>
    <t>742</t>
  </si>
  <si>
    <t>2021年3月26日</t>
  </si>
  <si>
    <t>743</t>
  </si>
  <si>
    <t>744</t>
  </si>
  <si>
    <t>745</t>
  </si>
  <si>
    <t>2021年3月30日</t>
  </si>
  <si>
    <t>746</t>
  </si>
  <si>
    <t>2021年3月31日</t>
  </si>
  <si>
    <t>747</t>
  </si>
  <si>
    <t>2021年4月2日</t>
  </si>
  <si>
    <t>748</t>
  </si>
  <si>
    <t>181000.00</t>
  </si>
  <si>
    <t>749</t>
  </si>
  <si>
    <t>2021年4月3日</t>
  </si>
  <si>
    <t>750</t>
  </si>
  <si>
    <t>751</t>
  </si>
  <si>
    <t>752</t>
  </si>
  <si>
    <t>2021年4月4日</t>
  </si>
  <si>
    <t>753</t>
  </si>
  <si>
    <t>2021年4月7日</t>
  </si>
  <si>
    <t>754</t>
  </si>
  <si>
    <t>2021年4月9日</t>
  </si>
  <si>
    <t>755</t>
  </si>
  <si>
    <t>177000.00</t>
  </si>
  <si>
    <t>2021年4月10日</t>
  </si>
  <si>
    <t>756</t>
  </si>
  <si>
    <t>757</t>
  </si>
  <si>
    <t>2021年4月11日</t>
  </si>
  <si>
    <t>758</t>
  </si>
  <si>
    <t>2021年4月12日</t>
  </si>
  <si>
    <t>759</t>
  </si>
  <si>
    <t>2021年4月15日</t>
  </si>
  <si>
    <t>760</t>
  </si>
  <si>
    <t>761</t>
  </si>
  <si>
    <t>2021年4月21日</t>
  </si>
  <si>
    <t>762</t>
  </si>
  <si>
    <t>2021年4月22日</t>
  </si>
  <si>
    <t>763</t>
  </si>
  <si>
    <t>764</t>
  </si>
  <si>
    <t>2021年4月23日</t>
  </si>
  <si>
    <t>765</t>
  </si>
  <si>
    <t>203000.00</t>
  </si>
  <si>
    <t>766</t>
  </si>
  <si>
    <t>767</t>
  </si>
  <si>
    <t>768</t>
  </si>
  <si>
    <t>300000.00</t>
  </si>
  <si>
    <t>769</t>
  </si>
  <si>
    <t>2021年4月24日</t>
  </si>
  <si>
    <t>770</t>
  </si>
  <si>
    <t>2021年4月28日</t>
  </si>
  <si>
    <t>771</t>
  </si>
  <si>
    <t>2021年4月29日</t>
  </si>
  <si>
    <t>772</t>
  </si>
  <si>
    <t>2021年4月30日</t>
  </si>
  <si>
    <t>773</t>
  </si>
  <si>
    <t>774</t>
  </si>
  <si>
    <t>775</t>
  </si>
  <si>
    <t>2021年5月1日</t>
  </si>
  <si>
    <t>776</t>
  </si>
  <si>
    <t>777</t>
  </si>
  <si>
    <t>2021年5月2日</t>
  </si>
  <si>
    <t>778</t>
  </si>
  <si>
    <t>151000.00</t>
  </si>
  <si>
    <t>779</t>
  </si>
  <si>
    <t>780</t>
  </si>
  <si>
    <t>781</t>
  </si>
  <si>
    <t>782</t>
  </si>
  <si>
    <t>219000.00</t>
  </si>
  <si>
    <t>2021年5月3日</t>
  </si>
  <si>
    <t>783</t>
  </si>
  <si>
    <t>784</t>
  </si>
  <si>
    <t>2021年5月7日</t>
  </si>
  <si>
    <t>785</t>
  </si>
  <si>
    <t>786</t>
  </si>
  <si>
    <t>787</t>
  </si>
  <si>
    <t>2021年5月8日</t>
  </si>
  <si>
    <t>788</t>
  </si>
  <si>
    <t>2021年5月9日</t>
  </si>
  <si>
    <t>789</t>
  </si>
  <si>
    <t>2021年5月11日</t>
  </si>
  <si>
    <t>790</t>
  </si>
  <si>
    <t>2021年5月12日</t>
  </si>
  <si>
    <t>791</t>
  </si>
  <si>
    <t>792</t>
  </si>
  <si>
    <t>2021年5月13日</t>
  </si>
  <si>
    <t>793</t>
  </si>
  <si>
    <t>2021年5月15日</t>
  </si>
  <si>
    <t>794</t>
  </si>
  <si>
    <t>2021年5月16日</t>
  </si>
  <si>
    <t>795</t>
  </si>
  <si>
    <t>205000.00</t>
  </si>
  <si>
    <t>2021年5月17日</t>
  </si>
  <si>
    <t>796</t>
  </si>
  <si>
    <t>2021年5月19日</t>
  </si>
  <si>
    <t>797</t>
  </si>
  <si>
    <t>2021年5月20日</t>
  </si>
  <si>
    <t>798</t>
  </si>
  <si>
    <t>2021年5月21日</t>
  </si>
  <si>
    <t>799</t>
  </si>
  <si>
    <t>800</t>
  </si>
  <si>
    <t>2021年5月22日</t>
  </si>
  <si>
    <t>801</t>
  </si>
  <si>
    <t>802</t>
  </si>
  <si>
    <t>2021年5月23日</t>
  </si>
  <si>
    <t>803</t>
  </si>
  <si>
    <t>32000.00</t>
  </si>
  <si>
    <t>804</t>
  </si>
  <si>
    <t>2021年5月24日</t>
  </si>
  <si>
    <t>805</t>
  </si>
  <si>
    <t>2021年5月25日</t>
  </si>
  <si>
    <t>806</t>
  </si>
  <si>
    <t>2021年5月26日</t>
  </si>
  <si>
    <t>807</t>
  </si>
  <si>
    <t>2021年5月28日</t>
  </si>
  <si>
    <t>808</t>
  </si>
  <si>
    <t>809</t>
  </si>
  <si>
    <t>2021年5月29日</t>
  </si>
  <si>
    <t>810</t>
  </si>
  <si>
    <t>2021年5月31日</t>
  </si>
  <si>
    <t>811</t>
  </si>
  <si>
    <t>2021年6月1日</t>
  </si>
  <si>
    <t>812</t>
  </si>
  <si>
    <t>813</t>
  </si>
  <si>
    <t>814</t>
  </si>
  <si>
    <t>2021年6月3日</t>
  </si>
  <si>
    <t>815</t>
  </si>
  <si>
    <t>816</t>
  </si>
  <si>
    <t>2021年6月4日</t>
  </si>
  <si>
    <t>817</t>
  </si>
  <si>
    <t>818</t>
  </si>
  <si>
    <t>819</t>
  </si>
  <si>
    <t>2021年6月6日</t>
  </si>
  <si>
    <t>820</t>
  </si>
  <si>
    <t>2021年6月7日</t>
  </si>
  <si>
    <t>821</t>
  </si>
  <si>
    <t>822</t>
  </si>
  <si>
    <t>2021年6月8日</t>
  </si>
  <si>
    <t>823</t>
  </si>
  <si>
    <t>2021年6月11日</t>
  </si>
  <si>
    <t>824</t>
  </si>
  <si>
    <t>56000.00</t>
  </si>
  <si>
    <t>2021年6月12日</t>
  </si>
  <si>
    <t>825</t>
  </si>
  <si>
    <t>826</t>
  </si>
  <si>
    <t>2021年6月13日</t>
  </si>
  <si>
    <t>827</t>
  </si>
  <si>
    <t>828</t>
  </si>
  <si>
    <t>2021年6月16日</t>
  </si>
  <si>
    <t>829</t>
  </si>
  <si>
    <t>2021年6月18日</t>
  </si>
  <si>
    <t>830</t>
  </si>
  <si>
    <t>2021年6月19日</t>
  </si>
  <si>
    <t>831</t>
  </si>
  <si>
    <t>2021年6月20日</t>
  </si>
  <si>
    <t>832</t>
  </si>
  <si>
    <t>2021年6月21日</t>
  </si>
  <si>
    <t>833</t>
  </si>
  <si>
    <t>2021年6月22日</t>
  </si>
  <si>
    <t>834</t>
  </si>
  <si>
    <t>2021年6月24日</t>
  </si>
  <si>
    <t>835</t>
  </si>
  <si>
    <t>836</t>
  </si>
  <si>
    <t>2021年6月25日</t>
  </si>
  <si>
    <t>837</t>
  </si>
  <si>
    <t>838</t>
  </si>
  <si>
    <t>2021年6月26日</t>
  </si>
  <si>
    <t>839</t>
  </si>
  <si>
    <t>49000.00</t>
  </si>
  <si>
    <t>2021年6月28日</t>
  </si>
  <si>
    <t>840</t>
  </si>
  <si>
    <t>841</t>
  </si>
  <si>
    <t>842</t>
  </si>
  <si>
    <t>2021年6月30日</t>
  </si>
  <si>
    <t>843</t>
  </si>
  <si>
    <t>2021年7月1日</t>
  </si>
  <si>
    <t>844</t>
  </si>
  <si>
    <t>2021年7月3日</t>
  </si>
  <si>
    <t>845</t>
  </si>
  <si>
    <t>2021年7月4日</t>
  </si>
  <si>
    <t>846</t>
  </si>
  <si>
    <t>847</t>
  </si>
  <si>
    <t>2021年7月5日</t>
  </si>
  <si>
    <t>848</t>
  </si>
  <si>
    <t>2021年7月7日</t>
  </si>
  <si>
    <t>849</t>
  </si>
  <si>
    <t>2021年7月9日</t>
  </si>
  <si>
    <t>850</t>
  </si>
  <si>
    <t>2021年7月11日</t>
  </si>
  <si>
    <t>851</t>
  </si>
  <si>
    <t>2021年7月12日</t>
  </si>
  <si>
    <t>852</t>
  </si>
  <si>
    <t>2021年7月13日</t>
  </si>
  <si>
    <t>853</t>
  </si>
  <si>
    <t>2021年7月14日</t>
  </si>
  <si>
    <t>854</t>
  </si>
  <si>
    <t>855</t>
  </si>
  <si>
    <t>856</t>
  </si>
  <si>
    <t>2021年7月17日</t>
  </si>
  <si>
    <t>857</t>
  </si>
  <si>
    <t>858</t>
  </si>
  <si>
    <t>2021年7月21日</t>
  </si>
  <si>
    <t>859</t>
  </si>
  <si>
    <t>2021年7月22日</t>
  </si>
  <si>
    <t>860</t>
  </si>
  <si>
    <t>861</t>
  </si>
  <si>
    <t>292000.00</t>
  </si>
  <si>
    <t>862</t>
  </si>
  <si>
    <t>2021年7月28日</t>
  </si>
  <si>
    <t>863</t>
  </si>
  <si>
    <t>2021年7月29日</t>
  </si>
  <si>
    <t>864</t>
  </si>
  <si>
    <t>2021年7月31日</t>
  </si>
  <si>
    <t>865</t>
  </si>
  <si>
    <t>2021年8月1日</t>
  </si>
  <si>
    <t>866</t>
  </si>
  <si>
    <t>867</t>
  </si>
  <si>
    <t>2021年8月2日</t>
  </si>
  <si>
    <t>868</t>
  </si>
  <si>
    <t>869</t>
  </si>
  <si>
    <t>2021年8月4日</t>
  </si>
  <si>
    <t>870</t>
  </si>
  <si>
    <t>2021年8月5日</t>
  </si>
  <si>
    <t>871</t>
  </si>
  <si>
    <t>2021年8月6日</t>
  </si>
  <si>
    <t>872</t>
  </si>
  <si>
    <t>873</t>
  </si>
  <si>
    <t>2021年8月9日</t>
  </si>
  <si>
    <t>874</t>
  </si>
  <si>
    <t>875</t>
  </si>
  <si>
    <t>876</t>
  </si>
  <si>
    <t>2021年8月12日</t>
  </si>
  <si>
    <t>877</t>
  </si>
  <si>
    <t>2021年8月14日</t>
  </si>
  <si>
    <t>878</t>
  </si>
  <si>
    <t>2021年8月15日</t>
  </si>
  <si>
    <t>879</t>
  </si>
  <si>
    <t>2021年8月16日</t>
  </si>
  <si>
    <t>880</t>
  </si>
  <si>
    <t>2021年8月17日</t>
  </si>
  <si>
    <t>881</t>
  </si>
  <si>
    <t>882</t>
  </si>
  <si>
    <t>883</t>
  </si>
  <si>
    <t>2021年8月18日</t>
  </si>
  <si>
    <t>884</t>
  </si>
  <si>
    <t>885</t>
  </si>
  <si>
    <t>2021年8月19日</t>
  </si>
  <si>
    <t>886</t>
  </si>
  <si>
    <t>887</t>
  </si>
  <si>
    <t>888</t>
  </si>
  <si>
    <t>2021年8月21日</t>
  </si>
  <si>
    <t>889</t>
  </si>
  <si>
    <t>2021年8月22日</t>
  </si>
  <si>
    <t>890</t>
  </si>
  <si>
    <t>891</t>
  </si>
  <si>
    <t>2021年8月23日</t>
  </si>
  <si>
    <t>892</t>
  </si>
  <si>
    <t>893</t>
  </si>
  <si>
    <t>894</t>
  </si>
  <si>
    <t>2021年8月25日</t>
  </si>
  <si>
    <t>895</t>
  </si>
  <si>
    <t>896</t>
  </si>
  <si>
    <t>897</t>
  </si>
  <si>
    <t>2021年8月26日</t>
  </si>
  <si>
    <t>898</t>
  </si>
  <si>
    <t>899</t>
  </si>
  <si>
    <t>900</t>
  </si>
  <si>
    <t>2021年8月27日</t>
  </si>
  <si>
    <t>901</t>
  </si>
  <si>
    <t>2021年8月28日</t>
  </si>
  <si>
    <t>902</t>
  </si>
  <si>
    <t>903</t>
  </si>
  <si>
    <t>2021年8月29日</t>
  </si>
  <si>
    <t>904</t>
  </si>
  <si>
    <t>2021年8月30日</t>
  </si>
  <si>
    <t>905</t>
  </si>
  <si>
    <t>2021年8月31日</t>
  </si>
  <si>
    <t>906</t>
  </si>
  <si>
    <t>2021年9月2日</t>
  </si>
  <si>
    <t>907</t>
  </si>
  <si>
    <t>2021年9月3日</t>
  </si>
  <si>
    <t>908</t>
  </si>
  <si>
    <t>909</t>
  </si>
  <si>
    <t>910</t>
  </si>
  <si>
    <t>911</t>
  </si>
  <si>
    <t>2021年9月6日</t>
  </si>
  <si>
    <t>912</t>
  </si>
  <si>
    <t>2021年9月10日</t>
  </si>
  <si>
    <t>913</t>
  </si>
  <si>
    <t>2021年9月12日</t>
  </si>
  <si>
    <t>914</t>
  </si>
  <si>
    <t>2021年9月13日</t>
  </si>
  <si>
    <t>915</t>
  </si>
  <si>
    <t>2021年9月16日</t>
  </si>
  <si>
    <t>916</t>
  </si>
  <si>
    <t>917</t>
  </si>
  <si>
    <t>918</t>
  </si>
  <si>
    <t>2021年9月17日</t>
  </si>
  <si>
    <t>919</t>
  </si>
  <si>
    <t>2021年9月19日</t>
  </si>
  <si>
    <t>920</t>
  </si>
  <si>
    <t>2021年9月20日</t>
  </si>
  <si>
    <t>921</t>
  </si>
  <si>
    <t>922</t>
  </si>
  <si>
    <t>2021年9月21日</t>
  </si>
  <si>
    <t>923</t>
  </si>
  <si>
    <t>2021年9月22日</t>
  </si>
  <si>
    <t>924</t>
  </si>
  <si>
    <t>2021年9月23日</t>
  </si>
  <si>
    <t>925</t>
  </si>
  <si>
    <t>2021年9月25日</t>
  </si>
  <si>
    <t>926</t>
  </si>
  <si>
    <t>927</t>
  </si>
  <si>
    <t>2021年9月27日</t>
  </si>
  <si>
    <t>928</t>
  </si>
  <si>
    <t>143000.00</t>
  </si>
  <si>
    <t>2021年10月2日</t>
  </si>
  <si>
    <t>929</t>
  </si>
  <si>
    <t>2021年10月3日</t>
  </si>
  <si>
    <t>930</t>
  </si>
  <si>
    <t>2021年10月4日</t>
  </si>
  <si>
    <t>931</t>
  </si>
  <si>
    <t>2021年10月5日</t>
  </si>
  <si>
    <t>932</t>
  </si>
  <si>
    <t>2021年10月6日</t>
  </si>
  <si>
    <t>933</t>
  </si>
  <si>
    <t>2021年10月7日</t>
  </si>
  <si>
    <t>934</t>
  </si>
  <si>
    <t>2021年10月8日</t>
  </si>
  <si>
    <t>935</t>
  </si>
  <si>
    <t>936</t>
  </si>
  <si>
    <t>2021年10月10日</t>
  </si>
  <si>
    <t>937</t>
  </si>
  <si>
    <t>938</t>
  </si>
  <si>
    <t>939</t>
  </si>
  <si>
    <t>2021年10月16日</t>
  </si>
  <si>
    <t>940</t>
  </si>
  <si>
    <t>2021年10月20日</t>
  </si>
  <si>
    <t>941</t>
  </si>
  <si>
    <t>2021年10月21日</t>
  </si>
  <si>
    <t>942</t>
  </si>
  <si>
    <t>943</t>
  </si>
  <si>
    <t>2021年10月23日</t>
  </si>
  <si>
    <t>944</t>
  </si>
  <si>
    <t>945</t>
  </si>
  <si>
    <t>946</t>
  </si>
  <si>
    <t>2021年10月25日</t>
  </si>
  <si>
    <t>947</t>
  </si>
  <si>
    <t>2021年10月26日</t>
  </si>
  <si>
    <t>948</t>
  </si>
  <si>
    <t>2021年10月27日</t>
  </si>
  <si>
    <t>949</t>
  </si>
  <si>
    <t>2021年10月28日</t>
  </si>
  <si>
    <t>950</t>
  </si>
  <si>
    <t>2021年10月29日</t>
  </si>
  <si>
    <t>951</t>
  </si>
  <si>
    <t>2021年11月3日</t>
  </si>
  <si>
    <t>952</t>
  </si>
  <si>
    <t>2021年11月4日</t>
  </si>
  <si>
    <t>953</t>
  </si>
  <si>
    <t>2021年11月5日</t>
  </si>
  <si>
    <t>954</t>
  </si>
  <si>
    <t>2021年11月7日</t>
  </si>
  <si>
    <t>955</t>
  </si>
  <si>
    <t>2021年11月8日</t>
  </si>
  <si>
    <t>956</t>
  </si>
  <si>
    <t>2021年11月9日</t>
  </si>
  <si>
    <t>957</t>
  </si>
  <si>
    <t>958</t>
  </si>
  <si>
    <t>959</t>
  </si>
  <si>
    <t>2021年11月10日</t>
  </si>
  <si>
    <t>960</t>
  </si>
  <si>
    <t>2021年11月11日</t>
  </si>
  <si>
    <t>961</t>
  </si>
  <si>
    <t>2021年11月12日</t>
  </si>
  <si>
    <t>962</t>
  </si>
  <si>
    <t>2021年11月13日</t>
  </si>
  <si>
    <t>963</t>
  </si>
  <si>
    <t>964</t>
  </si>
  <si>
    <t>2021年11月15日</t>
  </si>
  <si>
    <t>965</t>
  </si>
  <si>
    <t>966</t>
  </si>
  <si>
    <t>2021年11月17日</t>
  </si>
  <si>
    <t>967</t>
  </si>
  <si>
    <t>2021年11月18日</t>
  </si>
  <si>
    <t>968</t>
  </si>
  <si>
    <t>969</t>
  </si>
  <si>
    <t>970</t>
  </si>
  <si>
    <t>2021年11月19日</t>
  </si>
  <si>
    <t>971</t>
  </si>
  <si>
    <t>2021年11月20日</t>
  </si>
  <si>
    <t>972</t>
  </si>
  <si>
    <t>2021年11月21日</t>
  </si>
  <si>
    <t>973</t>
  </si>
  <si>
    <t>2021年11月23日</t>
  </si>
  <si>
    <t>974</t>
  </si>
  <si>
    <t>2021年11月24日</t>
  </si>
  <si>
    <t>975</t>
  </si>
  <si>
    <t>2021年11月26日</t>
  </si>
  <si>
    <t>976</t>
  </si>
  <si>
    <t>2021年11月27日</t>
  </si>
  <si>
    <t>977</t>
  </si>
  <si>
    <t>978</t>
  </si>
  <si>
    <t>2021年11月29日</t>
  </si>
  <si>
    <t>979</t>
  </si>
  <si>
    <t>980</t>
  </si>
  <si>
    <t>2021年11月30日</t>
  </si>
  <si>
    <t>981</t>
  </si>
  <si>
    <t>2021年12月1日</t>
  </si>
  <si>
    <t>982</t>
  </si>
  <si>
    <t>2021年12月5日</t>
  </si>
  <si>
    <t>983</t>
  </si>
  <si>
    <t>2021年12月7日</t>
  </si>
  <si>
    <t>984</t>
  </si>
  <si>
    <t>2021年12月8日</t>
  </si>
  <si>
    <t>985</t>
  </si>
  <si>
    <t>986</t>
  </si>
  <si>
    <t>2021年12月11日</t>
  </si>
  <si>
    <t>987</t>
  </si>
  <si>
    <t>2021年12月13日</t>
  </si>
  <si>
    <t>988</t>
  </si>
  <si>
    <t>989</t>
  </si>
  <si>
    <t>2021年12月14日</t>
  </si>
  <si>
    <t>990</t>
  </si>
  <si>
    <t>991</t>
  </si>
  <si>
    <t>2021年12月16日</t>
  </si>
  <si>
    <t>992</t>
  </si>
  <si>
    <t>2021年12月18日</t>
  </si>
  <si>
    <t>993</t>
  </si>
  <si>
    <t>2021年12月19日</t>
  </si>
  <si>
    <t>994</t>
  </si>
  <si>
    <t>2021年12月22日</t>
  </si>
  <si>
    <t>995</t>
  </si>
  <si>
    <t>2021年12月23日</t>
  </si>
  <si>
    <t>996</t>
  </si>
  <si>
    <t>2021年12月25日</t>
  </si>
  <si>
    <t>997</t>
  </si>
  <si>
    <t>2021年12月26日</t>
  </si>
  <si>
    <t>998</t>
  </si>
  <si>
    <t>2021年12月27日</t>
  </si>
  <si>
    <t>999</t>
  </si>
  <si>
    <t>2021年12月29日</t>
  </si>
  <si>
    <t>1000</t>
  </si>
  <si>
    <t>2021年12月31日</t>
  </si>
  <si>
    <t>Client</t>
  </si>
  <si>
    <t>Product</t>
  </si>
  <si>
    <t>Employee</t>
  </si>
  <si>
    <t>2019-01-02</t>
  </si>
  <si>
    <t>2019-01-03</t>
  </si>
  <si>
    <t>2019-01-04</t>
  </si>
  <si>
    <t>2019-01-05</t>
  </si>
  <si>
    <t>2019-01-06</t>
  </si>
  <si>
    <t>2019-01-07</t>
  </si>
  <si>
    <t>2019-01-09</t>
  </si>
  <si>
    <t>2019-01-10</t>
  </si>
  <si>
    <t>2019-01-12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</si>
  <si>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</si>
  <si>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</si>
  <si>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</si>
  <si>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</si>
  <si>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</si>
  <si>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</si>
  <si>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</si>
  <si>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</si>
  <si>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</si>
  <si>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2019-01-25</t>
  </si>
  <si>
    <t>2019-01-28</t>
  </si>
  <si>
    <t>2019-01-29</t>
  </si>
  <si>
    <t>2019-01-31</t>
  </si>
  <si>
    <t>2019-02-01</t>
  </si>
  <si>
    <t>2019-02-02</t>
  </si>
  <si>
    <t>2019-02-03</t>
  </si>
  <si>
    <t>2019-02-06</t>
  </si>
  <si>
    <t>2019-02-07</t>
  </si>
  <si>
    <t>2019-02-08</t>
  </si>
  <si>
    <t>2019-02-09</t>
  </si>
  <si>
    <t>2019-02-10</t>
  </si>
  <si>
    <t>2019-02-11</t>
  </si>
  <si>
    <t>2019-02-13</t>
  </si>
  <si>
    <t>2019-02-16</t>
  </si>
  <si>
    <t>2019-02-17</t>
  </si>
  <si>
    <t>2019-02-18</t>
  </si>
  <si>
    <t>2019-02-19</t>
  </si>
  <si>
    <t>2019-02-21</t>
  </si>
  <si>
    <t>2019-02-22</t>
  </si>
  <si>
    <t>2019-02-23</t>
  </si>
  <si>
    <t>2019-02-25</t>
  </si>
  <si>
    <t>2019-02-26</t>
  </si>
  <si>
    <t>2019-02-27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</si>
  <si>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</si>
  <si>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</si>
  <si>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</si>
  <si>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</si>
  <si>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</si>
  <si>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</si>
  <si>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</si>
  <si>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2019-03-09</t>
  </si>
  <si>
    <t>2019-03-11</t>
  </si>
  <si>
    <t>2019-03-15</t>
  </si>
  <si>
    <t>2019-03-20</t>
  </si>
  <si>
    <t>2019-03-21</t>
  </si>
  <si>
    <t>2019-03-23</t>
  </si>
  <si>
    <t>2019-03-24</t>
  </si>
  <si>
    <t>2019-03-25</t>
  </si>
  <si>
    <t>2019-03-29</t>
  </si>
  <si>
    <t>2019-03-30</t>
  </si>
  <si>
    <t>2019-03-31</t>
  </si>
  <si>
    <t>2019-04-03</t>
  </si>
  <si>
    <t>2019-04-04</t>
  </si>
  <si>
    <t>2019-04-05</t>
  </si>
  <si>
    <t>2019-04-06</t>
  </si>
  <si>
    <t>2019-04-07</t>
  </si>
  <si>
    <t>2019-04-09</t>
  </si>
  <si>
    <t>2019-04-11</t>
  </si>
  <si>
    <t>2019-04-13</t>
  </si>
  <si>
    <t>2019-04-15</t>
  </si>
  <si>
    <t>2019-04-16</t>
  </si>
  <si>
    <t>2019-04-17</t>
  </si>
  <si>
    <t>2019-04-19</t>
  </si>
  <si>
    <t>2019-04-21</t>
  </si>
  <si>
    <t>2019-04-26</t>
  </si>
  <si>
    <t>2019-04-28</t>
  </si>
  <si>
    <t>2019-04-29</t>
  </si>
  <si>
    <t>2019-05-01</t>
  </si>
  <si>
    <t>2019-05-02</t>
  </si>
  <si>
    <t>2019-05-03</t>
  </si>
  <si>
    <t>2019-05-04</t>
  </si>
  <si>
    <t>2019-05-05</t>
  </si>
  <si>
    <t>2019-05-07</t>
  </si>
  <si>
    <t>2019-05-08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</si>
  <si>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</si>
  <si>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</si>
  <si>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</si>
  <si>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</si>
  <si>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</si>
  <si>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</si>
  <si>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</si>
  <si>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</si>
  <si>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2019-05-21</t>
  </si>
  <si>
    <t>2019-05-22</t>
  </si>
  <si>
    <t>2019-05-27</t>
  </si>
  <si>
    <t>2019-05-28</t>
  </si>
  <si>
    <t>2019-05-29</t>
  </si>
  <si>
    <t>2019-05-31</t>
  </si>
  <si>
    <t>2019-06-01</t>
  </si>
  <si>
    <t>2019-06-04</t>
  </si>
  <si>
    <t>2019-06-05</t>
  </si>
  <si>
    <t>2019-06-06</t>
  </si>
  <si>
    <t>2019-06-07</t>
  </si>
  <si>
    <t>2019-06-08</t>
  </si>
  <si>
    <t>2019-06-09</t>
  </si>
  <si>
    <t>2019-06-13</t>
  </si>
  <si>
    <t>2019-06-17</t>
  </si>
  <si>
    <t>2019-06-18</t>
  </si>
  <si>
    <t>2019-06-20</t>
  </si>
  <si>
    <t>2019-06-21</t>
  </si>
  <si>
    <t>2019-06-22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</si>
  <si>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</si>
  <si>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</si>
  <si>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</si>
  <si>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</si>
  <si>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</si>
  <si>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</si>
  <si>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</si>
  <si>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</si>
  <si>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</si>
  <si>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</si>
  <si>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</si>
  <si>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2019-07-06</t>
  </si>
  <si>
    <t>2019-07-07</t>
  </si>
  <si>
    <t>2019-07-10</t>
  </si>
  <si>
    <t>2019-07-11</t>
  </si>
  <si>
    <t>2019-07-13</t>
  </si>
  <si>
    <t>2019-07-14</t>
  </si>
  <si>
    <t>2019-07-16</t>
  </si>
  <si>
    <t>2019-07-18</t>
  </si>
  <si>
    <t>2019-07-19</t>
  </si>
  <si>
    <t>2019-07-20</t>
  </si>
  <si>
    <t>2019-07-24</t>
  </si>
  <si>
    <t>2019-07-27</t>
  </si>
  <si>
    <t>2019-07-29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</si>
  <si>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</si>
  <si>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</si>
  <si>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</si>
  <si>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</si>
  <si>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</si>
  <si>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</si>
  <si>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</si>
  <si>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</si>
  <si>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2019-08-10</t>
  </si>
  <si>
    <t>2019-08-15</t>
  </si>
  <si>
    <t>2019-08-17</t>
  </si>
  <si>
    <t>2019-08-19</t>
  </si>
  <si>
    <t>2019-08-20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</si>
  <si>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</si>
  <si>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</si>
  <si>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</si>
  <si>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</si>
  <si>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</si>
  <si>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</si>
  <si>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</si>
  <si>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</si>
  <si>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</si>
  <si>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2019-09-01</t>
  </si>
  <si>
    <t>2019-09-03</t>
  </si>
  <si>
    <t>2019-09-07</t>
  </si>
  <si>
    <t>2019-09-08</t>
  </si>
  <si>
    <t>2019-09-11</t>
  </si>
  <si>
    <t>2019-09-12</t>
  </si>
  <si>
    <t>2019-09-15</t>
  </si>
  <si>
    <t>2019-09-18</t>
  </si>
  <si>
    <t>2019-09-19</t>
  </si>
  <si>
    <t>2019-09-22</t>
  </si>
  <si>
    <t>2019-09-23</t>
  </si>
  <si>
    <t>2019-09-25</t>
  </si>
  <si>
    <t>2019-09-26</t>
  </si>
  <si>
    <t>2019-09-28</t>
  </si>
  <si>
    <t>2019-09-29</t>
  </si>
  <si>
    <t>2019-09-30</t>
  </si>
  <si>
    <t>2019-10-02</t>
  </si>
  <si>
    <t>2019-10-04</t>
  </si>
  <si>
    <t>2019-10-07</t>
  </si>
  <si>
    <t>2019-10-08</t>
  </si>
  <si>
    <t>2019-10-13</t>
  </si>
  <si>
    <t>2019-10-14</t>
  </si>
  <si>
    <t>2019-10-16</t>
  </si>
  <si>
    <t>2019-10-18</t>
  </si>
  <si>
    <t>2019-10-19</t>
  </si>
  <si>
    <t>2019-10-21</t>
  </si>
  <si>
    <t>2019-10-22</t>
  </si>
  <si>
    <t>2019-10-23</t>
  </si>
  <si>
    <t>2019-10-25</t>
  </si>
  <si>
    <t>2019-10-26</t>
  </si>
  <si>
    <t>2019-10-29</t>
  </si>
  <si>
    <t>2019-10-30</t>
  </si>
  <si>
    <t>2019-11-01</t>
  </si>
  <si>
    <t>2019-11-02</t>
  </si>
  <si>
    <t>2019-11-03</t>
  </si>
  <si>
    <t>2019-11-05</t>
  </si>
  <si>
    <t>2019-11-06</t>
  </si>
  <si>
    <t>2019-11-09</t>
  </si>
  <si>
    <t>2019-11-10</t>
  </si>
  <si>
    <t>2019-11-12</t>
  </si>
  <si>
    <t>2019-11-14</t>
  </si>
  <si>
    <t>2019-11-15</t>
  </si>
  <si>
    <t>2019-11-16</t>
  </si>
  <si>
    <t>2019-11-17</t>
  </si>
  <si>
    <t>2019-11-19</t>
  </si>
  <si>
    <t>2019-11-21</t>
  </si>
  <si>
    <t>2019-11-22</t>
  </si>
  <si>
    <t>2019-11-23</t>
  </si>
  <si>
    <t>2019-11-25</t>
  </si>
  <si>
    <t>2019-11-26</t>
  </si>
  <si>
    <t>2019-12-03</t>
  </si>
  <si>
    <t>2019-12-04</t>
  </si>
  <si>
    <t>2019-12-06</t>
  </si>
  <si>
    <t>2019-12-10</t>
  </si>
  <si>
    <t>2019-12-12</t>
  </si>
  <si>
    <t>2019-12-15</t>
  </si>
  <si>
    <t>2019-12-16</t>
  </si>
  <si>
    <t>2019-12-18</t>
  </si>
  <si>
    <t>2019-12-19</t>
  </si>
  <si>
    <t>2019-12-20</t>
  </si>
  <si>
    <t>2019-12-24</t>
  </si>
  <si>
    <t>2019-12-26</t>
  </si>
  <si>
    <t>2019-12-29</t>
  </si>
  <si>
    <t>2019-12-30</t>
  </si>
  <si>
    <t>2019-12-31</t>
  </si>
  <si>
    <t>2020-01-02</t>
  </si>
  <si>
    <t>2020-01-03</t>
  </si>
  <si>
    <t>2020-01-04</t>
  </si>
  <si>
    <t>2020-01-05</t>
  </si>
  <si>
    <t>2020-01-06</t>
  </si>
  <si>
    <t>2020-01-08</t>
  </si>
  <si>
    <t>2020-01-09</t>
  </si>
  <si>
    <t>2020-01-10</t>
  </si>
  <si>
    <t>2020-01-12</t>
  </si>
  <si>
    <t>2020-01-13</t>
  </si>
  <si>
    <t>2020-01-15</t>
  </si>
  <si>
    <t>2020-01-18</t>
  </si>
  <si>
    <t>2020-01-21</t>
  </si>
  <si>
    <t>2020-01-22</t>
  </si>
  <si>
    <t>2020-01-23</t>
  </si>
  <si>
    <t>2020-01-25</t>
  </si>
  <si>
    <t>2020-01-27</t>
  </si>
  <si>
    <t>2020-01-28</t>
  </si>
  <si>
    <t>2020-01-30</t>
  </si>
  <si>
    <t>2020-02-02</t>
  </si>
  <si>
    <t>2020-02-03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</si>
  <si>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</si>
  <si>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</si>
  <si>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</si>
  <si>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</si>
  <si>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</si>
  <si>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</si>
  <si>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</si>
  <si>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</si>
  <si>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2020-02-18</t>
  </si>
  <si>
    <t>2020-02-19</t>
  </si>
  <si>
    <t>2020-02-20</t>
  </si>
  <si>
    <t>2020-02-23</t>
  </si>
  <si>
    <t>2020-02-24</t>
  </si>
  <si>
    <t>2020-02-26</t>
  </si>
  <si>
    <t>2020-02-29</t>
  </si>
  <si>
    <t>2020-03-01</t>
  </si>
  <si>
    <t>2020-03-03</t>
  </si>
  <si>
    <t>2020-03-04</t>
  </si>
  <si>
    <t>2020-03-06</t>
  </si>
  <si>
    <t>2020-03-08</t>
  </si>
  <si>
    <t>2020-03-10</t>
  </si>
  <si>
    <t>2020-03-11</t>
  </si>
  <si>
    <t>2020-03-12</t>
  </si>
  <si>
    <t>2020-03-13</t>
  </si>
  <si>
    <t>2020-03-15</t>
  </si>
  <si>
    <t>2020-03-16</t>
  </si>
  <si>
    <t>2020-03-17</t>
  </si>
  <si>
    <t>2020-03-19</t>
  </si>
  <si>
    <t>2020-03-21</t>
  </si>
  <si>
    <t>2020-03-23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</si>
  <si>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</si>
  <si>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</si>
  <si>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</si>
  <si>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</si>
  <si>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</si>
  <si>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</si>
  <si>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</si>
  <si>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</si>
  <si>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</si>
  <si>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</si>
  <si>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2020-04-07</t>
  </si>
  <si>
    <t>2020-04-09</t>
  </si>
  <si>
    <t>2020-04-10</t>
  </si>
  <si>
    <t>2020-04-12</t>
  </si>
  <si>
    <t>2020-04-13</t>
  </si>
  <si>
    <t>2020-04-15</t>
  </si>
  <si>
    <t>2020-04-17</t>
  </si>
  <si>
    <t>2020-04-18</t>
  </si>
  <si>
    <t>2020-04-19</t>
  </si>
  <si>
    <t>2020-04-21</t>
  </si>
  <si>
    <t>2020-04-22</t>
  </si>
  <si>
    <t>2020-04-25</t>
  </si>
  <si>
    <t>2020-04-30</t>
  </si>
  <si>
    <t>2020-05-01</t>
  </si>
  <si>
    <t>2020-05-02</t>
  </si>
  <si>
    <t>2020-05-03</t>
  </si>
  <si>
    <t>2020-05-05</t>
  </si>
  <si>
    <t>2020-05-06</t>
  </si>
  <si>
    <t>2020-05-07</t>
  </si>
  <si>
    <t>2020-05-08</t>
  </si>
  <si>
    <t>2020-05-10</t>
  </si>
  <si>
    <t>2020-05-11</t>
  </si>
  <si>
    <t>2020-05-13</t>
  </si>
  <si>
    <t>2020-05-14</t>
  </si>
  <si>
    <t>2020-05-16</t>
  </si>
  <si>
    <t>2020-05-17</t>
  </si>
  <si>
    <t>2020-05-18</t>
  </si>
  <si>
    <t>2020-05-19</t>
  </si>
  <si>
    <t>2020-05-21</t>
  </si>
  <si>
    <t>2020-05-22</t>
  </si>
  <si>
    <t>2020-05-23</t>
  </si>
  <si>
    <t>2020-05-24</t>
  </si>
  <si>
    <t>2020-05-25</t>
  </si>
  <si>
    <t>2020-05-26</t>
  </si>
  <si>
    <t>2020-05-28</t>
  </si>
  <si>
    <t>2020-05-29</t>
  </si>
  <si>
    <t>2020-05-30</t>
  </si>
  <si>
    <t>2020-05-31</t>
  </si>
  <si>
    <t>2020-06-01</t>
  </si>
  <si>
    <t>2020-06-02</t>
  </si>
  <si>
    <t>2020-06-04</t>
  </si>
  <si>
    <t>2020-06-06</t>
  </si>
  <si>
    <t>2020-06-07</t>
  </si>
  <si>
    <t>2020-06-08</t>
  </si>
  <si>
    <t>2020-06-09</t>
  </si>
  <si>
    <t>2020-06-10</t>
  </si>
  <si>
    <t>2020-06-13</t>
  </si>
  <si>
    <t>2020-06-17</t>
  </si>
  <si>
    <t>2020-06-18</t>
  </si>
  <si>
    <t>2020-06-19</t>
  </si>
  <si>
    <t>2020-06-20</t>
  </si>
  <si>
    <t>2020-06-23</t>
  </si>
  <si>
    <t>2020-06-24</t>
  </si>
  <si>
    <t>2020-06-27</t>
  </si>
  <si>
    <t>2020-06-28</t>
  </si>
  <si>
    <t>2020-06-30</t>
  </si>
  <si>
    <t>2020-07-02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</si>
  <si>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</si>
  <si>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</si>
  <si>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</si>
  <si>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</si>
  <si>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</si>
  <si>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</si>
  <si>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</si>
  <si>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2020-07-12</t>
  </si>
  <si>
    <t>2020-07-13</t>
  </si>
  <si>
    <t>2020-07-14</t>
  </si>
  <si>
    <t>2020-07-16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</si>
  <si>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</si>
  <si>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</si>
  <si>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</si>
  <si>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</si>
  <si>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</si>
  <si>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</si>
  <si>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</si>
  <si>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</si>
  <si>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2020-07-28</t>
  </si>
  <si>
    <t>2020-07-30</t>
  </si>
  <si>
    <t>2020-07-31</t>
  </si>
  <si>
    <t>2020-08-02</t>
  </si>
  <si>
    <t>2020-08-03</t>
  </si>
  <si>
    <t>2020-08-04</t>
  </si>
  <si>
    <t>2020-08-05</t>
  </si>
  <si>
    <t>2020-08-08</t>
  </si>
  <si>
    <t>2020-08-09</t>
  </si>
  <si>
    <t>2020-08-15</t>
  </si>
  <si>
    <t>2020-08-16</t>
  </si>
  <si>
    <t>2020-08-17</t>
  </si>
  <si>
    <t>2020-08-19</t>
  </si>
  <si>
    <t>2020-08-20</t>
  </si>
  <si>
    <t>2020-08-21</t>
  </si>
  <si>
    <t>2020-08-22</t>
  </si>
  <si>
    <t>2020-08-23</t>
  </si>
  <si>
    <t>2020-08-25</t>
  </si>
  <si>
    <t>2020-08-26</t>
  </si>
  <si>
    <t>2020-08-27</t>
  </si>
  <si>
    <t>2020-08-28</t>
  </si>
  <si>
    <t>2020-08-30</t>
  </si>
  <si>
    <t>2020-08-31</t>
  </si>
  <si>
    <t>2020-09-01</t>
  </si>
  <si>
    <t>2020-09-05</t>
  </si>
  <si>
    <t>2020-09-06</t>
  </si>
  <si>
    <t>2020-09-10</t>
  </si>
  <si>
    <t>2020-09-11</t>
  </si>
  <si>
    <t>2020-09-13</t>
  </si>
  <si>
    <t>2020-09-14</t>
  </si>
  <si>
    <t>2020-09-16</t>
  </si>
  <si>
    <t>2020-09-17</t>
  </si>
  <si>
    <t>2020-09-18</t>
  </si>
  <si>
    <t>2020-09-20</t>
  </si>
  <si>
    <t>2020-09-21</t>
  </si>
  <si>
    <t>2020-09-23</t>
  </si>
  <si>
    <t>2020-09-24</t>
  </si>
  <si>
    <t>2020-09-28</t>
  </si>
  <si>
    <t>2020-09-30</t>
  </si>
  <si>
    <t>2020-10-02</t>
  </si>
  <si>
    <t>2020-10-04</t>
  </si>
  <si>
    <t>2020-10-05</t>
  </si>
  <si>
    <t>2020-10-06</t>
  </si>
  <si>
    <t>2020-10-07</t>
  </si>
  <si>
    <t>2020-10-10</t>
  </si>
  <si>
    <t>2020-10-12</t>
  </si>
  <si>
    <t>2020-10-14</t>
  </si>
  <si>
    <t>2020-10-16</t>
  </si>
  <si>
    <t>2020-10-18</t>
  </si>
  <si>
    <t>2020-10-19</t>
  </si>
  <si>
    <t>2020-10-21</t>
  </si>
  <si>
    <t>2020-10-22</t>
  </si>
  <si>
    <t>2020-10-24</t>
  </si>
  <si>
    <t>2020-10-26</t>
  </si>
  <si>
    <t>2020-10-27</t>
  </si>
  <si>
    <t>2020-10-29</t>
  </si>
  <si>
    <t>2020-10-31</t>
  </si>
  <si>
    <t>2020-11-01</t>
  </si>
  <si>
    <t>2020-11-02</t>
  </si>
  <si>
    <t>2020-11-04</t>
  </si>
  <si>
    <t>2020-11-06</t>
  </si>
  <si>
    <t>2020-11-09</t>
  </si>
  <si>
    <t>2020-11-10</t>
  </si>
  <si>
    <t>2020-11-11</t>
  </si>
  <si>
    <t>2020-11-12</t>
  </si>
  <si>
    <t>2020-11-15</t>
  </si>
  <si>
    <t>2020-11-16</t>
  </si>
  <si>
    <t>2020-11-17</t>
  </si>
  <si>
    <t>2020-11-19</t>
  </si>
  <si>
    <t>2020-11-20</t>
  </si>
  <si>
    <t>2020-11-22</t>
  </si>
  <si>
    <t>2020-11-24</t>
  </si>
  <si>
    <t>2020-11-30</t>
  </si>
  <si>
    <t>2020-12-03</t>
  </si>
  <si>
    <t>2020-12-04</t>
  </si>
  <si>
    <t>2020-12-05</t>
  </si>
  <si>
    <t>2020-12-06</t>
  </si>
  <si>
    <t>2020-12-07</t>
  </si>
  <si>
    <t>2020-12-08</t>
  </si>
  <si>
    <t>2020-12-10</t>
  </si>
  <si>
    <t>2020-12-11</t>
  </si>
  <si>
    <t>2020-12-12</t>
  </si>
  <si>
    <t>2020-12-15</t>
  </si>
  <si>
    <t>2020-12-19</t>
  </si>
  <si>
    <t>2020-12-20</t>
  </si>
  <si>
    <t>2020-12-22</t>
  </si>
  <si>
    <t>2020-12-23</t>
  </si>
  <si>
    <t>2020-12-25</t>
  </si>
  <si>
    <t>2020-12-26</t>
  </si>
  <si>
    <t>2020-12-27</t>
  </si>
  <si>
    <t>2020-12-28</t>
  </si>
  <si>
    <t>2020-12-29</t>
  </si>
  <si>
    <t>2020-12-30</t>
  </si>
  <si>
    <t>2021-01-01</t>
  </si>
  <si>
    <t>2021-01-05</t>
  </si>
  <si>
    <t>2021-01-07</t>
  </si>
  <si>
    <t>2021-01-08</t>
  </si>
  <si>
    <t>2021-01-09</t>
  </si>
  <si>
    <t>2021-01-10</t>
  </si>
  <si>
    <t>2021-01-13</t>
  </si>
  <si>
    <t>2021-01-17</t>
  </si>
  <si>
    <t>2021-01-18</t>
  </si>
  <si>
    <t>2021-01-21</t>
  </si>
  <si>
    <t>2021-01-22</t>
  </si>
  <si>
    <t>2021-01-24</t>
  </si>
  <si>
    <t>2021-01-25</t>
  </si>
  <si>
    <t>2021-01-27</t>
  </si>
  <si>
    <t>2021-01-28</t>
  </si>
  <si>
    <t>2021-01-31</t>
  </si>
  <si>
    <t>2021-02-01</t>
  </si>
  <si>
    <t>2021-02-03</t>
  </si>
  <si>
    <t>2021-02-04</t>
  </si>
  <si>
    <t>2021-02-08</t>
  </si>
  <si>
    <t>2021-02-09</t>
  </si>
  <si>
    <t>2021-02-10</t>
  </si>
  <si>
    <t>2021-02-12</t>
  </si>
  <si>
    <t>2021-02-13</t>
  </si>
  <si>
    <t>2021-02-14</t>
  </si>
  <si>
    <t>2021-02-15</t>
  </si>
  <si>
    <t>2021-02-18</t>
  </si>
  <si>
    <t>2021-02-20</t>
  </si>
  <si>
    <t>2021-02-22</t>
  </si>
  <si>
    <t>2021-02-24</t>
  </si>
  <si>
    <t>2021-02-27</t>
  </si>
  <si>
    <t>2021-03-02</t>
  </si>
  <si>
    <t>2021-03-03</t>
  </si>
  <si>
    <t>2021-03-04</t>
  </si>
  <si>
    <t>2021-03-05</t>
  </si>
  <si>
    <t>2021-03-06</t>
  </si>
  <si>
    <t>2021-03-07</t>
  </si>
  <si>
    <t>2021-03-10</t>
  </si>
  <si>
    <t>2021-03-11</t>
  </si>
  <si>
    <t>2021-03-13</t>
  </si>
  <si>
    <t>2021-03-15</t>
  </si>
  <si>
    <t>2021-03-18</t>
  </si>
  <si>
    <t>2021-03-19</t>
  </si>
  <si>
    <t>2021-03-20</t>
  </si>
  <si>
    <t>2021-03-21</t>
  </si>
  <si>
    <t>2021-03-24</t>
  </si>
  <si>
    <t>2021-03-25</t>
  </si>
  <si>
    <t>2021-03-26</t>
  </si>
  <si>
    <t>2021-03-30</t>
  </si>
  <si>
    <t>2021-03-31</t>
  </si>
  <si>
    <t>2021-04-02</t>
  </si>
  <si>
    <t>2021-04-03</t>
  </si>
  <si>
    <t>2021-04-04</t>
  </si>
  <si>
    <t>2021-04-07</t>
  </si>
  <si>
    <t>2021-04-09</t>
  </si>
  <si>
    <t>2021-04-10</t>
  </si>
  <si>
    <t>2021-04-11</t>
  </si>
  <si>
    <t>2021-04-12</t>
  </si>
  <si>
    <t>2021-04-15</t>
  </si>
  <si>
    <t>2021-04-21</t>
  </si>
  <si>
    <t>2021-04-22</t>
  </si>
  <si>
    <t>2021-04-23</t>
  </si>
  <si>
    <t>2021-04-24</t>
  </si>
  <si>
    <t>2021-04-28</t>
  </si>
  <si>
    <t>2021-04-29</t>
  </si>
  <si>
    <t>2021-04-30</t>
  </si>
  <si>
    <t>2021-05-01</t>
  </si>
  <si>
    <t>2021-05-02</t>
  </si>
  <si>
    <t>2021-05-03</t>
  </si>
  <si>
    <t>2021-05-07</t>
  </si>
  <si>
    <t>2021-05-08</t>
  </si>
  <si>
    <t>2021-05-09</t>
  </si>
  <si>
    <t>2021-05-11</t>
  </si>
  <si>
    <t>2021-05-12</t>
  </si>
  <si>
    <t>2021-05-13</t>
  </si>
  <si>
    <t>2021-05-15</t>
  </si>
  <si>
    <t>2021-05-16</t>
  </si>
  <si>
    <t>2021-05-17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</si>
  <si>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</si>
  <si>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</si>
  <si>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</si>
  <si>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</si>
  <si>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</si>
  <si>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</si>
  <si>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</si>
  <si>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</si>
  <si>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2021-05-28</t>
  </si>
  <si>
    <t>2021-05-29</t>
  </si>
  <si>
    <t>2021-05-31</t>
  </si>
  <si>
    <t>2021-06-01</t>
  </si>
  <si>
    <t>2021-06-03</t>
  </si>
  <si>
    <t>2021-06-04</t>
  </si>
  <si>
    <t>2021-06-06</t>
  </si>
  <si>
    <t>2021-06-07</t>
  </si>
  <si>
    <t>2021-06-08</t>
  </si>
  <si>
    <t>2021-06-11</t>
  </si>
  <si>
    <t>2021-06-12</t>
  </si>
  <si>
    <t>2021-06-13</t>
  </si>
  <si>
    <t>2021-06-16</t>
  </si>
  <si>
    <t>2021-06-18</t>
  </si>
  <si>
    <t>2021-06-19</t>
  </si>
  <si>
    <t>2021-06-20</t>
  </si>
  <si>
    <t>2021-06-21</t>
  </si>
  <si>
    <t>2021-06-22</t>
  </si>
  <si>
    <t>2021-06-24</t>
  </si>
  <si>
    <t>2021-06-25</t>
  </si>
  <si>
    <t>2021-06-26</t>
  </si>
  <si>
    <t>2021-06-28</t>
  </si>
  <si>
    <t>2021-06-30</t>
  </si>
  <si>
    <t>2021-07-01</t>
  </si>
  <si>
    <t>2021-07-03</t>
  </si>
  <si>
    <t>2021-07-04</t>
  </si>
  <si>
    <t>2021-07-05</t>
  </si>
  <si>
    <t>2021-07-07</t>
  </si>
  <si>
    <t>2021-07-09</t>
  </si>
  <si>
    <t>2021-07-11</t>
  </si>
  <si>
    <t>2021-07-12</t>
  </si>
  <si>
    <t>2021-07-13</t>
  </si>
  <si>
    <t>2021-07-14</t>
  </si>
  <si>
    <t>2021-07-17</t>
  </si>
  <si>
    <t>2021-07-21</t>
  </si>
  <si>
    <t>2021-07-22</t>
  </si>
  <si>
    <t>2021-07-28</t>
  </si>
  <si>
    <t>2021-07-29</t>
  </si>
  <si>
    <t>2021-07-31</t>
  </si>
  <si>
    <t>2021-08-01</t>
  </si>
  <si>
    <t>2021-08-02</t>
  </si>
  <si>
    <t>2021-08-04</t>
  </si>
  <si>
    <t>2021-08-05</t>
  </si>
  <si>
    <t>2021-08-06</t>
  </si>
  <si>
    <t>2021-08-09</t>
  </si>
  <si>
    <t>2021-08-12</t>
  </si>
  <si>
    <t>2021-08-14</t>
  </si>
  <si>
    <t>2021-08-15</t>
  </si>
  <si>
    <t>2021-08-16</t>
  </si>
  <si>
    <t>2021-08-17</t>
  </si>
  <si>
    <t>2021-08-18</t>
  </si>
  <si>
    <t>2021-08-19</t>
  </si>
  <si>
    <t>2021-08-21</t>
  </si>
  <si>
    <t>2021-08-22</t>
  </si>
  <si>
    <t>2021-08-23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</si>
  <si>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</si>
  <si>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</si>
  <si>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</si>
  <si>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</si>
  <si>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</si>
  <si>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</si>
  <si>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</si>
  <si>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2021-09-02</t>
  </si>
  <si>
    <t>2021-09-03</t>
  </si>
  <si>
    <t>2021-09-06</t>
  </si>
  <si>
    <t>2021-09-10</t>
  </si>
  <si>
    <t>2021-09-12</t>
  </si>
  <si>
    <t>2021-09-13</t>
  </si>
  <si>
    <t>2021-09-16</t>
  </si>
  <si>
    <t>2021-09-17</t>
  </si>
  <si>
    <t>2021-09-19</t>
  </si>
  <si>
    <t>2021-09-20</t>
  </si>
  <si>
    <t>2021-09-21</t>
  </si>
  <si>
    <t>2021-09-22</t>
  </si>
  <si>
    <t>2021-09-23</t>
  </si>
  <si>
    <t>2021-09-25</t>
  </si>
  <si>
    <t>2021-09-27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</si>
  <si>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</si>
  <si>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</si>
  <si>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</si>
  <si>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</si>
  <si>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</si>
  <si>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</si>
  <si>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</si>
  <si>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2021-10-10</t>
  </si>
  <si>
    <t>2021-10-16</t>
  </si>
  <si>
    <t>2021-10-20</t>
  </si>
  <si>
    <t>2021-10-21</t>
  </si>
  <si>
    <t>2021-10-23</t>
  </si>
  <si>
    <t>2021-10-25</t>
  </si>
  <si>
    <t>2021-10-26</t>
  </si>
  <si>
    <t>2021-10-27</t>
  </si>
  <si>
    <t>2021-10-28</t>
  </si>
  <si>
    <t>2021-10-29</t>
  </si>
  <si>
    <t>2021-11-03</t>
  </si>
  <si>
    <t>2021-11-04</t>
  </si>
  <si>
    <t>2021-11-05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</si>
  <si>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</si>
  <si>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</si>
  <si>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</si>
  <si>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</si>
  <si>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</si>
  <si>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</si>
  <si>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</si>
  <si>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2021-11-15</t>
  </si>
  <si>
    <t>2021-11-17</t>
  </si>
  <si>
    <t>2021-11-18</t>
  </si>
  <si>
    <t>2021-11-19</t>
  </si>
  <si>
    <t>2021-11-20</t>
  </si>
  <si>
    <t>2021-11-21</t>
  </si>
  <si>
    <t>2021-11-23</t>
  </si>
  <si>
    <t>2021-11-24</t>
  </si>
  <si>
    <t>2021-11-26</t>
  </si>
  <si>
    <t>2021-11-27</t>
  </si>
  <si>
    <t>2021-11-29</t>
  </si>
  <si>
    <t>2021-11-30</t>
  </si>
  <si>
    <t>2021-12-01</t>
  </si>
  <si>
    <t>2021-12-05</t>
  </si>
  <si>
    <t>2021-12-07</t>
  </si>
  <si>
    <t>2021-12-08</t>
  </si>
  <si>
    <t>2021-12-11</t>
  </si>
  <si>
    <t>2021-12-13</t>
  </si>
  <si>
    <t>2021-12-14</t>
  </si>
  <si>
    <t>2021-12-16</t>
  </si>
  <si>
    <t>2021-12-18</t>
  </si>
  <si>
    <t>2021-12-19</t>
  </si>
  <si>
    <t>2021-12-22</t>
  </si>
  <si>
    <t>2021-12-23</t>
  </si>
  <si>
    <t>2021-12-25</t>
  </si>
  <si>
    <t>2021-12-26</t>
  </si>
  <si>
    <t>2021-12-27</t>
  </si>
  <si>
    <t>2021-12-29</t>
  </si>
  <si>
    <t>2021-12-31</t>
  </si>
  <si>
    <t>子查詢與條件過濾</t>
    <phoneticPr fontId="2" type="noConversion"/>
  </si>
  <si>
    <t>交易紀錄</t>
    <phoneticPr fontId="2" type="noConversion"/>
  </si>
  <si>
    <r>
      <rPr>
        <b/>
        <sz val="11"/>
        <color theme="1"/>
        <rFont val="新細明體"/>
        <family val="1"/>
        <charset val="136"/>
        <scheme val="minor"/>
      </rPr>
      <t>對應SQL邏輯</t>
    </r>
    <r>
      <rPr>
        <sz val="11"/>
        <color theme="1"/>
        <rFont val="新細明體"/>
        <family val="2"/>
        <scheme val="minor"/>
      </rPr>
      <t>：計算結果邏輯等同於SQL中的EXISTS判斷</t>
    </r>
    <r>
      <rPr>
        <sz val="11"/>
        <color theme="1"/>
        <rFont val="新細明體"/>
        <family val="1"/>
        <charset val="136"/>
        <scheme val="minor"/>
      </rPr>
      <t>where p.id=s.product_id</t>
    </r>
    <phoneticPr fontId="2" type="noConversion"/>
  </si>
  <si>
    <r>
      <rPr>
        <b/>
        <sz val="11"/>
        <color theme="1"/>
        <rFont val="新細明體"/>
        <family val="1"/>
        <charset val="136"/>
        <scheme val="minor"/>
      </rPr>
      <t>條件化格式</t>
    </r>
    <r>
      <rPr>
        <sz val="11"/>
        <color theme="1"/>
        <rFont val="新細明體"/>
        <family val="2"/>
        <scheme val="minor"/>
      </rPr>
      <t>：當公式結果為「已交易」時，該列底色自動變為</t>
    </r>
    <r>
      <rPr>
        <sz val="11"/>
        <color theme="1"/>
        <rFont val="新細明體"/>
        <family val="1"/>
        <charset val="136"/>
        <scheme val="minor"/>
      </rPr>
      <t>淺紅色</t>
    </r>
    <phoneticPr fontId="2" type="noConversion"/>
  </si>
  <si>
    <t>產品總數</t>
    <phoneticPr fontId="2" type="noConversion"/>
  </si>
  <si>
    <t>活躍產品數</t>
    <phoneticPr fontId="2" type="noConversion"/>
  </si>
  <si>
    <t>待淘汰產品</t>
    <phoneticPr fontId="2" type="noConversion"/>
  </si>
  <si>
    <t>COUNT函數應用、條件式格式設定</t>
    <phoneticPr fontId="2" type="noConversion"/>
  </si>
  <si>
    <t>總計</t>
  </si>
  <si>
    <t>全體客戶平均消費額</t>
    <phoneticPr fontId="2" type="noConversion"/>
  </si>
  <si>
    <t>核心客戶貢獻度</t>
    <phoneticPr fontId="2" type="noConversion"/>
  </si>
  <si>
    <t>客戶名稱</t>
  </si>
  <si>
    <t>消費額總計</t>
  </si>
  <si>
    <r>
      <t>分析需求</t>
    </r>
    <r>
      <rPr>
        <sz val="12"/>
        <color theme="1"/>
        <rFont val="新細明體"/>
        <family val="1"/>
        <charset val="136"/>
        <scheme val="minor"/>
      </rPr>
      <t>：由於全體訂單明細資料過於瑣碎，難以識別具核心價值的VIP客群。本分析聚焦在透過客戶別彙整，找出貢獻值優於消費額全體平均的VIP客群，以利後續資源分配。</t>
    </r>
    <r>
      <rPr>
        <b/>
        <sz val="12"/>
        <color theme="1"/>
        <rFont val="新細明體"/>
        <family val="1"/>
        <charset val="136"/>
        <scheme val="minor"/>
      </rPr>
      <t xml:space="preserve">
分析價值</t>
    </r>
    <r>
      <rPr>
        <sz val="12"/>
        <color theme="1"/>
        <rFont val="新細明體"/>
        <family val="1"/>
        <charset val="136"/>
        <scheme val="minor"/>
      </rPr>
      <t>：底色淺紅色為公司的</t>
    </r>
    <r>
      <rPr>
        <b/>
        <sz val="12"/>
        <color theme="1"/>
        <rFont val="新細明體"/>
        <family val="1"/>
        <charset val="136"/>
        <scheme val="minor"/>
      </rPr>
      <t>VIP核心客群</t>
    </r>
    <r>
      <rPr>
        <sz val="12"/>
        <color theme="1"/>
        <rFont val="新細明體"/>
        <family val="1"/>
        <charset val="136"/>
        <scheme val="minor"/>
      </rPr>
      <t>，可分配較多的行銷預算與客戶關懷，實現80/20法則的精準管理。</t>
    </r>
    <phoneticPr fontId="2" type="noConversion"/>
  </si>
  <si>
    <t>樞紐分析、橫條圖</t>
    <phoneticPr fontId="2" type="noConversion"/>
  </si>
  <si>
    <t>JOIN、GROUP BY條件聚合與條件過濾、ORDER BY排序、子查詢</t>
    <phoneticPr fontId="2" type="noConversion"/>
  </si>
  <si>
    <t>年份</t>
  </si>
  <si>
    <t>年份</t>
    <phoneticPr fontId="2" type="noConversion"/>
  </si>
  <si>
    <t>月份</t>
  </si>
  <si>
    <t>月份</t>
    <phoneticPr fontId="2" type="noConversion"/>
  </si>
  <si>
    <t>KPI達標檢核</t>
    <phoneticPr fontId="2" type="noConversion"/>
  </si>
  <si>
    <r>
      <rPr>
        <b/>
        <sz val="11"/>
        <color theme="1"/>
        <rFont val="新細明體"/>
        <family val="1"/>
        <charset val="136"/>
        <scheme val="minor"/>
      </rPr>
      <t>分析需求</t>
    </r>
    <r>
      <rPr>
        <sz val="11"/>
        <color theme="1"/>
        <rFont val="新細明體"/>
        <family val="1"/>
        <charset val="136"/>
        <scheme val="minor"/>
      </rPr>
      <t>：將2019年度的每日交易金額彙整為月度營收成果，用以觀察數據趨勢，檢視達到月營收目標500萬KPI門檻的月份。</t>
    </r>
    <phoneticPr fontId="2" type="noConversion"/>
  </si>
  <si>
    <r>
      <rPr>
        <b/>
        <sz val="11"/>
        <color theme="1"/>
        <rFont val="新細明體"/>
        <family val="1"/>
        <charset val="136"/>
        <scheme val="minor"/>
      </rPr>
      <t>對應SQL邏輯</t>
    </r>
    <r>
      <rPr>
        <sz val="11"/>
        <color theme="1"/>
        <rFont val="新細明體"/>
        <family val="2"/>
        <scheme val="minor"/>
      </rPr>
      <t>：KPI達標檢核結果等同於SQL中的HAVING SUM(Amount)&gt;5000000判斷</t>
    </r>
    <phoneticPr fontId="2" type="noConversion"/>
  </si>
  <si>
    <t>replace資料清洗、日期函數</t>
    <phoneticPr fontId="2" type="noConversion"/>
  </si>
  <si>
    <t>日期函數、樞紐分析、折線圖</t>
    <phoneticPr fontId="2" type="noConversion"/>
  </si>
  <si>
    <t>業績統計</t>
  </si>
  <si>
    <t>業務員</t>
  </si>
  <si>
    <t>員工編號</t>
    <phoneticPr fontId="2" type="noConversion"/>
  </si>
  <si>
    <t>JOIN、GROUP BY條件聚合與條件過濾、ORDER BY排序</t>
    <phoneticPr fontId="2" type="noConversion"/>
  </si>
  <si>
    <t>XLOOKUP函數、樞紐分析</t>
    <phoneticPr fontId="2" type="noConversion"/>
  </si>
  <si>
    <r>
      <rPr>
        <b/>
        <sz val="12"/>
        <color theme="1"/>
        <rFont val="新細明體"/>
        <family val="1"/>
        <charset val="136"/>
        <scheme val="minor"/>
      </rPr>
      <t>分析需求</t>
    </r>
    <r>
      <rPr>
        <sz val="12"/>
        <color theme="1"/>
        <rFont val="新細明體"/>
        <family val="2"/>
        <charset val="136"/>
        <scheme val="minor"/>
      </rPr>
      <t>：</t>
    </r>
    <r>
      <rPr>
        <sz val="12"/>
        <color theme="1"/>
        <rFont val="新細明體"/>
        <family val="1"/>
        <charset val="136"/>
        <scheme val="minor"/>
      </rPr>
      <t>統計2019-2021年業務員營收成果，並以</t>
    </r>
    <r>
      <rPr>
        <b/>
        <sz val="12"/>
        <color theme="1"/>
        <rFont val="新細明體"/>
        <family val="1"/>
        <charset val="136"/>
        <scheme val="minor"/>
      </rPr>
      <t>1800萬</t>
    </r>
    <r>
      <rPr>
        <sz val="12"/>
        <color theme="1"/>
        <rFont val="新細明體"/>
        <family val="1"/>
        <charset val="136"/>
        <scheme val="minor"/>
      </rPr>
      <t>為個人績效指標，績效優良的業務員，為公司的「高產值人才」，應發放績效獎金以茲鼓勵，並進行晉升評估。</t>
    </r>
    <phoneticPr fontId="2" type="noConversion"/>
  </si>
  <si>
    <r>
      <rPr>
        <b/>
        <sz val="12"/>
        <color theme="1"/>
        <rFont val="新細明體"/>
        <family val="1"/>
        <charset val="136"/>
        <scheme val="minor"/>
      </rPr>
      <t>關鍵成果</t>
    </r>
    <r>
      <rPr>
        <sz val="12"/>
        <color theme="1"/>
        <rFont val="新細明體"/>
        <family val="2"/>
        <charset val="136"/>
        <scheme val="minor"/>
      </rPr>
      <t>：2019-2021年間，共 7 位</t>
    </r>
    <r>
      <rPr>
        <sz val="12"/>
        <color theme="1"/>
        <rFont val="新細明體"/>
        <family val="1"/>
        <charset val="136"/>
        <scheme val="minor"/>
      </rPr>
      <t>業務員達成績效優良目標，其中江小花超過2000萬的佳績站上冠軍寶座。</t>
    </r>
    <phoneticPr fontId="2" type="noConversion"/>
  </si>
  <si>
    <t>Window Function操作</t>
    <phoneticPr fontId="2" type="noConversion"/>
  </si>
  <si>
    <t>營收百分比</t>
  </si>
  <si>
    <t>營收統計</t>
  </si>
  <si>
    <t>訂單分級</t>
    <phoneticPr fontId="2" type="noConversion"/>
  </si>
  <si>
    <t>客戶排名</t>
  </si>
  <si>
    <r>
      <rPr>
        <b/>
        <sz val="12"/>
        <color theme="1"/>
        <rFont val="新細明體"/>
        <family val="1"/>
        <charset val="136"/>
        <scheme val="minor"/>
      </rPr>
      <t>分析價值</t>
    </r>
    <r>
      <rPr>
        <sz val="12"/>
        <color theme="1"/>
        <rFont val="新細明體"/>
        <family val="2"/>
        <charset val="136"/>
        <scheme val="minor"/>
      </rPr>
      <t>：透過訂單分級指標，針對高額訂單，啟動優先配送服務。營收百分比15%以上的客戶，為公司重點經營的對象，</t>
    </r>
    <r>
      <rPr>
        <sz val="12"/>
        <color theme="1"/>
        <rFont val="新細明體"/>
        <family val="1"/>
        <charset val="136"/>
        <scheme val="minor"/>
      </rPr>
      <t>但需注意營收過度依賴單一供應商的經營風險。</t>
    </r>
    <phoneticPr fontId="2" type="noConversion"/>
  </si>
  <si>
    <t>樞紐分析、IFS公式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</si>
</sst>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24"/>
      <color theme="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0"/>
      <name val="新細明體"/>
      <family val="2"/>
      <scheme val="minor"/>
    </font>
    <font>
      <sz val="11"/>
      <color theme="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2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Continuous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Continuous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7" fillId="0" borderId="0" xfId="1"/>
    <xf numFmtId="0" fontId="7" fillId="0" borderId="1" xfId="1" applyBorder="1"/>
    <xf numFmtId="0" fontId="10" fillId="2" borderId="1" xfId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/>
    </xf>
    <xf numFmtId="0" fontId="0" fillId="0" borderId="0" xfId="0" pivotButton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1" applyFont="1"/>
    <xf numFmtId="0" fontId="9" fillId="0" borderId="0" xfId="1" applyFont="1"/>
    <xf numFmtId="0" fontId="9" fillId="0" borderId="0" xfId="1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9" fillId="0" borderId="0" xfId="1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9" fillId="0" borderId="0" xfId="1" applyFont="1" applyAlignment="1">
      <alignment horizontal="left" wrapText="1"/>
    </xf>
    <xf numFmtId="0" fontId="7" fillId="0" borderId="0" xfId="1" applyNumberFormat="1"/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7" fillId="0" borderId="0" xfId="1" applyFill="1"/>
  </cellXfs>
  <cellStyles count="2">
    <cellStyle name="一般" xfId="0" builtinId="0"/>
    <cellStyle name="一般 2" xfId="1" xr:uid="{B3C1E768-00D8-4874-945A-F6ECEF4D33C8}"/>
  </cellStyles>
  <dxfs count="12">
    <dxf>
      <font>
        <color rgb="FFFFC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[2019-2021年度銷售績效與客戶行為分析報告.xlsx]核心客戶貢獻度!樞紐分析表3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chemeClr val="bg1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bg1">
              <a:lumMod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bg1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核心客戶貢獻度!$J$2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D8-41A7-955F-C5CD5D4128DB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DD8-41A7-955F-C5CD5D4128DB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D8-41A7-955F-C5CD5D4128DB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DD8-41A7-955F-C5CD5D4128DB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DD8-41A7-955F-C5CD5D4128DB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DD8-41A7-955F-C5CD5D4128DB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DD8-41A7-955F-C5CD5D4128DB}"/>
              </c:ext>
            </c:extLst>
          </c:dPt>
          <c:cat>
            <c:strRef>
              <c:f>核心客戶貢獻度!$I$3:$I$10</c:f>
              <c:strCache>
                <c:ptCount val="7"/>
                <c:pt idx="0">
                  <c:v>69小華超商</c:v>
                </c:pt>
                <c:pt idx="1">
                  <c:v>愉悅水果運銷</c:v>
                </c:pt>
                <c:pt idx="2">
                  <c:v>樂活超市</c:v>
                </c:pt>
                <c:pt idx="3">
                  <c:v>布林食品公司</c:v>
                </c:pt>
                <c:pt idx="4">
                  <c:v>品國水果行</c:v>
                </c:pt>
                <c:pt idx="5">
                  <c:v>松壽生鮮食超商</c:v>
                </c:pt>
                <c:pt idx="6">
                  <c:v>清泉水果產銷</c:v>
                </c:pt>
              </c:strCache>
            </c:strRef>
          </c:cat>
          <c:val>
            <c:numRef>
              <c:f>核心客戶貢獻度!$J$3:$J$10</c:f>
              <c:numCache>
                <c:formatCode>General</c:formatCode>
                <c:ptCount val="7"/>
                <c:pt idx="0">
                  <c:v>27017000</c:v>
                </c:pt>
                <c:pt idx="1">
                  <c:v>26950000</c:v>
                </c:pt>
                <c:pt idx="2">
                  <c:v>26310000</c:v>
                </c:pt>
                <c:pt idx="3">
                  <c:v>25627000</c:v>
                </c:pt>
                <c:pt idx="4">
                  <c:v>22289000</c:v>
                </c:pt>
                <c:pt idx="5">
                  <c:v>20949000</c:v>
                </c:pt>
                <c:pt idx="6">
                  <c:v>17929000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4-4B8B-8194-7F4ADDCCB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3569855"/>
        <c:axId val="1973578015"/>
      </c:barChart>
      <c:catAx>
        <c:axId val="1973569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3578015"/>
        <c:crosses val="autoZero"/>
        <c:auto val="1"/>
        <c:lblAlgn val="ctr"/>
        <c:lblOffset val="100"/>
        <c:noMultiLvlLbl val="0"/>
      </c:catAx>
      <c:valAx>
        <c:axId val="197357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356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[2019-2021年度銷售績效與客戶行為分析報告.xlsx]2019年度營收指標趨勢!樞紐分析表6</c:name>
    <c:fmtId val="25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'2019年度營收指標趨勢'!$L$3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'2019年度營收指標趨勢'!$K$4:$K$16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'2019年度營收指標趨勢'!$L$4:$L$16</c:f>
              <c:numCache>
                <c:formatCode>General</c:formatCode>
                <c:ptCount val="12"/>
                <c:pt idx="0">
                  <c:v>6253000</c:v>
                </c:pt>
                <c:pt idx="1">
                  <c:v>4904000</c:v>
                </c:pt>
                <c:pt idx="2">
                  <c:v>4414000</c:v>
                </c:pt>
                <c:pt idx="3">
                  <c:v>2910000</c:v>
                </c:pt>
                <c:pt idx="4">
                  <c:v>6725000</c:v>
                </c:pt>
                <c:pt idx="5">
                  <c:v>5367000</c:v>
                </c:pt>
                <c:pt idx="6">
                  <c:v>4084000</c:v>
                </c:pt>
                <c:pt idx="7">
                  <c:v>6563000</c:v>
                </c:pt>
                <c:pt idx="8">
                  <c:v>3242000</c:v>
                </c:pt>
                <c:pt idx="9">
                  <c:v>4006000</c:v>
                </c:pt>
                <c:pt idx="10">
                  <c:v>5260000</c:v>
                </c:pt>
                <c:pt idx="11">
                  <c:v>4155000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58-4DB7-BEB5-307ACF8FB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9953599"/>
        <c:axId val="1519957919"/>
      </c:lineChart>
      <c:catAx>
        <c:axId val="1519953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19957919"/>
        <c:crosses val="autoZero"/>
        <c:auto val="1"/>
        <c:lblAlgn val="ctr"/>
        <c:lblOffset val="100"/>
        <c:noMultiLvlLbl val="0"/>
      </c:catAx>
      <c:valAx>
        <c:axId val="151995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1995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2019&#24180;&#24230;&#29151;&#25910;&#25351;&#27161;&#36264;&#21218;'!A1"/><Relationship Id="rId2" Type="http://schemas.openxmlformats.org/officeDocument/2006/relationships/hyperlink" Target="#&#26680;&#24515;&#23458;&#25142;&#36002;&#29563;&#24230;!A1"/><Relationship Id="rId1" Type="http://schemas.openxmlformats.org/officeDocument/2006/relationships/hyperlink" Target="#&#29986;&#21697;&#37559;&#21806;&#39511;&#35657;!A1"/><Relationship Id="rId5" Type="http://schemas.openxmlformats.org/officeDocument/2006/relationships/hyperlink" Target="#&#23458;&#25142;&#28040;&#36027;&#34892;&#28858;&#33287;&#36264;&#21218;&#36861;&#36452;!A1"/><Relationship Id="rId4" Type="http://schemas.openxmlformats.org/officeDocument/2006/relationships/hyperlink" Target="#&#21729;&#24037;&#32318;&#25928;&#32771;&#26680;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9318;&#38913;&#33287;&#23566;&#35261;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9318;&#38913;&#33287;&#23566;&#35261;!A1"/><Relationship Id="rId4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9318;&#38913;&#33287;&#23566;&#35261;!A1"/><Relationship Id="rId4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9318;&#38913;&#33287;&#23566;&#35261;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&#39318;&#38913;&#33287;&#23566;&#35261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71437</xdr:colOff>
      <xdr:row>13</xdr:row>
      <xdr:rowOff>47625</xdr:rowOff>
    </xdr:from>
    <xdr:to>
      <xdr:col>9</xdr:col>
      <xdr:colOff>4762</xdr:colOff>
      <xdr:row>13</xdr:row>
      <xdr:rowOff>381000</xdr:rowOff>
    </xdr:to>
    <xdr:sp macro="" textlink="">
      <xdr:nvSpPr>
        <xdr:cNvPr id="15" name="矩形: 圓角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2724AE-E945-DCD7-105B-E8C3B1AA7F9B}"/>
            </a:ext>
          </a:extLst>
        </xdr:cNvPr>
        <xdr:cNvSpPr/>
      </xdr:nvSpPr>
      <xdr:spPr>
        <a:xfrm>
          <a:off x="9586912" y="4267200"/>
          <a:ext cx="1504950" cy="3333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100"/>
            <a:t>查看報表</a:t>
          </a:r>
        </a:p>
      </xdr:txBody>
    </xdr:sp>
    <xdr:clientData/>
  </xdr:twoCellAnchor>
  <xdr:twoCellAnchor>
    <xdr:from>
      <xdr:col>8</xdr:col>
      <xdr:colOff>71437</xdr:colOff>
      <xdr:row>14</xdr:row>
      <xdr:rowOff>47625</xdr:rowOff>
    </xdr:from>
    <xdr:to>
      <xdr:col>9</xdr:col>
      <xdr:colOff>4762</xdr:colOff>
      <xdr:row>14</xdr:row>
      <xdr:rowOff>381000</xdr:rowOff>
    </xdr:to>
    <xdr:sp macro="" textlink="">
      <xdr:nvSpPr>
        <xdr:cNvPr id="16" name="矩形: 圓角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D0B59B-4F4E-709C-AEA6-E5881C24890B}"/>
            </a:ext>
          </a:extLst>
        </xdr:cNvPr>
        <xdr:cNvSpPr/>
      </xdr:nvSpPr>
      <xdr:spPr>
        <a:xfrm>
          <a:off x="9586912" y="4705350"/>
          <a:ext cx="1504950" cy="3333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100"/>
            <a:t>查看報表</a:t>
          </a:r>
        </a:p>
      </xdr:txBody>
    </xdr:sp>
    <xdr:clientData/>
  </xdr:twoCellAnchor>
  <xdr:twoCellAnchor>
    <xdr:from>
      <xdr:col>8</xdr:col>
      <xdr:colOff>71437</xdr:colOff>
      <xdr:row>15</xdr:row>
      <xdr:rowOff>47625</xdr:rowOff>
    </xdr:from>
    <xdr:to>
      <xdr:col>9</xdr:col>
      <xdr:colOff>4762</xdr:colOff>
      <xdr:row>15</xdr:row>
      <xdr:rowOff>381000</xdr:rowOff>
    </xdr:to>
    <xdr:sp macro="" textlink="">
      <xdr:nvSpPr>
        <xdr:cNvPr id="17" name="矩形: 圓角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9E9B31-B8B4-7FFB-59CE-2A7970A014A1}"/>
            </a:ext>
          </a:extLst>
        </xdr:cNvPr>
        <xdr:cNvSpPr/>
      </xdr:nvSpPr>
      <xdr:spPr>
        <a:xfrm>
          <a:off x="9586912" y="5143500"/>
          <a:ext cx="1504950" cy="3333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查看報表</a:t>
          </a:r>
          <a:endParaRPr lang="zh-TW" altLang="zh-TW">
            <a:effectLst/>
          </a:endParaRPr>
        </a:p>
      </xdr:txBody>
    </xdr:sp>
    <xdr:clientData/>
  </xdr:twoCellAnchor>
  <xdr:twoCellAnchor>
    <xdr:from>
      <xdr:col>8</xdr:col>
      <xdr:colOff>71437</xdr:colOff>
      <xdr:row>16</xdr:row>
      <xdr:rowOff>66675</xdr:rowOff>
    </xdr:from>
    <xdr:to>
      <xdr:col>9</xdr:col>
      <xdr:colOff>4762</xdr:colOff>
      <xdr:row>16</xdr:row>
      <xdr:rowOff>400050</xdr:rowOff>
    </xdr:to>
    <xdr:sp macro="" textlink="">
      <xdr:nvSpPr>
        <xdr:cNvPr id="18" name="矩形: 圓角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B84677-03AB-C3C8-EBA6-B091B4B7AAB7}"/>
            </a:ext>
          </a:extLst>
        </xdr:cNvPr>
        <xdr:cNvSpPr/>
      </xdr:nvSpPr>
      <xdr:spPr>
        <a:xfrm>
          <a:off x="9586912" y="5600700"/>
          <a:ext cx="1504950" cy="3333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查看報表</a:t>
          </a:r>
          <a:endParaRPr lang="zh-TW" altLang="zh-TW">
            <a:effectLst/>
          </a:endParaRPr>
        </a:p>
      </xdr:txBody>
    </xdr:sp>
    <xdr:clientData/>
  </xdr:twoCellAnchor>
  <xdr:twoCellAnchor>
    <xdr:from>
      <xdr:col>8</xdr:col>
      <xdr:colOff>71437</xdr:colOff>
      <xdr:row>17</xdr:row>
      <xdr:rowOff>76200</xdr:rowOff>
    </xdr:from>
    <xdr:to>
      <xdr:col>9</xdr:col>
      <xdr:colOff>4762</xdr:colOff>
      <xdr:row>17</xdr:row>
      <xdr:rowOff>409575</xdr:rowOff>
    </xdr:to>
    <xdr:sp macro="" textlink="">
      <xdr:nvSpPr>
        <xdr:cNvPr id="19" name="矩形: 圓角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C4FB96E-44AE-6F7D-1C38-0A71C939DB6F}"/>
            </a:ext>
          </a:extLst>
        </xdr:cNvPr>
        <xdr:cNvSpPr/>
      </xdr:nvSpPr>
      <xdr:spPr>
        <a:xfrm>
          <a:off x="9586912" y="6048375"/>
          <a:ext cx="1504950" cy="3333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查看報表</a:t>
          </a:r>
          <a:endParaRPr lang="zh-TW" altLang="zh-TW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0</xdr:col>
      <xdr:colOff>609600</xdr:colOff>
      <xdr:row>2</xdr:row>
      <xdr:rowOff>161925</xdr:rowOff>
    </xdr:to>
    <xdr:pic>
      <xdr:nvPicPr>
        <xdr:cNvPr id="3" name="圖形 2" descr="首頁 外框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F26658-E9DF-09F7-31DA-5C42FAC96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0"/>
          <a:ext cx="561975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28575</xdr:rowOff>
    </xdr:from>
    <xdr:to>
      <xdr:col>0</xdr:col>
      <xdr:colOff>619125</xdr:colOff>
      <xdr:row>2</xdr:row>
      <xdr:rowOff>180975</xdr:rowOff>
    </xdr:to>
    <xdr:pic>
      <xdr:nvPicPr>
        <xdr:cNvPr id="2" name="圖形 1" descr="首頁 外框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2D5F4C-0CE2-4903-B9CC-4794C8877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7150" y="28575"/>
          <a:ext cx="561975" cy="561975"/>
        </a:xfrm>
        <a:prstGeom prst="rect">
          <a:avLst/>
        </a:prstGeom>
      </xdr:spPr>
    </xdr:pic>
    <xdr:clientData/>
  </xdr:twoCellAnchor>
  <xdr:twoCellAnchor>
    <xdr:from>
      <xdr:col>7</xdr:col>
      <xdr:colOff>661986</xdr:colOff>
      <xdr:row>11</xdr:row>
      <xdr:rowOff>171450</xdr:rowOff>
    </xdr:from>
    <xdr:to>
      <xdr:col>12</xdr:col>
      <xdr:colOff>1009650</xdr:colOff>
      <xdr:row>26</xdr:row>
      <xdr:rowOff>142874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F3B1DF4A-DC86-8A9C-61A6-A0B793C86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</xdr:rowOff>
    </xdr:from>
    <xdr:to>
      <xdr:col>0</xdr:col>
      <xdr:colOff>638175</xdr:colOff>
      <xdr:row>2</xdr:row>
      <xdr:rowOff>152400</xdr:rowOff>
    </xdr:to>
    <xdr:pic>
      <xdr:nvPicPr>
        <xdr:cNvPr id="2" name="圖形 1" descr="首頁 外框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FC152C-5564-48EB-B57E-233960EE1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6200" y="9525"/>
          <a:ext cx="561975" cy="561975"/>
        </a:xfrm>
        <a:prstGeom prst="rect">
          <a:avLst/>
        </a:prstGeom>
      </xdr:spPr>
    </xdr:pic>
    <xdr:clientData/>
  </xdr:twoCellAnchor>
  <xdr:twoCellAnchor>
    <xdr:from>
      <xdr:col>10</xdr:col>
      <xdr:colOff>14287</xdr:colOff>
      <xdr:row>18</xdr:row>
      <xdr:rowOff>4762</xdr:rowOff>
    </xdr:from>
    <xdr:to>
      <xdr:col>16</xdr:col>
      <xdr:colOff>676275</xdr:colOff>
      <xdr:row>31</xdr:row>
      <xdr:rowOff>23812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78F3098-3DBC-90C9-D774-24BB5B1F6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47625</xdr:rowOff>
    </xdr:from>
    <xdr:to>
      <xdr:col>0</xdr:col>
      <xdr:colOff>590550</xdr:colOff>
      <xdr:row>2</xdr:row>
      <xdr:rowOff>190500</xdr:rowOff>
    </xdr:to>
    <xdr:pic>
      <xdr:nvPicPr>
        <xdr:cNvPr id="2" name="圖形 1" descr="首頁 外框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E416E5-EF98-4F20-8C41-844D8AC16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575" y="47625"/>
          <a:ext cx="561975" cy="5619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609600</xdr:colOff>
      <xdr:row>2</xdr:row>
      <xdr:rowOff>190500</xdr:rowOff>
    </xdr:to>
    <xdr:pic>
      <xdr:nvPicPr>
        <xdr:cNvPr id="2" name="圖形 1" descr="首頁 外框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5BB12D-A7B2-4BDE-8608-CE9BD7147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47625"/>
          <a:ext cx="561975" cy="5619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9.581769675926" createdVersion="8" refreshedVersion="8" minRefreshableVersion="3" recordCount="1000" xr:uid="{04A8DCB2-71A6-4929-A074-6C082FF3A392}">
  <cacheSource type="worksheet">
    <worksheetSource ref="B1:G1001" sheet="核心客戶貢獻度"/>
  </cacheSource>
  <cacheFields count="6">
    <cacheField name="id" numFmtId="0">
      <sharedItems/>
    </cacheField>
    <cacheField name="Client" numFmtId="0">
      <sharedItems count="7">
        <s v="布林食品公司"/>
        <s v="品國水果行"/>
        <s v="69小華超商"/>
        <s v="愉悅水果運銷"/>
        <s v="松壽生鮮食超商"/>
        <s v="樂活超市"/>
        <s v="清泉水果產銷"/>
      </sharedItems>
    </cacheField>
    <cacheField name="Amount" numFmtId="0">
      <sharedItems containsSemiMixedTypes="0" containsString="0" containsNumber="1" containsInteger="1" minValue="30000" maxValue="300000"/>
    </cacheField>
    <cacheField name="Date" numFmtId="0">
      <sharedItems/>
    </cacheField>
    <cacheField name="Product" numFmtId="0">
      <sharedItems/>
    </cacheField>
    <cacheField name="Employe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0.528535879632" createdVersion="8" refreshedVersion="8" minRefreshableVersion="3" recordCount="1000" xr:uid="{EC5A4DE2-CDAA-4053-B5EC-BE76EC0AF676}">
  <cacheSource type="worksheet">
    <worksheetSource ref="B1:I1001" sheet="2019年度營收指標趨勢"/>
  </cacheSource>
  <cacheFields count="8">
    <cacheField name="id" numFmtId="0">
      <sharedItems/>
    </cacheField>
    <cacheField name="employee_id" numFmtId="0">
      <sharedItems/>
    </cacheField>
    <cacheField name="client_id" numFmtId="0">
      <sharedItems/>
    </cacheField>
    <cacheField name="product_id" numFmtId="0">
      <sharedItems/>
    </cacheField>
    <cacheField name="Amount" numFmtId="0">
      <sharedItems containsSemiMixedTypes="0" containsString="0" containsNumber="1" containsInteger="1" minValue="30000" maxValue="300000"/>
    </cacheField>
    <cacheField name="Date" numFmtId="0">
      <sharedItems count="670">
        <s v="2019年1月2日"/>
        <s v="2019年1月3日"/>
        <s v="2019年1月4日"/>
        <s v="2019年1月5日"/>
        <s v="2019年1月6日"/>
        <s v="2019年1月7日"/>
        <s v="2019年1月9日"/>
        <s v="2019年1月10日"/>
        <s v="2019年1月12日"/>
        <s v="2019年1月15日"/>
        <s v="2019年1月16日"/>
        <s v="2019年1月17日"/>
        <s v="2019年1月18日"/>
        <s v="2019年1月19日"/>
        <s v="2019年1月20日"/>
        <s v="2019年1月21日"/>
        <s v="2019年1月22日"/>
        <s v="2019年1月23日"/>
        <s v="2019年1月25日"/>
        <s v="2019年1月28日"/>
        <s v="2019年1月29日"/>
        <s v="2019年1月31日"/>
        <s v="2019年2月1日"/>
        <s v="2019年2月2日"/>
        <s v="2019年2月3日"/>
        <s v="2019年2月6日"/>
        <s v="2019年2月7日"/>
        <s v="2019年2月8日"/>
        <s v="2019年2月9日"/>
        <s v="2019年2月10日"/>
        <s v="2019年2月11日"/>
        <s v="2019年2月13日"/>
        <s v="2019年2月16日"/>
        <s v="2019年2月17日"/>
        <s v="2019年2月18日"/>
        <s v="2019年2月19日"/>
        <s v="2019年2月21日"/>
        <s v="2019年2月22日"/>
        <s v="2019年2月23日"/>
        <s v="2019年2月25日"/>
        <s v="2019年2月26日"/>
        <s v="2019年2月27日"/>
        <s v="2019年3月1日"/>
        <s v="2019年3月2日"/>
        <s v="2019年3月3日"/>
        <s v="2019年3月4日"/>
        <s v="2019年3月5日"/>
        <s v="2019年3月6日"/>
        <s v="2019年3月7日"/>
        <s v="2019年3月9日"/>
        <s v="2019年3月11日"/>
        <s v="2019年3月15日"/>
        <s v="2019年3月20日"/>
        <s v="2019年3月21日"/>
        <s v="2019年3月23日"/>
        <s v="2019年3月24日"/>
        <s v="2019年3月25日"/>
        <s v="2019年3月29日"/>
        <s v="2019年3月30日"/>
        <s v="2019年3月31日"/>
        <s v="2019年4月3日"/>
        <s v="2019年4月4日"/>
        <s v="2019年4月5日"/>
        <s v="2019年4月6日"/>
        <s v="2019年4月7日"/>
        <s v="2019年4月9日"/>
        <s v="2019年4月11日"/>
        <s v="2019年4月13日"/>
        <s v="2019年4月15日"/>
        <s v="2019年4月16日"/>
        <s v="2019年4月17日"/>
        <s v="2019年4月19日"/>
        <s v="2019年4月21日"/>
        <s v="2019年4月26日"/>
        <s v="2019年4月28日"/>
        <s v="2019年4月29日"/>
        <s v="2019年5月1日"/>
        <s v="2019年5月2日"/>
        <s v="2019年5月3日"/>
        <s v="2019年5月4日"/>
        <s v="2019年5月5日"/>
        <s v="2019年5月7日"/>
        <s v="2019年5月8日"/>
        <s v="2019年5月10日"/>
        <s v="2019年5月11日"/>
        <s v="2019年5月12日"/>
        <s v="2019年5月13日"/>
        <s v="2019年5月14日"/>
        <s v="2019年5月15日"/>
        <s v="2019年5月16日"/>
        <s v="2019年5月17日"/>
        <s v="2019年5月21日"/>
        <s v="2019年5月22日"/>
        <s v="2019年5月27日"/>
        <s v="2019年5月28日"/>
        <s v="2019年5月29日"/>
        <s v="2019年5月31日"/>
        <s v="2019年6月1日"/>
        <s v="2019年6月4日"/>
        <s v="2019年6月5日"/>
        <s v="2019年6月6日"/>
        <s v="2019年6月7日"/>
        <s v="2019年6月8日"/>
        <s v="2019年6月9日"/>
        <s v="2019年6月13日"/>
        <s v="2019年6月17日"/>
        <s v="2019年6月18日"/>
        <s v="2019年6月20日"/>
        <s v="2019年6月21日"/>
        <s v="2019年6月22日"/>
        <s v="2019年6月24日"/>
        <s v="2019年6月25日"/>
        <s v="2019年6月26日"/>
        <s v="2019年6月27日"/>
        <s v="2019年6月28日"/>
        <s v="2019年6月29日"/>
        <s v="2019年6月30日"/>
        <s v="2019年7月1日"/>
        <s v="2019年7月2日"/>
        <s v="2019年7月3日"/>
        <s v="2019年7月4日"/>
        <s v="2019年7月6日"/>
        <s v="2019年7月7日"/>
        <s v="2019年7月10日"/>
        <s v="2019年7月11日"/>
        <s v="2019年7月13日"/>
        <s v="2019年7月14日"/>
        <s v="2019年7月16日"/>
        <s v="2019年7月18日"/>
        <s v="2019年7月19日"/>
        <s v="2019年7月20日"/>
        <s v="2019年7月24日"/>
        <s v="2019年7月27日"/>
        <s v="2019年7月29日"/>
        <s v="2019年7月31日"/>
        <s v="2019年8月1日"/>
        <s v="2019年8月2日"/>
        <s v="2019年8月3日"/>
        <s v="2019年8月4日"/>
        <s v="2019年8月5日"/>
        <s v="2019年8月6日"/>
        <s v="2019年8月7日"/>
        <s v="2019年8月10日"/>
        <s v="2019年8月15日"/>
        <s v="2019年8月17日"/>
        <s v="2019年8月19日"/>
        <s v="2019年8月20日"/>
        <s v="2019年8月22日"/>
        <s v="2019年8月23日"/>
        <s v="2019年8月24日"/>
        <s v="2019年8月25日"/>
        <s v="2019年8月26日"/>
        <s v="2019年8月27日"/>
        <s v="2019年8月28日"/>
        <s v="2019年8月29日"/>
        <s v="2019年8月30日"/>
        <s v="2019年9月1日"/>
        <s v="2019年9月3日"/>
        <s v="2019年9月7日"/>
        <s v="2019年9月8日"/>
        <s v="2019年9月11日"/>
        <s v="2019年9月12日"/>
        <s v="2019年9月15日"/>
        <s v="2019年9月18日"/>
        <s v="2019年9月19日"/>
        <s v="2019年9月22日"/>
        <s v="2019年9月23日"/>
        <s v="2019年9月25日"/>
        <s v="2019年9月26日"/>
        <s v="2019年9月28日"/>
        <s v="2019年9月29日"/>
        <s v="2019年9月30日"/>
        <s v="2019年10月2日"/>
        <s v="2019年10月4日"/>
        <s v="2019年10月7日"/>
        <s v="2019年10月8日"/>
        <s v="2019年10月13日"/>
        <s v="2019年10月14日"/>
        <s v="2019年10月16日"/>
        <s v="2019年10月18日"/>
        <s v="2019年10月19日"/>
        <s v="2019年10月21日"/>
        <s v="2019年10月22日"/>
        <s v="2019年10月23日"/>
        <s v="2019年10月25日"/>
        <s v="2019年10月26日"/>
        <s v="2019年10月29日"/>
        <s v="2019年10月30日"/>
        <s v="2019年11月1日"/>
        <s v="2019年11月2日"/>
        <s v="2019年11月3日"/>
        <s v="2019年11月5日"/>
        <s v="2019年11月6日"/>
        <s v="2019年11月9日"/>
        <s v="2019年11月10日"/>
        <s v="2019年11月12日"/>
        <s v="2019年11月14日"/>
        <s v="2019年11月15日"/>
        <s v="2019年11月16日"/>
        <s v="2019年11月17日"/>
        <s v="2019年11月19日"/>
        <s v="2019年11月21日"/>
        <s v="2019年11月22日"/>
        <s v="2019年11月23日"/>
        <s v="2019年11月25日"/>
        <s v="2019年11月26日"/>
        <s v="2019年12月3日"/>
        <s v="2019年12月4日"/>
        <s v="2019年12月6日"/>
        <s v="2019年12月10日"/>
        <s v="2019年12月12日"/>
        <s v="2019年12月15日"/>
        <s v="2019年12月16日"/>
        <s v="2019年12月18日"/>
        <s v="2019年12月19日"/>
        <s v="2019年12月20日"/>
        <s v="2019年12月24日"/>
        <s v="2019年12月26日"/>
        <s v="2019年12月29日"/>
        <s v="2019年12月30日"/>
        <s v="2019年12月31日"/>
        <s v="2020年1月2日"/>
        <s v="2020年1月3日"/>
        <s v="2020年1月4日"/>
        <s v="2020年1月5日"/>
        <s v="2020年1月6日"/>
        <s v="2020年1月8日"/>
        <s v="2020年1月9日"/>
        <s v="2020年1月10日"/>
        <s v="2020年1月12日"/>
        <s v="2020年1月13日"/>
        <s v="2020年1月15日"/>
        <s v="2020年1月18日"/>
        <s v="2020年1月21日"/>
        <s v="2020年1月22日"/>
        <s v="2020年1月23日"/>
        <s v="2020年1月25日"/>
        <s v="2020年1月27日"/>
        <s v="2020年1月28日"/>
        <s v="2020年1月30日"/>
        <s v="2020年2月2日"/>
        <s v="2020年2月3日"/>
        <s v="2020年2月5日"/>
        <s v="2020年2月6日"/>
        <s v="2020年2月7日"/>
        <s v="2020年2月8日"/>
        <s v="2020年2月9日"/>
        <s v="2020年2月10日"/>
        <s v="2020年2月11日"/>
        <s v="2020年2月12日"/>
        <s v="2020年2月18日"/>
        <s v="2020年2月19日"/>
        <s v="2020年2月20日"/>
        <s v="2020年2月23日"/>
        <s v="2020年2月24日"/>
        <s v="2020年2月26日"/>
        <s v="2020年2月29日"/>
        <s v="2020年3月1日"/>
        <s v="2020年3月3日"/>
        <s v="2020年3月4日"/>
        <s v="2020年3月6日"/>
        <s v="2020年3月8日"/>
        <s v="2020年3月10日"/>
        <s v="2020年3月11日"/>
        <s v="2020年3月12日"/>
        <s v="2020年3月13日"/>
        <s v="2020年3月15日"/>
        <s v="2020年3月16日"/>
        <s v="2020年3月17日"/>
        <s v="2020年3月19日"/>
        <s v="2020年3月21日"/>
        <s v="2020年3月23日"/>
        <s v="2020年3月26日"/>
        <s v="2020年3月27日"/>
        <s v="2020年3月28日"/>
        <s v="2020年3月29日"/>
        <s v="2020年3月30日"/>
        <s v="2020年3月31日"/>
        <s v="2020年4月1日"/>
        <s v="2020年4月2日"/>
        <s v="2020年4月3日"/>
        <s v="2020年4月4日"/>
        <s v="2020年4月7日"/>
        <s v="2020年4月9日"/>
        <s v="2020年4月10日"/>
        <s v="2020年4月12日"/>
        <s v="2020年4月13日"/>
        <s v="2020年4月15日"/>
        <s v="2020年4月17日"/>
        <s v="2020年4月18日"/>
        <s v="2020年4月19日"/>
        <s v="2020年4月21日"/>
        <s v="2020年4月22日"/>
        <s v="2020年4月25日"/>
        <s v="2020年4月30日"/>
        <s v="2020年5月1日"/>
        <s v="2020年5月2日"/>
        <s v="2020年5月3日"/>
        <s v="2020年5月5日"/>
        <s v="2020年5月6日"/>
        <s v="2020年5月7日"/>
        <s v="2020年5月8日"/>
        <s v="2020年5月10日"/>
        <s v="2020年5月11日"/>
        <s v="2020年5月13日"/>
        <s v="2020年5月14日"/>
        <s v="2020年5月16日"/>
        <s v="2020年5月17日"/>
        <s v="2020年5月18日"/>
        <s v="2020年5月19日"/>
        <s v="2020年5月21日"/>
        <s v="2020年5月22日"/>
        <s v="2020年5月23日"/>
        <s v="2020年5月24日"/>
        <s v="2020年5月25日"/>
        <s v="2020年5月26日"/>
        <s v="2020年5月28日"/>
        <s v="2020年5月29日"/>
        <s v="2020年5月30日"/>
        <s v="2020年5月31日"/>
        <s v="2020年6月1日"/>
        <s v="2020年6月2日"/>
        <s v="2020年6月4日"/>
        <s v="2020年6月6日"/>
        <s v="2020年6月7日"/>
        <s v="2020年6月8日"/>
        <s v="2020年6月9日"/>
        <s v="2020年6月10日"/>
        <s v="2020年6月13日"/>
        <s v="2020年6月17日"/>
        <s v="2020年6月18日"/>
        <s v="2020年6月19日"/>
        <s v="2020年6月20日"/>
        <s v="2020年6月23日"/>
        <s v="2020年6月24日"/>
        <s v="2020年6月27日"/>
        <s v="2020年6月28日"/>
        <s v="2020年6月30日"/>
        <s v="2020年7月2日"/>
        <s v="2020年7月4日"/>
        <s v="2020年7月5日"/>
        <s v="2020年7月6日"/>
        <s v="2020年7月7日"/>
        <s v="2020年7月8日"/>
        <s v="2020年7月9日"/>
        <s v="2020年7月10日"/>
        <s v="2020年7月12日"/>
        <s v="2020年7月13日"/>
        <s v="2020年7月14日"/>
        <s v="2020年7月16日"/>
        <s v="2020年7月18日"/>
        <s v="2020年7月19日"/>
        <s v="2020年7月20日"/>
        <s v="2020年7月21日"/>
        <s v="2020年7月22日"/>
        <s v="2020年7月23日"/>
        <s v="2020年7月24日"/>
        <s v="2020年7月25日"/>
        <s v="2020年7月28日"/>
        <s v="2020年7月30日"/>
        <s v="2020年7月31日"/>
        <s v="2020年8月2日"/>
        <s v="2020年8月3日"/>
        <s v="2020年8月4日"/>
        <s v="2020年8月5日"/>
        <s v="2020年8月8日"/>
        <s v="2020年8月9日"/>
        <s v="2020年8月15日"/>
        <s v="2020年8月16日"/>
        <s v="2020年8月17日"/>
        <s v="2020年8月19日"/>
        <s v="2020年8月20日"/>
        <s v="2020年8月21日"/>
        <s v="2020年8月22日"/>
        <s v="2020年8月23日"/>
        <s v="2020年8月25日"/>
        <s v="2020年8月26日"/>
        <s v="2020年8月27日"/>
        <s v="2020年8月28日"/>
        <s v="2020年8月30日"/>
        <s v="2020年8月31日"/>
        <s v="2020年9月1日"/>
        <s v="2020年9月5日"/>
        <s v="2020年9月6日"/>
        <s v="2020年9月10日"/>
        <s v="2020年9月11日"/>
        <s v="2020年9月13日"/>
        <s v="2020年9月14日"/>
        <s v="2020年9月16日"/>
        <s v="2020年9月17日"/>
        <s v="2020年9月18日"/>
        <s v="2020年9月20日"/>
        <s v="2020年9月21日"/>
        <s v="2020年9月23日"/>
        <s v="2020年9月24日"/>
        <s v="2020年9月28日"/>
        <s v="2020年9月30日"/>
        <s v="2020年10月2日"/>
        <s v="2020年10月4日"/>
        <s v="2020年10月5日"/>
        <s v="2020年10月6日"/>
        <s v="2020年10月7日"/>
        <s v="2020年10月10日"/>
        <s v="2020年10月12日"/>
        <s v="2020年10月14日"/>
        <s v="2020年10月16日"/>
        <s v="2020年10月18日"/>
        <s v="2020年10月19日"/>
        <s v="2020年10月21日"/>
        <s v="2020年10月22日"/>
        <s v="2020年10月24日"/>
        <s v="2020年10月26日"/>
        <s v="2020年10月27日"/>
        <s v="2020年10月29日"/>
        <s v="2020年10月31日"/>
        <s v="2020年11月1日"/>
        <s v="2020年11月2日"/>
        <s v="2020年11月4日"/>
        <s v="2020年11月6日"/>
        <s v="2020年11月9日"/>
        <s v="2020年11月10日"/>
        <s v="2020年11月11日"/>
        <s v="2020年11月12日"/>
        <s v="2020年11月15日"/>
        <s v="2020年11月16日"/>
        <s v="2020年11月17日"/>
        <s v="2020年11月19日"/>
        <s v="2020年11月20日"/>
        <s v="2020年11月22日"/>
        <s v="2020年11月24日"/>
        <s v="2020年11月30日"/>
        <s v="2020年12月3日"/>
        <s v="2020年12月4日"/>
        <s v="2020年12月5日"/>
        <s v="2020年12月6日"/>
        <s v="2020年12月7日"/>
        <s v="2020年12月8日"/>
        <s v="2020年12月10日"/>
        <s v="2020年12月11日"/>
        <s v="2020年12月12日"/>
        <s v="2020年12月15日"/>
        <s v="2020年12月19日"/>
        <s v="2020年12月20日"/>
        <s v="2020年12月22日"/>
        <s v="2020年12月23日"/>
        <s v="2020年12月25日"/>
        <s v="2020年12月26日"/>
        <s v="2020年12月27日"/>
        <s v="2020年12月28日"/>
        <s v="2020年12月29日"/>
        <s v="2020年12月30日"/>
        <s v="2021年1月1日"/>
        <s v="2021年1月5日"/>
        <s v="2021年1月7日"/>
        <s v="2021年1月8日"/>
        <s v="2021年1月9日"/>
        <s v="2021年1月10日"/>
        <s v="2021年1月13日"/>
        <s v="2021年1月17日"/>
        <s v="2021年1月18日"/>
        <s v="2021年1月21日"/>
        <s v="2021年1月22日"/>
        <s v="2021年1月24日"/>
        <s v="2021年1月25日"/>
        <s v="2021年1月27日"/>
        <s v="2021年1月28日"/>
        <s v="2021年1月31日"/>
        <s v="2021年2月1日"/>
        <s v="2021年2月3日"/>
        <s v="2021年2月4日"/>
        <s v="2021年2月8日"/>
        <s v="2021年2月9日"/>
        <s v="2021年2月10日"/>
        <s v="2021年2月12日"/>
        <s v="2021年2月13日"/>
        <s v="2021年2月14日"/>
        <s v="2021年2月15日"/>
        <s v="2021年2月18日"/>
        <s v="2021年2月20日"/>
        <s v="2021年2月22日"/>
        <s v="2021年2月24日"/>
        <s v="2021年2月27日"/>
        <s v="2021年3月2日"/>
        <s v="2021年3月3日"/>
        <s v="2021年3月4日"/>
        <s v="2021年3月5日"/>
        <s v="2021年3月6日"/>
        <s v="2021年3月7日"/>
        <s v="2021年3月10日"/>
        <s v="2021年3月11日"/>
        <s v="2021年3月13日"/>
        <s v="2021年3月15日"/>
        <s v="2021年3月18日"/>
        <s v="2021年3月19日"/>
        <s v="2021年3月20日"/>
        <s v="2021年3月21日"/>
        <s v="2021年3月24日"/>
        <s v="2021年3月25日"/>
        <s v="2021年3月26日"/>
        <s v="2021年3月30日"/>
        <s v="2021年3月31日"/>
        <s v="2021年4月2日"/>
        <s v="2021年4月3日"/>
        <s v="2021年4月4日"/>
        <s v="2021年4月7日"/>
        <s v="2021年4月9日"/>
        <s v="2021年4月10日"/>
        <s v="2021年4月11日"/>
        <s v="2021年4月12日"/>
        <s v="2021年4月15日"/>
        <s v="2021年4月21日"/>
        <s v="2021年4月22日"/>
        <s v="2021年4月23日"/>
        <s v="2021年4月24日"/>
        <s v="2021年4月28日"/>
        <s v="2021年4月29日"/>
        <s v="2021年4月30日"/>
        <s v="2021年5月1日"/>
        <s v="2021年5月2日"/>
        <s v="2021年5月3日"/>
        <s v="2021年5月7日"/>
        <s v="2021年5月8日"/>
        <s v="2021年5月9日"/>
        <s v="2021年5月11日"/>
        <s v="2021年5月12日"/>
        <s v="2021年5月13日"/>
        <s v="2021年5月15日"/>
        <s v="2021年5月16日"/>
        <s v="2021年5月17日"/>
        <s v="2021年5月19日"/>
        <s v="2021年5月20日"/>
        <s v="2021年5月21日"/>
        <s v="2021年5月22日"/>
        <s v="2021年5月23日"/>
        <s v="2021年5月24日"/>
        <s v="2021年5月25日"/>
        <s v="2021年5月26日"/>
        <s v="2021年5月28日"/>
        <s v="2021年5月29日"/>
        <s v="2021年5月31日"/>
        <s v="2021年6月1日"/>
        <s v="2021年6月3日"/>
        <s v="2021年6月4日"/>
        <s v="2021年6月6日"/>
        <s v="2021年6月7日"/>
        <s v="2021年6月8日"/>
        <s v="2021年6月11日"/>
        <s v="2021年6月12日"/>
        <s v="2021年6月13日"/>
        <s v="2021年6月16日"/>
        <s v="2021年6月18日"/>
        <s v="2021年6月19日"/>
        <s v="2021年6月20日"/>
        <s v="2021年6月21日"/>
        <s v="2021年6月22日"/>
        <s v="2021年6月24日"/>
        <s v="2021年6月25日"/>
        <s v="2021年6月26日"/>
        <s v="2021年6月28日"/>
        <s v="2021年6月30日"/>
        <s v="2021年7月1日"/>
        <s v="2021年7月3日"/>
        <s v="2021年7月4日"/>
        <s v="2021年7月5日"/>
        <s v="2021年7月7日"/>
        <s v="2021年7月9日"/>
        <s v="2021年7月11日"/>
        <s v="2021年7月12日"/>
        <s v="2021年7月13日"/>
        <s v="2021年7月14日"/>
        <s v="2021年7月17日"/>
        <s v="2021年7月21日"/>
        <s v="2021年7月22日"/>
        <s v="2021年7月28日"/>
        <s v="2021年7月29日"/>
        <s v="2021年7月31日"/>
        <s v="2021年8月1日"/>
        <s v="2021年8月2日"/>
        <s v="2021年8月4日"/>
        <s v="2021年8月5日"/>
        <s v="2021年8月6日"/>
        <s v="2021年8月9日"/>
        <s v="2021年8月12日"/>
        <s v="2021年8月14日"/>
        <s v="2021年8月15日"/>
        <s v="2021年8月16日"/>
        <s v="2021年8月17日"/>
        <s v="2021年8月18日"/>
        <s v="2021年8月19日"/>
        <s v="2021年8月21日"/>
        <s v="2021年8月22日"/>
        <s v="2021年8月23日"/>
        <s v="2021年8月25日"/>
        <s v="2021年8月26日"/>
        <s v="2021年8月27日"/>
        <s v="2021年8月28日"/>
        <s v="2021年8月29日"/>
        <s v="2021年8月30日"/>
        <s v="2021年8月31日"/>
        <s v="2021年9月2日"/>
        <s v="2021年9月3日"/>
        <s v="2021年9月6日"/>
        <s v="2021年9月10日"/>
        <s v="2021年9月12日"/>
        <s v="2021年9月13日"/>
        <s v="2021年9月16日"/>
        <s v="2021年9月17日"/>
        <s v="2021年9月19日"/>
        <s v="2021年9月20日"/>
        <s v="2021年9月21日"/>
        <s v="2021年9月22日"/>
        <s v="2021年9月23日"/>
        <s v="2021年9月25日"/>
        <s v="2021年9月27日"/>
        <s v="2021年10月2日"/>
        <s v="2021年10月3日"/>
        <s v="2021年10月4日"/>
        <s v="2021年10月5日"/>
        <s v="2021年10月6日"/>
        <s v="2021年10月7日"/>
        <s v="2021年10月8日"/>
        <s v="2021年10月10日"/>
        <s v="2021年10月16日"/>
        <s v="2021年10月20日"/>
        <s v="2021年10月21日"/>
        <s v="2021年10月23日"/>
        <s v="2021年10月25日"/>
        <s v="2021年10月26日"/>
        <s v="2021年10月27日"/>
        <s v="2021年10月28日"/>
        <s v="2021年10月29日"/>
        <s v="2021年11月3日"/>
        <s v="2021年11月4日"/>
        <s v="2021年11月5日"/>
        <s v="2021年11月7日"/>
        <s v="2021年11月8日"/>
        <s v="2021年11月9日"/>
        <s v="2021年11月10日"/>
        <s v="2021年11月11日"/>
        <s v="2021年11月12日"/>
        <s v="2021年11月13日"/>
        <s v="2021年11月15日"/>
        <s v="2021年11月17日"/>
        <s v="2021年11月18日"/>
        <s v="2021年11月19日"/>
        <s v="2021年11月20日"/>
        <s v="2021年11月21日"/>
        <s v="2021年11月23日"/>
        <s v="2021年11月24日"/>
        <s v="2021年11月26日"/>
        <s v="2021年11月27日"/>
        <s v="2021年11月29日"/>
        <s v="2021年11月30日"/>
        <s v="2021年12月1日"/>
        <s v="2021年12月5日"/>
        <s v="2021年12月7日"/>
        <s v="2021年12月8日"/>
        <s v="2021年12月11日"/>
        <s v="2021年12月13日"/>
        <s v="2021年12月14日"/>
        <s v="2021年12月16日"/>
        <s v="2021年12月18日"/>
        <s v="2021年12月19日"/>
        <s v="2021年12月22日"/>
        <s v="2021年12月23日"/>
        <s v="2021年12月25日"/>
        <s v="2021年12月26日"/>
        <s v="2021年12月27日"/>
        <s v="2021年12月29日"/>
        <s v="2021年12月31日"/>
      </sharedItems>
    </cacheField>
    <cacheField name="年份" numFmtId="0">
      <sharedItems containsSemiMixedTypes="0" containsString="0" containsNumber="1" containsInteger="1" minValue="2019" maxValue="2021" count="3">
        <n v="2019"/>
        <n v="2020"/>
        <n v="2021"/>
      </sharedItems>
    </cacheField>
    <cacheField name="月份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1.614896643521" createdVersion="8" refreshedVersion="8" minRefreshableVersion="3" recordCount="1000" xr:uid="{933475DD-92FB-49E3-99ED-25EB809E89F1}">
  <cacheSource type="worksheet">
    <worksheetSource ref="B1:G1001" sheet="員工績效考核"/>
  </cacheSource>
  <cacheFields count="6">
    <cacheField name="id" numFmtId="0">
      <sharedItems/>
    </cacheField>
    <cacheField name="Client" numFmtId="0">
      <sharedItems/>
    </cacheField>
    <cacheField name="Amount" numFmtId="0">
      <sharedItems containsSemiMixedTypes="0" containsString="0" containsNumber="1" containsInteger="1" minValue="30000" maxValue="300000"/>
    </cacheField>
    <cacheField name="Date" numFmtId="0">
      <sharedItems/>
    </cacheField>
    <cacheField name="Product" numFmtId="0">
      <sharedItems/>
    </cacheField>
    <cacheField name="Employee" numFmtId="0">
      <sharedItems count="9">
        <s v="方小文"/>
        <s v="楊小杉"/>
        <s v="葉小美"/>
        <s v="李小怡"/>
        <s v="林小玉"/>
        <s v="吳小亮"/>
        <s v="林阿杰"/>
        <s v="郭小婷"/>
        <s v="江小花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3.58517662037" createdVersion="8" refreshedVersion="8" minRefreshableVersion="3" recordCount="1000" xr:uid="{46E1EB6D-C613-4ABD-9C21-39A1C451C71B}">
  <cacheSource type="worksheet">
    <worksheetSource ref="B1:G1001" sheet="客戶消費行為與趨勢追蹤"/>
  </cacheSource>
  <cacheFields count="6">
    <cacheField name="id" numFmtId="0">
      <sharedItems/>
    </cacheField>
    <cacheField name="Client" numFmtId="0">
      <sharedItems count="7">
        <s v="布林食品公司"/>
        <s v="品國水果行"/>
        <s v="69小華超商"/>
        <s v="愉悅水果運銷"/>
        <s v="松壽生鮮食超商"/>
        <s v="樂活超市"/>
        <s v="清泉水果產銷"/>
      </sharedItems>
    </cacheField>
    <cacheField name="Amount" numFmtId="0">
      <sharedItems containsSemiMixedTypes="0" containsString="0" containsNumber="1" containsInteger="1" minValue="30000" maxValue="300000"/>
    </cacheField>
    <cacheField name="Date" numFmtId="0">
      <sharedItems/>
    </cacheField>
    <cacheField name="Product" numFmtId="0">
      <sharedItems/>
    </cacheField>
    <cacheField name="Employe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1"/>
    <x v="0"/>
    <n v="41000"/>
    <s v="2019-01-02"/>
    <s v="蘋果"/>
    <s v="方小文"/>
  </r>
  <r>
    <s v="2"/>
    <x v="1"/>
    <n v="230000"/>
    <s v="2019-01-03"/>
    <s v="香蕉"/>
    <s v="楊小杉"/>
  </r>
  <r>
    <s v="3"/>
    <x v="2"/>
    <n v="154000"/>
    <s v="2019-01-04"/>
    <s v="柚子"/>
    <s v="葉小美"/>
  </r>
  <r>
    <s v="4"/>
    <x v="3"/>
    <n v="170000"/>
    <s v="2019-01-05"/>
    <s v="柚子"/>
    <s v="李小怡"/>
  </r>
  <r>
    <s v="5"/>
    <x v="4"/>
    <n v="100000"/>
    <s v="2019-01-05"/>
    <s v="芒果"/>
    <s v="林小玉"/>
  </r>
  <r>
    <s v="6"/>
    <x v="5"/>
    <n v="139000"/>
    <s v="2019-01-06"/>
    <s v="香蕉"/>
    <s v="吳小亮"/>
  </r>
  <r>
    <s v="7"/>
    <x v="2"/>
    <n v="93000"/>
    <s v="2019-01-07"/>
    <s v="西瓜"/>
    <s v="林阿杰"/>
  </r>
  <r>
    <s v="8"/>
    <x v="2"/>
    <n v="247000"/>
    <s v="2019-01-09"/>
    <s v="柚子"/>
    <s v="方小文"/>
  </r>
  <r>
    <s v="9"/>
    <x v="3"/>
    <n v="58000"/>
    <s v="2019-01-10"/>
    <s v="鳳梨"/>
    <s v="楊小杉"/>
  </r>
  <r>
    <s v="10"/>
    <x v="3"/>
    <n v="231000"/>
    <s v="2019-01-10"/>
    <s v="西瓜"/>
    <s v="葉小美"/>
  </r>
  <r>
    <s v="11"/>
    <x v="1"/>
    <n v="183000"/>
    <s v="2019-01-10"/>
    <s v="蘋果"/>
    <s v="李小怡"/>
  </r>
  <r>
    <s v="12"/>
    <x v="5"/>
    <n v="156000"/>
    <s v="2019-01-12"/>
    <s v="柚子"/>
    <s v="李小怡"/>
  </r>
  <r>
    <s v="13"/>
    <x v="0"/>
    <n v="66000"/>
    <s v="2019-01-12"/>
    <s v="柚子"/>
    <s v="林阿杰"/>
  </r>
  <r>
    <s v="14"/>
    <x v="4"/>
    <n v="80000"/>
    <s v="2019-01-15"/>
    <s v="芒果"/>
    <s v="葉小美"/>
  </r>
  <r>
    <s v="15"/>
    <x v="1"/>
    <n v="31000"/>
    <s v="2019-01-15"/>
    <s v="香蕉"/>
    <s v="郭小婷"/>
  </r>
  <r>
    <s v="16"/>
    <x v="5"/>
    <n v="217000"/>
    <s v="2019-01-15"/>
    <s v="鳳梨"/>
    <s v="方小文"/>
  </r>
  <r>
    <s v="17"/>
    <x v="3"/>
    <n v="239000"/>
    <s v="2019-01-15"/>
    <s v="西瓜"/>
    <s v="方小文"/>
  </r>
  <r>
    <s v="18"/>
    <x v="1"/>
    <n v="120000"/>
    <s v="2019-01-16"/>
    <s v="香蕉"/>
    <s v="葉小美"/>
  </r>
  <r>
    <s v="19"/>
    <x v="1"/>
    <n v="246000"/>
    <s v="2019-01-16"/>
    <s v="西瓜"/>
    <s v="葉小美"/>
  </r>
  <r>
    <s v="20"/>
    <x v="5"/>
    <n v="79000"/>
    <s v="2019-01-17"/>
    <s v="鳳梨"/>
    <s v="楊小杉"/>
  </r>
  <r>
    <s v="21"/>
    <x v="3"/>
    <n v="167000"/>
    <s v="2019-01-17"/>
    <s v="香蕉"/>
    <s v="葉小美"/>
  </r>
  <r>
    <s v="22"/>
    <x v="1"/>
    <n v="111000"/>
    <s v="2019-01-18"/>
    <s v="蘋果"/>
    <s v="楊小杉"/>
  </r>
  <r>
    <s v="23"/>
    <x v="5"/>
    <n v="215000"/>
    <s v="2019-01-18"/>
    <s v="鳳梨"/>
    <s v="郭小婷"/>
  </r>
  <r>
    <s v="24"/>
    <x v="0"/>
    <n v="84000"/>
    <s v="2019-01-18"/>
    <s v="芒果"/>
    <s v="江小花"/>
  </r>
  <r>
    <s v="25"/>
    <x v="3"/>
    <n v="275000"/>
    <s v="2019-01-18"/>
    <s v="西瓜"/>
    <s v="葉小美"/>
  </r>
  <r>
    <s v="26"/>
    <x v="5"/>
    <n v="119000"/>
    <s v="2019-01-19"/>
    <s v="芒果"/>
    <s v="楊小杉"/>
  </r>
  <r>
    <s v="27"/>
    <x v="1"/>
    <n v="88000"/>
    <s v="2019-01-20"/>
    <s v="芒果"/>
    <s v="江小花"/>
  </r>
  <r>
    <s v="28"/>
    <x v="2"/>
    <n v="199000"/>
    <s v="2019-01-21"/>
    <s v="柚子"/>
    <s v="葉小美"/>
  </r>
  <r>
    <s v="29"/>
    <x v="4"/>
    <n v="47000"/>
    <s v="2019-01-21"/>
    <s v="柚子"/>
    <s v="郭小婷"/>
  </r>
  <r>
    <s v="30"/>
    <x v="5"/>
    <n v="52000"/>
    <s v="2019-01-22"/>
    <s v="西瓜"/>
    <s v="葉小美"/>
  </r>
  <r>
    <s v="31"/>
    <x v="6"/>
    <n v="141000"/>
    <s v="2019-01-23"/>
    <s v="柚子"/>
    <s v="林小玉"/>
  </r>
  <r>
    <s v="32"/>
    <x v="1"/>
    <n v="273000"/>
    <s v="2019-01-23"/>
    <s v="芒果"/>
    <s v="江小花"/>
  </r>
  <r>
    <s v="33"/>
    <x v="1"/>
    <n v="268000"/>
    <s v="2019-01-25"/>
    <s v="鳳梨"/>
    <s v="李小怡"/>
  </r>
  <r>
    <s v="34"/>
    <x v="2"/>
    <n v="255000"/>
    <s v="2019-01-25"/>
    <s v="鳳梨"/>
    <s v="林小玉"/>
  </r>
  <r>
    <s v="35"/>
    <x v="6"/>
    <n v="105000"/>
    <s v="2019-01-28"/>
    <s v="蘋果"/>
    <s v="葉小美"/>
  </r>
  <r>
    <s v="36"/>
    <x v="5"/>
    <n v="238000"/>
    <s v="2019-01-29"/>
    <s v="蘋果"/>
    <s v="方小文"/>
  </r>
  <r>
    <s v="37"/>
    <x v="0"/>
    <n v="222000"/>
    <s v="2019-01-29"/>
    <s v="柚子"/>
    <s v="吳小亮"/>
  </r>
  <r>
    <s v="38"/>
    <x v="3"/>
    <n v="270000"/>
    <s v="2019-01-31"/>
    <s v="芒果"/>
    <s v="楊小杉"/>
  </r>
  <r>
    <s v="39"/>
    <x v="5"/>
    <n v="244000"/>
    <s v="2019-01-31"/>
    <s v="蘋果"/>
    <s v="郭小婷"/>
  </r>
  <r>
    <s v="40"/>
    <x v="0"/>
    <n v="64000"/>
    <s v="2019-02-01"/>
    <s v="蘋果"/>
    <s v="李小怡"/>
  </r>
  <r>
    <s v="41"/>
    <x v="2"/>
    <n v="130000"/>
    <s v="2019-02-02"/>
    <s v="蘋果"/>
    <s v="李小怡"/>
  </r>
  <r>
    <s v="42"/>
    <x v="2"/>
    <n v="296000"/>
    <s v="2019-02-03"/>
    <s v="西瓜"/>
    <s v="吳小亮"/>
  </r>
  <r>
    <s v="43"/>
    <x v="1"/>
    <n v="173000"/>
    <s v="2019-02-06"/>
    <s v="鳳梨"/>
    <s v="葉小美"/>
  </r>
  <r>
    <s v="44"/>
    <x v="4"/>
    <n v="108000"/>
    <s v="2019-02-07"/>
    <s v="蘋果"/>
    <s v="郭小婷"/>
  </r>
  <r>
    <s v="45"/>
    <x v="1"/>
    <n v="138000"/>
    <s v="2019-02-08"/>
    <s v="柚子"/>
    <s v="李小怡"/>
  </r>
  <r>
    <s v="46"/>
    <x v="2"/>
    <n v="228000"/>
    <s v="2019-02-08"/>
    <s v="西瓜"/>
    <s v="方小文"/>
  </r>
  <r>
    <s v="47"/>
    <x v="4"/>
    <n v="60000"/>
    <s v="2019-02-09"/>
    <s v="鳳梨"/>
    <s v="吳小亮"/>
  </r>
  <r>
    <s v="48"/>
    <x v="2"/>
    <n v="98000"/>
    <s v="2019-02-10"/>
    <s v="蘋果"/>
    <s v="林阿杰"/>
  </r>
  <r>
    <s v="49"/>
    <x v="4"/>
    <n v="251000"/>
    <s v="2019-02-11"/>
    <s v="鳳梨"/>
    <s v="江小花"/>
  </r>
  <r>
    <s v="50"/>
    <x v="4"/>
    <n v="256000"/>
    <s v="2019-02-13"/>
    <s v="芒果"/>
    <s v="方小文"/>
  </r>
  <r>
    <s v="51"/>
    <x v="3"/>
    <n v="120000"/>
    <s v="2019-02-16"/>
    <s v="芒果"/>
    <s v="吳小亮"/>
  </r>
  <r>
    <s v="52"/>
    <x v="5"/>
    <n v="70000"/>
    <s v="2019-02-17"/>
    <s v="芒果"/>
    <s v="江小花"/>
  </r>
  <r>
    <s v="53"/>
    <x v="1"/>
    <n v="33000"/>
    <s v="2019-02-17"/>
    <s v="西瓜"/>
    <s v="江小花"/>
  </r>
  <r>
    <s v="54"/>
    <x v="0"/>
    <n v="186000"/>
    <s v="2019-02-18"/>
    <s v="芒果"/>
    <s v="林小玉"/>
  </r>
  <r>
    <s v="55"/>
    <x v="4"/>
    <n v="204000"/>
    <s v="2019-02-19"/>
    <s v="芒果"/>
    <s v="吳小亮"/>
  </r>
  <r>
    <s v="56"/>
    <x v="2"/>
    <n v="239000"/>
    <s v="2019-02-19"/>
    <s v="鳳梨"/>
    <s v="林小玉"/>
  </r>
  <r>
    <s v="57"/>
    <x v="6"/>
    <n v="258000"/>
    <s v="2019-02-21"/>
    <s v="蘋果"/>
    <s v="方小文"/>
  </r>
  <r>
    <s v="58"/>
    <x v="5"/>
    <n v="264000"/>
    <s v="2019-02-22"/>
    <s v="蘋果"/>
    <s v="李小怡"/>
  </r>
  <r>
    <s v="59"/>
    <x v="3"/>
    <n v="287000"/>
    <s v="2019-02-22"/>
    <s v="西瓜"/>
    <s v="楊小杉"/>
  </r>
  <r>
    <s v="60"/>
    <x v="5"/>
    <n v="226000"/>
    <s v="2019-02-22"/>
    <s v="柚子"/>
    <s v="李小怡"/>
  </r>
  <r>
    <s v="61"/>
    <x v="6"/>
    <n v="246000"/>
    <s v="2019-02-22"/>
    <s v="西瓜"/>
    <s v="葉小美"/>
  </r>
  <r>
    <s v="62"/>
    <x v="3"/>
    <n v="213000"/>
    <s v="2019-02-23"/>
    <s v="香蕉"/>
    <s v="方小文"/>
  </r>
  <r>
    <s v="63"/>
    <x v="3"/>
    <n v="249000"/>
    <s v="2019-02-25"/>
    <s v="柚子"/>
    <s v="葉小美"/>
  </r>
  <r>
    <s v="64"/>
    <x v="0"/>
    <n v="297000"/>
    <s v="2019-02-25"/>
    <s v="鳳梨"/>
    <s v="楊小杉"/>
  </r>
  <r>
    <s v="65"/>
    <x v="3"/>
    <n v="180000"/>
    <s v="2019-02-26"/>
    <s v="芒果"/>
    <s v="林阿杰"/>
  </r>
  <r>
    <s v="66"/>
    <x v="4"/>
    <n v="30000"/>
    <s v="2019-02-27"/>
    <s v="芒果"/>
    <s v="李小怡"/>
  </r>
  <r>
    <s v="67"/>
    <x v="5"/>
    <n v="106000"/>
    <s v="2019-03-01"/>
    <s v="蘋果"/>
    <s v="楊小杉"/>
  </r>
  <r>
    <s v="68"/>
    <x v="4"/>
    <n v="281000"/>
    <s v="2019-03-02"/>
    <s v="柚子"/>
    <s v="葉小美"/>
  </r>
  <r>
    <s v="69"/>
    <x v="0"/>
    <n v="92000"/>
    <s v="2019-03-02"/>
    <s v="鳳梨"/>
    <s v="方小文"/>
  </r>
  <r>
    <s v="70"/>
    <x v="3"/>
    <n v="78000"/>
    <s v="2019-03-03"/>
    <s v="香蕉"/>
    <s v="葉小美"/>
  </r>
  <r>
    <s v="71"/>
    <x v="0"/>
    <n v="192000"/>
    <s v="2019-03-03"/>
    <s v="蘋果"/>
    <s v="江小花"/>
  </r>
  <r>
    <s v="72"/>
    <x v="5"/>
    <n v="126000"/>
    <s v="2019-03-04"/>
    <s v="芒果"/>
    <s v="郭小婷"/>
  </r>
  <r>
    <s v="73"/>
    <x v="5"/>
    <n v="115000"/>
    <s v="2019-03-04"/>
    <s v="蘋果"/>
    <s v="李小怡"/>
  </r>
  <r>
    <s v="74"/>
    <x v="4"/>
    <n v="191000"/>
    <s v="2019-03-05"/>
    <s v="西瓜"/>
    <s v="楊小杉"/>
  </r>
  <r>
    <s v="75"/>
    <x v="0"/>
    <n v="289000"/>
    <s v="2019-03-06"/>
    <s v="香蕉"/>
    <s v="郭小婷"/>
  </r>
  <r>
    <s v="76"/>
    <x v="4"/>
    <n v="127000"/>
    <s v="2019-03-06"/>
    <s v="蘋果"/>
    <s v="吳小亮"/>
  </r>
  <r>
    <s v="77"/>
    <x v="5"/>
    <n v="207000"/>
    <s v="2019-03-06"/>
    <s v="鳳梨"/>
    <s v="葉小美"/>
  </r>
  <r>
    <s v="78"/>
    <x v="0"/>
    <n v="152000"/>
    <s v="2019-03-07"/>
    <s v="香蕉"/>
    <s v="葉小美"/>
  </r>
  <r>
    <s v="79"/>
    <x v="1"/>
    <n v="113000"/>
    <s v="2019-03-09"/>
    <s v="香蕉"/>
    <s v="林阿杰"/>
  </r>
  <r>
    <s v="80"/>
    <x v="3"/>
    <n v="112000"/>
    <s v="2019-03-11"/>
    <s v="香蕉"/>
    <s v="吳小亮"/>
  </r>
  <r>
    <s v="81"/>
    <x v="6"/>
    <n v="256000"/>
    <s v="2019-03-15"/>
    <s v="香蕉"/>
    <s v="楊小杉"/>
  </r>
  <r>
    <s v="82"/>
    <x v="5"/>
    <n v="202000"/>
    <s v="2019-03-20"/>
    <s v="蘋果"/>
    <s v="江小花"/>
  </r>
  <r>
    <s v="83"/>
    <x v="0"/>
    <n v="163000"/>
    <s v="2019-03-20"/>
    <s v="香蕉"/>
    <s v="林小玉"/>
  </r>
  <r>
    <s v="84"/>
    <x v="1"/>
    <n v="188000"/>
    <s v="2019-03-21"/>
    <s v="芒果"/>
    <s v="方小文"/>
  </r>
  <r>
    <s v="85"/>
    <x v="6"/>
    <n v="199000"/>
    <s v="2019-03-21"/>
    <s v="芒果"/>
    <s v="林小玉"/>
  </r>
  <r>
    <s v="86"/>
    <x v="6"/>
    <n v="174000"/>
    <s v="2019-03-21"/>
    <s v="芒果"/>
    <s v="林阿杰"/>
  </r>
  <r>
    <s v="87"/>
    <x v="6"/>
    <n v="55000"/>
    <s v="2019-03-23"/>
    <s v="西瓜"/>
    <s v="吳小亮"/>
  </r>
  <r>
    <s v="88"/>
    <x v="0"/>
    <n v="147000"/>
    <s v="2019-03-23"/>
    <s v="芒果"/>
    <s v="林阿杰"/>
  </r>
  <r>
    <s v="89"/>
    <x v="5"/>
    <n v="54000"/>
    <s v="2019-03-24"/>
    <s v="蘋果"/>
    <s v="楊小杉"/>
  </r>
  <r>
    <s v="90"/>
    <x v="6"/>
    <n v="100000"/>
    <s v="2019-03-24"/>
    <s v="鳳梨"/>
    <s v="吳小亮"/>
  </r>
  <r>
    <s v="91"/>
    <x v="1"/>
    <n v="51000"/>
    <s v="2019-03-24"/>
    <s v="西瓜"/>
    <s v="江小花"/>
  </r>
  <r>
    <s v="92"/>
    <x v="6"/>
    <n v="116000"/>
    <s v="2019-03-25"/>
    <s v="西瓜"/>
    <s v="江小花"/>
  </r>
  <r>
    <s v="93"/>
    <x v="5"/>
    <n v="125000"/>
    <s v="2019-03-29"/>
    <s v="西瓜"/>
    <s v="江小花"/>
  </r>
  <r>
    <s v="94"/>
    <x v="4"/>
    <n v="196000"/>
    <s v="2019-03-30"/>
    <s v="蘋果"/>
    <s v="葉小美"/>
  </r>
  <r>
    <s v="95"/>
    <x v="5"/>
    <n v="138000"/>
    <s v="2019-03-30"/>
    <s v="芒果"/>
    <s v="林阿杰"/>
  </r>
  <r>
    <s v="96"/>
    <x v="5"/>
    <n v="69000"/>
    <s v="2019-03-31"/>
    <s v="蘋果"/>
    <s v="葉小美"/>
  </r>
  <r>
    <s v="97"/>
    <x v="4"/>
    <n v="60000"/>
    <s v="2019-04-03"/>
    <s v="香蕉"/>
    <s v="楊小杉"/>
  </r>
  <r>
    <s v="98"/>
    <x v="3"/>
    <n v="216000"/>
    <s v="2019-04-04"/>
    <s v="蘋果"/>
    <s v="林小玉"/>
  </r>
  <r>
    <s v="99"/>
    <x v="1"/>
    <n v="193000"/>
    <s v="2019-04-05"/>
    <s v="柚子"/>
    <s v="林阿杰"/>
  </r>
  <r>
    <s v="100"/>
    <x v="3"/>
    <n v="88000"/>
    <s v="2019-04-06"/>
    <s v="蘋果"/>
    <s v="李小怡"/>
  </r>
  <r>
    <s v="101"/>
    <x v="6"/>
    <n v="239000"/>
    <s v="2019-04-07"/>
    <s v="芒果"/>
    <s v="吳小亮"/>
  </r>
  <r>
    <s v="102"/>
    <x v="2"/>
    <n v="41000"/>
    <s v="2019-04-09"/>
    <s v="柚子"/>
    <s v="郭小婷"/>
  </r>
  <r>
    <s v="103"/>
    <x v="5"/>
    <n v="155000"/>
    <s v="2019-04-09"/>
    <s v="香蕉"/>
    <s v="葉小美"/>
  </r>
  <r>
    <s v="104"/>
    <x v="5"/>
    <n v="51000"/>
    <s v="2019-04-11"/>
    <s v="香蕉"/>
    <s v="郭小婷"/>
  </r>
  <r>
    <s v="105"/>
    <x v="2"/>
    <n v="99000"/>
    <s v="2019-04-13"/>
    <s v="柚子"/>
    <s v="林小玉"/>
  </r>
  <r>
    <s v="106"/>
    <x v="1"/>
    <n v="213000"/>
    <s v="2019-04-15"/>
    <s v="西瓜"/>
    <s v="葉小美"/>
  </r>
  <r>
    <s v="107"/>
    <x v="5"/>
    <n v="91000"/>
    <s v="2019-04-16"/>
    <s v="芒果"/>
    <s v="楊小杉"/>
  </r>
  <r>
    <s v="108"/>
    <x v="1"/>
    <n v="155000"/>
    <s v="2019-04-17"/>
    <s v="芒果"/>
    <s v="林小玉"/>
  </r>
  <r>
    <s v="109"/>
    <x v="6"/>
    <n v="124000"/>
    <s v="2019-04-17"/>
    <s v="西瓜"/>
    <s v="郭小婷"/>
  </r>
  <r>
    <s v="110"/>
    <x v="5"/>
    <n v="198000"/>
    <s v="2019-04-19"/>
    <s v="蘋果"/>
    <s v="葉小美"/>
  </r>
  <r>
    <s v="111"/>
    <x v="0"/>
    <n v="279000"/>
    <s v="2019-04-21"/>
    <s v="蘋果"/>
    <s v="方小文"/>
  </r>
  <r>
    <s v="112"/>
    <x v="5"/>
    <n v="271000"/>
    <s v="2019-04-26"/>
    <s v="柚子"/>
    <s v="江小花"/>
  </r>
  <r>
    <s v="113"/>
    <x v="0"/>
    <n v="98000"/>
    <s v="2019-04-28"/>
    <s v="芒果"/>
    <s v="楊小杉"/>
  </r>
  <r>
    <s v="114"/>
    <x v="6"/>
    <n v="82000"/>
    <s v="2019-04-29"/>
    <s v="鳳梨"/>
    <s v="林阿杰"/>
  </r>
  <r>
    <s v="115"/>
    <x v="4"/>
    <n v="257000"/>
    <s v="2019-04-29"/>
    <s v="西瓜"/>
    <s v="吳小亮"/>
  </r>
  <r>
    <s v="116"/>
    <x v="2"/>
    <n v="239000"/>
    <s v="2019-05-01"/>
    <s v="蘋果"/>
    <s v="方小文"/>
  </r>
  <r>
    <s v="117"/>
    <x v="4"/>
    <n v="98000"/>
    <s v="2019-05-01"/>
    <s v="西瓜"/>
    <s v="林小玉"/>
  </r>
  <r>
    <s v="118"/>
    <x v="3"/>
    <n v="188000"/>
    <s v="2019-05-01"/>
    <s v="鳳梨"/>
    <s v="楊小杉"/>
  </r>
  <r>
    <s v="119"/>
    <x v="0"/>
    <n v="246000"/>
    <s v="2019-05-02"/>
    <s v="蘋果"/>
    <s v="葉小美"/>
  </r>
  <r>
    <s v="120"/>
    <x v="2"/>
    <n v="156000"/>
    <s v="2019-05-02"/>
    <s v="西瓜"/>
    <s v="方小文"/>
  </r>
  <r>
    <s v="121"/>
    <x v="1"/>
    <n v="252000"/>
    <s v="2019-05-02"/>
    <s v="柚子"/>
    <s v="吳小亮"/>
  </r>
  <r>
    <s v="122"/>
    <x v="1"/>
    <n v="161000"/>
    <s v="2019-05-03"/>
    <s v="鳳梨"/>
    <s v="郭小婷"/>
  </r>
  <r>
    <s v="123"/>
    <x v="3"/>
    <n v="79000"/>
    <s v="2019-05-04"/>
    <s v="蘋果"/>
    <s v="楊小杉"/>
  </r>
  <r>
    <s v="124"/>
    <x v="2"/>
    <n v="91000"/>
    <s v="2019-05-04"/>
    <s v="柚子"/>
    <s v="楊小杉"/>
  </r>
  <r>
    <s v="125"/>
    <x v="2"/>
    <n v="274000"/>
    <s v="2019-05-05"/>
    <s v="鳳梨"/>
    <s v="李小怡"/>
  </r>
  <r>
    <s v="126"/>
    <x v="5"/>
    <n v="225000"/>
    <s v="2019-05-05"/>
    <s v="柚子"/>
    <s v="吳小亮"/>
  </r>
  <r>
    <s v="127"/>
    <x v="4"/>
    <n v="60000"/>
    <s v="2019-05-07"/>
    <s v="香蕉"/>
    <s v="吳小亮"/>
  </r>
  <r>
    <s v="128"/>
    <x v="0"/>
    <n v="232000"/>
    <s v="2019-05-07"/>
    <s v="鳳梨"/>
    <s v="李小怡"/>
  </r>
  <r>
    <s v="129"/>
    <x v="2"/>
    <n v="258000"/>
    <s v="2019-05-08"/>
    <s v="芒果"/>
    <s v="吳小亮"/>
  </r>
  <r>
    <s v="130"/>
    <x v="5"/>
    <n v="214000"/>
    <s v="2019-05-10"/>
    <s v="鳳梨"/>
    <s v="葉小美"/>
  </r>
  <r>
    <s v="131"/>
    <x v="2"/>
    <n v="160000"/>
    <s v="2019-05-10"/>
    <s v="西瓜"/>
    <s v="吳小亮"/>
  </r>
  <r>
    <s v="132"/>
    <x v="1"/>
    <n v="172000"/>
    <s v="2019-05-11"/>
    <s v="香蕉"/>
    <s v="林阿杰"/>
  </r>
  <r>
    <s v="133"/>
    <x v="0"/>
    <n v="218000"/>
    <s v="2019-05-11"/>
    <s v="西瓜"/>
    <s v="吳小亮"/>
  </r>
  <r>
    <s v="134"/>
    <x v="5"/>
    <n v="99000"/>
    <s v="2019-05-12"/>
    <s v="西瓜"/>
    <s v="方小文"/>
  </r>
  <r>
    <s v="135"/>
    <x v="3"/>
    <n v="252000"/>
    <s v="2019-05-12"/>
    <s v="鳳梨"/>
    <s v="方小文"/>
  </r>
  <r>
    <s v="136"/>
    <x v="2"/>
    <n v="58000"/>
    <s v="2019-05-13"/>
    <s v="西瓜"/>
    <s v="郭小婷"/>
  </r>
  <r>
    <s v="137"/>
    <x v="6"/>
    <n v="272000"/>
    <s v="2019-05-14"/>
    <s v="西瓜"/>
    <s v="江小花"/>
  </r>
  <r>
    <s v="138"/>
    <x v="0"/>
    <n v="245000"/>
    <s v="2019-05-14"/>
    <s v="柚子"/>
    <s v="林小玉"/>
  </r>
  <r>
    <s v="139"/>
    <x v="5"/>
    <n v="199000"/>
    <s v="2019-05-15"/>
    <s v="西瓜"/>
    <s v="林阿杰"/>
  </r>
  <r>
    <s v="140"/>
    <x v="5"/>
    <n v="55000"/>
    <s v="2019-05-16"/>
    <s v="鳳梨"/>
    <s v="方小文"/>
  </r>
  <r>
    <s v="141"/>
    <x v="6"/>
    <n v="167000"/>
    <s v="2019-05-16"/>
    <s v="芒果"/>
    <s v="葉小美"/>
  </r>
  <r>
    <s v="142"/>
    <x v="5"/>
    <n v="270000"/>
    <s v="2019-05-17"/>
    <s v="西瓜"/>
    <s v="林小玉"/>
  </r>
  <r>
    <s v="143"/>
    <x v="5"/>
    <n v="208000"/>
    <s v="2019-05-17"/>
    <s v="芒果"/>
    <s v="吳小亮"/>
  </r>
  <r>
    <s v="144"/>
    <x v="5"/>
    <n v="269000"/>
    <s v="2019-05-17"/>
    <s v="西瓜"/>
    <s v="郭小婷"/>
  </r>
  <r>
    <s v="145"/>
    <x v="0"/>
    <n v="200000"/>
    <s v="2019-05-21"/>
    <s v="鳳梨"/>
    <s v="江小花"/>
  </r>
  <r>
    <s v="146"/>
    <x v="1"/>
    <n v="213000"/>
    <s v="2019-05-22"/>
    <s v="柚子"/>
    <s v="方小文"/>
  </r>
  <r>
    <s v="147"/>
    <x v="6"/>
    <n v="144000"/>
    <s v="2019-05-27"/>
    <s v="香蕉"/>
    <s v="吳小亮"/>
  </r>
  <r>
    <s v="148"/>
    <x v="2"/>
    <n v="149000"/>
    <s v="2019-05-27"/>
    <s v="蘋果"/>
    <s v="葉小美"/>
  </r>
  <r>
    <s v="149"/>
    <x v="3"/>
    <n v="102000"/>
    <s v="2019-05-28"/>
    <s v="芒果"/>
    <s v="吳小亮"/>
  </r>
  <r>
    <s v="150"/>
    <x v="3"/>
    <n v="120000"/>
    <s v="2019-05-29"/>
    <s v="蘋果"/>
    <s v="葉小美"/>
  </r>
  <r>
    <s v="151"/>
    <x v="0"/>
    <n v="102000"/>
    <s v="2019-05-29"/>
    <s v="西瓜"/>
    <s v="郭小婷"/>
  </r>
  <r>
    <s v="152"/>
    <x v="4"/>
    <n v="106000"/>
    <s v="2019-05-31"/>
    <s v="香蕉"/>
    <s v="林阿杰"/>
  </r>
  <r>
    <s v="153"/>
    <x v="0"/>
    <n v="172000"/>
    <s v="2019-05-31"/>
    <s v="鳳梨"/>
    <s v="林小玉"/>
  </r>
  <r>
    <s v="154"/>
    <x v="5"/>
    <n v="199000"/>
    <s v="2019-06-01"/>
    <s v="香蕉"/>
    <s v="吳小亮"/>
  </r>
  <r>
    <s v="155"/>
    <x v="4"/>
    <n v="75000"/>
    <s v="2019-06-04"/>
    <s v="芒果"/>
    <s v="林小玉"/>
  </r>
  <r>
    <s v="156"/>
    <x v="2"/>
    <n v="273000"/>
    <s v="2019-06-05"/>
    <s v="芒果"/>
    <s v="楊小杉"/>
  </r>
  <r>
    <s v="157"/>
    <x v="2"/>
    <n v="228000"/>
    <s v="2019-06-06"/>
    <s v="香蕉"/>
    <s v="楊小杉"/>
  </r>
  <r>
    <s v="158"/>
    <x v="4"/>
    <n v="228000"/>
    <s v="2019-06-07"/>
    <s v="柚子"/>
    <s v="楊小杉"/>
  </r>
  <r>
    <s v="159"/>
    <x v="5"/>
    <n v="94000"/>
    <s v="2019-06-08"/>
    <s v="鳳梨"/>
    <s v="江小花"/>
  </r>
  <r>
    <s v="160"/>
    <x v="0"/>
    <n v="104000"/>
    <s v="2019-06-08"/>
    <s v="芒果"/>
    <s v="吳小亮"/>
  </r>
  <r>
    <s v="161"/>
    <x v="4"/>
    <n v="79000"/>
    <s v="2019-06-08"/>
    <s v="芒果"/>
    <s v="吳小亮"/>
  </r>
  <r>
    <s v="162"/>
    <x v="6"/>
    <n v="30000"/>
    <s v="2019-06-09"/>
    <s v="芒果"/>
    <s v="郭小婷"/>
  </r>
  <r>
    <s v="163"/>
    <x v="6"/>
    <n v="225000"/>
    <s v="2019-06-13"/>
    <s v="芒果"/>
    <s v="楊小杉"/>
  </r>
  <r>
    <s v="164"/>
    <x v="2"/>
    <n v="121000"/>
    <s v="2019-06-17"/>
    <s v="蘋果"/>
    <s v="郭小婷"/>
  </r>
  <r>
    <s v="165"/>
    <x v="5"/>
    <n v="286000"/>
    <s v="2019-06-17"/>
    <s v="柚子"/>
    <s v="林小玉"/>
  </r>
  <r>
    <s v="166"/>
    <x v="6"/>
    <n v="152000"/>
    <s v="2019-06-17"/>
    <s v="西瓜"/>
    <s v="楊小杉"/>
  </r>
  <r>
    <s v="167"/>
    <x v="0"/>
    <n v="264000"/>
    <s v="2019-06-18"/>
    <s v="柚子"/>
    <s v="江小花"/>
  </r>
  <r>
    <s v="168"/>
    <x v="0"/>
    <n v="172000"/>
    <s v="2019-06-18"/>
    <s v="蘋果"/>
    <s v="林阿杰"/>
  </r>
  <r>
    <s v="169"/>
    <x v="1"/>
    <n v="170000"/>
    <s v="2019-06-20"/>
    <s v="芒果"/>
    <s v="方小文"/>
  </r>
  <r>
    <s v="170"/>
    <x v="6"/>
    <n v="111000"/>
    <s v="2019-06-21"/>
    <s v="鳳梨"/>
    <s v="吳小亮"/>
  </r>
  <r>
    <s v="171"/>
    <x v="5"/>
    <n v="153000"/>
    <s v="2019-06-21"/>
    <s v="西瓜"/>
    <s v="江小花"/>
  </r>
  <r>
    <s v="172"/>
    <x v="1"/>
    <n v="273000"/>
    <s v="2019-06-22"/>
    <s v="香蕉"/>
    <s v="林小玉"/>
  </r>
  <r>
    <s v="173"/>
    <x v="4"/>
    <n v="261000"/>
    <s v="2019-06-24"/>
    <s v="芒果"/>
    <s v="江小花"/>
  </r>
  <r>
    <s v="174"/>
    <x v="0"/>
    <n v="124000"/>
    <s v="2019-06-24"/>
    <s v="香蕉"/>
    <s v="葉小美"/>
  </r>
  <r>
    <s v="175"/>
    <x v="2"/>
    <n v="249000"/>
    <s v="2019-06-25"/>
    <s v="蘋果"/>
    <s v="林小玉"/>
  </r>
  <r>
    <s v="176"/>
    <x v="2"/>
    <n v="30000"/>
    <s v="2019-06-26"/>
    <s v="芒果"/>
    <s v="江小花"/>
  </r>
  <r>
    <s v="177"/>
    <x v="0"/>
    <n v="166000"/>
    <s v="2019-06-27"/>
    <s v="鳳梨"/>
    <s v="方小文"/>
  </r>
  <r>
    <s v="178"/>
    <x v="0"/>
    <n v="71000"/>
    <s v="2019-06-28"/>
    <s v="柚子"/>
    <s v="李小怡"/>
  </r>
  <r>
    <s v="179"/>
    <x v="4"/>
    <n v="136000"/>
    <s v="2019-06-28"/>
    <s v="蘋果"/>
    <s v="林阿杰"/>
  </r>
  <r>
    <s v="180"/>
    <x v="6"/>
    <n v="102000"/>
    <s v="2019-06-28"/>
    <s v="西瓜"/>
    <s v="方小文"/>
  </r>
  <r>
    <s v="181"/>
    <x v="2"/>
    <n v="238000"/>
    <s v="2019-06-28"/>
    <s v="柚子"/>
    <s v="林阿杰"/>
  </r>
  <r>
    <s v="182"/>
    <x v="0"/>
    <n v="100000"/>
    <s v="2019-06-28"/>
    <s v="芒果"/>
    <s v="吳小亮"/>
  </r>
  <r>
    <s v="183"/>
    <x v="5"/>
    <n v="63000"/>
    <s v="2019-06-29"/>
    <s v="西瓜"/>
    <s v="楊小杉"/>
  </r>
  <r>
    <s v="184"/>
    <x v="0"/>
    <n v="65000"/>
    <s v="2019-06-29"/>
    <s v="香蕉"/>
    <s v="李小怡"/>
  </r>
  <r>
    <s v="185"/>
    <x v="3"/>
    <n v="266000"/>
    <s v="2019-06-30"/>
    <s v="柚子"/>
    <s v="葉小美"/>
  </r>
  <r>
    <s v="186"/>
    <x v="6"/>
    <n v="259000"/>
    <s v="2019-06-30"/>
    <s v="西瓜"/>
    <s v="方小文"/>
  </r>
  <r>
    <s v="187"/>
    <x v="3"/>
    <n v="216000"/>
    <s v="2019-07-01"/>
    <s v="鳳梨"/>
    <s v="李小怡"/>
  </r>
  <r>
    <s v="188"/>
    <x v="4"/>
    <n v="260000"/>
    <s v="2019-07-01"/>
    <s v="芒果"/>
    <s v="江小花"/>
  </r>
  <r>
    <s v="189"/>
    <x v="3"/>
    <n v="132000"/>
    <s v="2019-07-02"/>
    <s v="蘋果"/>
    <s v="吳小亮"/>
  </r>
  <r>
    <s v="190"/>
    <x v="5"/>
    <n v="139000"/>
    <s v="2019-07-02"/>
    <s v="鳳梨"/>
    <s v="郭小婷"/>
  </r>
  <r>
    <s v="191"/>
    <x v="2"/>
    <n v="145000"/>
    <s v="2019-07-03"/>
    <s v="芒果"/>
    <s v="葉小美"/>
  </r>
  <r>
    <s v="192"/>
    <x v="2"/>
    <n v="92000"/>
    <s v="2019-07-04"/>
    <s v="鳳梨"/>
    <s v="李小怡"/>
  </r>
  <r>
    <s v="193"/>
    <x v="5"/>
    <n v="197000"/>
    <s v="2019-07-06"/>
    <s v="西瓜"/>
    <s v="葉小美"/>
  </r>
  <r>
    <s v="194"/>
    <x v="4"/>
    <n v="234000"/>
    <s v="2019-07-06"/>
    <s v="西瓜"/>
    <s v="林小玉"/>
  </r>
  <r>
    <s v="195"/>
    <x v="0"/>
    <n v="142000"/>
    <s v="2019-07-07"/>
    <s v="香蕉"/>
    <s v="方小文"/>
  </r>
  <r>
    <s v="196"/>
    <x v="0"/>
    <n v="84000"/>
    <s v="2019-07-10"/>
    <s v="西瓜"/>
    <s v="葉小美"/>
  </r>
  <r>
    <s v="197"/>
    <x v="2"/>
    <n v="243000"/>
    <s v="2019-07-11"/>
    <s v="西瓜"/>
    <s v="吳小亮"/>
  </r>
  <r>
    <s v="198"/>
    <x v="6"/>
    <n v="104000"/>
    <s v="2019-07-11"/>
    <s v="蘋果"/>
    <s v="楊小杉"/>
  </r>
  <r>
    <s v="199"/>
    <x v="0"/>
    <n v="252000"/>
    <s v="2019-07-13"/>
    <s v="鳳梨"/>
    <s v="郭小婷"/>
  </r>
  <r>
    <s v="200"/>
    <x v="5"/>
    <n v="274000"/>
    <s v="2019-07-14"/>
    <s v="香蕉"/>
    <s v="李小怡"/>
  </r>
  <r>
    <s v="201"/>
    <x v="1"/>
    <n v="46000"/>
    <s v="2019-07-14"/>
    <s v="蘋果"/>
    <s v="吳小亮"/>
  </r>
  <r>
    <s v="202"/>
    <x v="3"/>
    <n v="259000"/>
    <s v="2019-07-14"/>
    <s v="鳳梨"/>
    <s v="吳小亮"/>
  </r>
  <r>
    <s v="203"/>
    <x v="1"/>
    <n v="218000"/>
    <s v="2019-07-16"/>
    <s v="芒果"/>
    <s v="林阿杰"/>
  </r>
  <r>
    <s v="204"/>
    <x v="0"/>
    <n v="57000"/>
    <s v="2019-07-16"/>
    <s v="柚子"/>
    <s v="林小玉"/>
  </r>
  <r>
    <s v="205"/>
    <x v="0"/>
    <n v="33000"/>
    <s v="2019-07-18"/>
    <s v="鳳梨"/>
    <s v="吳小亮"/>
  </r>
  <r>
    <s v="206"/>
    <x v="4"/>
    <n v="168000"/>
    <s v="2019-07-19"/>
    <s v="芒果"/>
    <s v="葉小美"/>
  </r>
  <r>
    <s v="207"/>
    <x v="4"/>
    <n v="48000"/>
    <s v="2019-07-20"/>
    <s v="柚子"/>
    <s v="楊小杉"/>
  </r>
  <r>
    <s v="208"/>
    <x v="2"/>
    <n v="72000"/>
    <s v="2019-07-20"/>
    <s v="香蕉"/>
    <s v="李小怡"/>
  </r>
  <r>
    <s v="209"/>
    <x v="4"/>
    <n v="123000"/>
    <s v="2019-07-24"/>
    <s v="香蕉"/>
    <s v="郭小婷"/>
  </r>
  <r>
    <s v="210"/>
    <x v="5"/>
    <n v="230000"/>
    <s v="2019-07-27"/>
    <s v="西瓜"/>
    <s v="郭小婷"/>
  </r>
  <r>
    <s v="211"/>
    <x v="4"/>
    <n v="43000"/>
    <s v="2019-07-29"/>
    <s v="芒果"/>
    <s v="方小文"/>
  </r>
  <r>
    <s v="212"/>
    <x v="3"/>
    <n v="273000"/>
    <s v="2019-07-31"/>
    <s v="芒果"/>
    <s v="林小玉"/>
  </r>
  <r>
    <s v="213"/>
    <x v="4"/>
    <n v="100000"/>
    <s v="2019-08-01"/>
    <s v="香蕉"/>
    <s v="葉小美"/>
  </r>
  <r>
    <s v="214"/>
    <x v="0"/>
    <n v="282000"/>
    <s v="2019-08-01"/>
    <s v="香蕉"/>
    <s v="郭小婷"/>
  </r>
  <r>
    <s v="215"/>
    <x v="3"/>
    <n v="296000"/>
    <s v="2019-08-01"/>
    <s v="鳳梨"/>
    <s v="林阿杰"/>
  </r>
  <r>
    <s v="216"/>
    <x v="2"/>
    <n v="208000"/>
    <s v="2019-08-02"/>
    <s v="芒果"/>
    <s v="楊小杉"/>
  </r>
  <r>
    <s v="217"/>
    <x v="4"/>
    <n v="218000"/>
    <s v="2019-08-02"/>
    <s v="西瓜"/>
    <s v="林阿杰"/>
  </r>
  <r>
    <s v="218"/>
    <x v="6"/>
    <n v="229000"/>
    <s v="2019-08-03"/>
    <s v="鳳梨"/>
    <s v="江小花"/>
  </r>
  <r>
    <s v="219"/>
    <x v="5"/>
    <n v="238000"/>
    <s v="2019-08-04"/>
    <s v="蘋果"/>
    <s v="方小文"/>
  </r>
  <r>
    <s v="220"/>
    <x v="0"/>
    <n v="266000"/>
    <s v="2019-08-04"/>
    <s v="芒果"/>
    <s v="葉小美"/>
  </r>
  <r>
    <s v="221"/>
    <x v="1"/>
    <n v="279000"/>
    <s v="2019-08-05"/>
    <s v="芒果"/>
    <s v="李小怡"/>
  </r>
  <r>
    <s v="222"/>
    <x v="4"/>
    <n v="251000"/>
    <s v="2019-08-06"/>
    <s v="芒果"/>
    <s v="楊小杉"/>
  </r>
  <r>
    <s v="223"/>
    <x v="3"/>
    <n v="231000"/>
    <s v="2019-08-06"/>
    <s v="鳳梨"/>
    <s v="李小怡"/>
  </r>
  <r>
    <s v="224"/>
    <x v="0"/>
    <n v="244000"/>
    <s v="2019-08-06"/>
    <s v="柚子"/>
    <s v="林阿杰"/>
  </r>
  <r>
    <s v="225"/>
    <x v="4"/>
    <n v="104000"/>
    <s v="2019-08-07"/>
    <s v="鳳梨"/>
    <s v="江小花"/>
  </r>
  <r>
    <s v="226"/>
    <x v="4"/>
    <n v="213000"/>
    <s v="2019-08-07"/>
    <s v="香蕉"/>
    <s v="郭小婷"/>
  </r>
  <r>
    <s v="227"/>
    <x v="4"/>
    <n v="211000"/>
    <s v="2019-08-10"/>
    <s v="香蕉"/>
    <s v="林小玉"/>
  </r>
  <r>
    <s v="228"/>
    <x v="3"/>
    <n v="154000"/>
    <s v="2019-08-15"/>
    <s v="蘋果"/>
    <s v="楊小杉"/>
  </r>
  <r>
    <s v="229"/>
    <x v="0"/>
    <n v="271000"/>
    <s v="2019-08-15"/>
    <s v="蘋果"/>
    <s v="方小文"/>
  </r>
  <r>
    <s v="230"/>
    <x v="4"/>
    <n v="153000"/>
    <s v="2019-08-17"/>
    <s v="西瓜"/>
    <s v="林小玉"/>
  </r>
  <r>
    <s v="231"/>
    <x v="0"/>
    <n v="69000"/>
    <s v="2019-08-17"/>
    <s v="芒果"/>
    <s v="吳小亮"/>
  </r>
  <r>
    <s v="232"/>
    <x v="0"/>
    <n v="118000"/>
    <s v="2019-08-19"/>
    <s v="西瓜"/>
    <s v="郭小婷"/>
  </r>
  <r>
    <s v="233"/>
    <x v="1"/>
    <n v="249000"/>
    <s v="2019-08-20"/>
    <s v="鳳梨"/>
    <s v="林阿杰"/>
  </r>
  <r>
    <s v="234"/>
    <x v="4"/>
    <n v="86000"/>
    <s v="2019-08-20"/>
    <s v="蘋果"/>
    <s v="楊小杉"/>
  </r>
  <r>
    <s v="235"/>
    <x v="2"/>
    <n v="173000"/>
    <s v="2019-08-22"/>
    <s v="西瓜"/>
    <s v="葉小美"/>
  </r>
  <r>
    <s v="236"/>
    <x v="2"/>
    <n v="216000"/>
    <s v="2019-08-23"/>
    <s v="西瓜"/>
    <s v="林小玉"/>
  </r>
  <r>
    <s v="237"/>
    <x v="1"/>
    <n v="277000"/>
    <s v="2019-08-24"/>
    <s v="柚子"/>
    <s v="林小玉"/>
  </r>
  <r>
    <s v="238"/>
    <x v="6"/>
    <n v="53000"/>
    <s v="2019-08-25"/>
    <s v="鳳梨"/>
    <s v="郭小婷"/>
  </r>
  <r>
    <s v="239"/>
    <x v="3"/>
    <n v="58000"/>
    <s v="2019-08-26"/>
    <s v="香蕉"/>
    <s v="李小怡"/>
  </r>
  <r>
    <s v="240"/>
    <x v="0"/>
    <n v="55000"/>
    <s v="2019-08-27"/>
    <s v="西瓜"/>
    <s v="吳小亮"/>
  </r>
  <r>
    <s v="241"/>
    <x v="6"/>
    <n v="168000"/>
    <s v="2019-08-27"/>
    <s v="西瓜"/>
    <s v="郭小婷"/>
  </r>
  <r>
    <s v="242"/>
    <x v="3"/>
    <n v="189000"/>
    <s v="2019-08-28"/>
    <s v="芒果"/>
    <s v="林阿杰"/>
  </r>
  <r>
    <s v="243"/>
    <x v="2"/>
    <n v="222000"/>
    <s v="2019-08-28"/>
    <s v="芒果"/>
    <s v="郭小婷"/>
  </r>
  <r>
    <s v="244"/>
    <x v="1"/>
    <n v="196000"/>
    <s v="2019-08-29"/>
    <s v="香蕉"/>
    <s v="葉小美"/>
  </r>
  <r>
    <s v="245"/>
    <x v="4"/>
    <n v="282000"/>
    <s v="2019-08-29"/>
    <s v="蘋果"/>
    <s v="林阿杰"/>
  </r>
  <r>
    <s v="246"/>
    <x v="1"/>
    <n v="167000"/>
    <s v="2019-08-30"/>
    <s v="西瓜"/>
    <s v="江小花"/>
  </r>
  <r>
    <s v="247"/>
    <x v="6"/>
    <n v="37000"/>
    <s v="2019-08-30"/>
    <s v="芒果"/>
    <s v="楊小杉"/>
  </r>
  <r>
    <s v="248"/>
    <x v="0"/>
    <n v="260000"/>
    <s v="2019-09-01"/>
    <s v="鳳梨"/>
    <s v="郭小婷"/>
  </r>
  <r>
    <s v="249"/>
    <x v="2"/>
    <n v="110000"/>
    <s v="2019-09-01"/>
    <s v="蘋果"/>
    <s v="方小文"/>
  </r>
  <r>
    <s v="250"/>
    <x v="3"/>
    <n v="136000"/>
    <s v="2019-09-03"/>
    <s v="蘋果"/>
    <s v="方小文"/>
  </r>
  <r>
    <s v="251"/>
    <x v="5"/>
    <n v="285000"/>
    <s v="2019-09-07"/>
    <s v="柚子"/>
    <s v="林小玉"/>
  </r>
  <r>
    <s v="252"/>
    <x v="0"/>
    <n v="153000"/>
    <s v="2019-09-08"/>
    <s v="蘋果"/>
    <s v="葉小美"/>
  </r>
  <r>
    <s v="253"/>
    <x v="3"/>
    <n v="97000"/>
    <s v="2019-09-11"/>
    <s v="鳳梨"/>
    <s v="江小花"/>
  </r>
  <r>
    <s v="254"/>
    <x v="0"/>
    <n v="212000"/>
    <s v="2019-09-11"/>
    <s v="香蕉"/>
    <s v="吳小亮"/>
  </r>
  <r>
    <s v="255"/>
    <x v="2"/>
    <n v="168000"/>
    <s v="2019-09-11"/>
    <s v="鳳梨"/>
    <s v="江小花"/>
  </r>
  <r>
    <s v="256"/>
    <x v="3"/>
    <n v="227000"/>
    <s v="2019-09-11"/>
    <s v="柚子"/>
    <s v="方小文"/>
  </r>
  <r>
    <s v="257"/>
    <x v="2"/>
    <n v="40000"/>
    <s v="2019-09-12"/>
    <s v="西瓜"/>
    <s v="李小怡"/>
  </r>
  <r>
    <s v="258"/>
    <x v="4"/>
    <n v="36000"/>
    <s v="2019-09-15"/>
    <s v="西瓜"/>
    <s v="葉小美"/>
  </r>
  <r>
    <s v="259"/>
    <x v="2"/>
    <n v="40000"/>
    <s v="2019-09-18"/>
    <s v="柚子"/>
    <s v="楊小杉"/>
  </r>
  <r>
    <s v="260"/>
    <x v="1"/>
    <n v="210000"/>
    <s v="2019-09-19"/>
    <s v="芒果"/>
    <s v="郭小婷"/>
  </r>
  <r>
    <s v="261"/>
    <x v="1"/>
    <n v="96000"/>
    <s v="2019-09-22"/>
    <s v="香蕉"/>
    <s v="郭小婷"/>
  </r>
  <r>
    <s v="262"/>
    <x v="4"/>
    <n v="125000"/>
    <s v="2019-09-23"/>
    <s v="柚子"/>
    <s v="江小花"/>
  </r>
  <r>
    <s v="263"/>
    <x v="1"/>
    <n v="260000"/>
    <s v="2019-09-25"/>
    <s v="香蕉"/>
    <s v="李小怡"/>
  </r>
  <r>
    <s v="264"/>
    <x v="2"/>
    <n v="54000"/>
    <s v="2019-09-26"/>
    <s v="蘋果"/>
    <s v="郭小婷"/>
  </r>
  <r>
    <s v="265"/>
    <x v="0"/>
    <n v="234000"/>
    <s v="2019-09-26"/>
    <s v="西瓜"/>
    <s v="李小怡"/>
  </r>
  <r>
    <s v="266"/>
    <x v="3"/>
    <n v="101000"/>
    <s v="2019-09-28"/>
    <s v="蘋果"/>
    <s v="江小花"/>
  </r>
  <r>
    <s v="267"/>
    <x v="4"/>
    <n v="297000"/>
    <s v="2019-09-29"/>
    <s v="西瓜"/>
    <s v="李小怡"/>
  </r>
  <r>
    <s v="268"/>
    <x v="6"/>
    <n v="31000"/>
    <s v="2019-09-29"/>
    <s v="西瓜"/>
    <s v="吳小亮"/>
  </r>
  <r>
    <s v="269"/>
    <x v="1"/>
    <n v="70000"/>
    <s v="2019-09-30"/>
    <s v="香蕉"/>
    <s v="楊小杉"/>
  </r>
  <r>
    <s v="270"/>
    <x v="4"/>
    <n v="169000"/>
    <s v="2019-10-02"/>
    <s v="香蕉"/>
    <s v="李小怡"/>
  </r>
  <r>
    <s v="271"/>
    <x v="1"/>
    <n v="207000"/>
    <s v="2019-10-02"/>
    <s v="芒果"/>
    <s v="吳小亮"/>
  </r>
  <r>
    <s v="272"/>
    <x v="1"/>
    <n v="142000"/>
    <s v="2019-10-02"/>
    <s v="鳳梨"/>
    <s v="李小怡"/>
  </r>
  <r>
    <s v="273"/>
    <x v="0"/>
    <n v="290000"/>
    <s v="2019-10-04"/>
    <s v="鳳梨"/>
    <s v="吳小亮"/>
  </r>
  <r>
    <s v="274"/>
    <x v="0"/>
    <n v="128000"/>
    <s v="2019-10-07"/>
    <s v="香蕉"/>
    <s v="林小玉"/>
  </r>
  <r>
    <s v="275"/>
    <x v="4"/>
    <n v="124000"/>
    <s v="2019-10-08"/>
    <s v="柚子"/>
    <s v="李小怡"/>
  </r>
  <r>
    <s v="276"/>
    <x v="4"/>
    <n v="284000"/>
    <s v="2019-10-13"/>
    <s v="鳳梨"/>
    <s v="方小文"/>
  </r>
  <r>
    <s v="277"/>
    <x v="3"/>
    <n v="191000"/>
    <s v="2019-10-14"/>
    <s v="蘋果"/>
    <s v="方小文"/>
  </r>
  <r>
    <s v="278"/>
    <x v="5"/>
    <n v="107000"/>
    <s v="2019-10-16"/>
    <s v="芒果"/>
    <s v="楊小杉"/>
  </r>
  <r>
    <s v="279"/>
    <x v="1"/>
    <n v="234000"/>
    <s v="2019-10-16"/>
    <s v="西瓜"/>
    <s v="郭小婷"/>
  </r>
  <r>
    <s v="280"/>
    <x v="3"/>
    <n v="214000"/>
    <s v="2019-10-18"/>
    <s v="柚子"/>
    <s v="林小玉"/>
  </r>
  <r>
    <s v="281"/>
    <x v="1"/>
    <n v="182000"/>
    <s v="2019-10-19"/>
    <s v="西瓜"/>
    <s v="林阿杰"/>
  </r>
  <r>
    <s v="282"/>
    <x v="4"/>
    <n v="276000"/>
    <s v="2019-10-21"/>
    <s v="香蕉"/>
    <s v="郭小婷"/>
  </r>
  <r>
    <s v="283"/>
    <x v="0"/>
    <n v="51000"/>
    <s v="2019-10-22"/>
    <s v="蘋果"/>
    <s v="林小玉"/>
  </r>
  <r>
    <s v="284"/>
    <x v="3"/>
    <n v="84000"/>
    <s v="2019-10-22"/>
    <s v="芒果"/>
    <s v="江小花"/>
  </r>
  <r>
    <s v="285"/>
    <x v="6"/>
    <n v="61000"/>
    <s v="2019-10-22"/>
    <s v="柚子"/>
    <s v="吳小亮"/>
  </r>
  <r>
    <s v="286"/>
    <x v="2"/>
    <n v="187000"/>
    <s v="2019-10-22"/>
    <s v="鳳梨"/>
    <s v="葉小美"/>
  </r>
  <r>
    <s v="287"/>
    <x v="2"/>
    <n v="126000"/>
    <s v="2019-10-23"/>
    <s v="柚子"/>
    <s v="吳小亮"/>
  </r>
  <r>
    <s v="288"/>
    <x v="6"/>
    <n v="217000"/>
    <s v="2019-10-25"/>
    <s v="蘋果"/>
    <s v="李小怡"/>
  </r>
  <r>
    <s v="289"/>
    <x v="4"/>
    <n v="153000"/>
    <s v="2019-10-26"/>
    <s v="柚子"/>
    <s v="林阿杰"/>
  </r>
  <r>
    <s v="290"/>
    <x v="1"/>
    <n v="170000"/>
    <s v="2019-10-29"/>
    <s v="香蕉"/>
    <s v="葉小美"/>
  </r>
  <r>
    <s v="291"/>
    <x v="3"/>
    <n v="136000"/>
    <s v="2019-10-29"/>
    <s v="香蕉"/>
    <s v="江小花"/>
  </r>
  <r>
    <s v="292"/>
    <x v="2"/>
    <n v="273000"/>
    <s v="2019-10-30"/>
    <s v="鳳梨"/>
    <s v="方小文"/>
  </r>
  <r>
    <s v="293"/>
    <x v="2"/>
    <n v="242000"/>
    <s v="2019-11-01"/>
    <s v="柚子"/>
    <s v="吳小亮"/>
  </r>
  <r>
    <s v="294"/>
    <x v="3"/>
    <n v="64000"/>
    <s v="2019-11-01"/>
    <s v="柚子"/>
    <s v="李小怡"/>
  </r>
  <r>
    <s v="295"/>
    <x v="1"/>
    <n v="233000"/>
    <s v="2019-11-02"/>
    <s v="蘋果"/>
    <s v="葉小美"/>
  </r>
  <r>
    <s v="296"/>
    <x v="4"/>
    <n v="148000"/>
    <s v="2019-11-02"/>
    <s v="蘋果"/>
    <s v="方小文"/>
  </r>
  <r>
    <s v="297"/>
    <x v="0"/>
    <n v="77000"/>
    <s v="2019-11-03"/>
    <s v="蘋果"/>
    <s v="林小玉"/>
  </r>
  <r>
    <s v="298"/>
    <x v="3"/>
    <n v="179000"/>
    <s v="2019-11-03"/>
    <s v="香蕉"/>
    <s v="葉小美"/>
  </r>
  <r>
    <s v="299"/>
    <x v="6"/>
    <n v="108000"/>
    <s v="2019-11-05"/>
    <s v="鳳梨"/>
    <s v="江小花"/>
  </r>
  <r>
    <s v="300"/>
    <x v="3"/>
    <n v="61000"/>
    <s v="2019-11-06"/>
    <s v="芒果"/>
    <s v="吳小亮"/>
  </r>
  <r>
    <s v="301"/>
    <x v="5"/>
    <n v="291000"/>
    <s v="2019-11-06"/>
    <s v="柚子"/>
    <s v="林阿杰"/>
  </r>
  <r>
    <s v="302"/>
    <x v="6"/>
    <n v="285000"/>
    <s v="2019-11-09"/>
    <s v="鳳梨"/>
    <s v="楊小杉"/>
  </r>
  <r>
    <s v="303"/>
    <x v="5"/>
    <n v="237000"/>
    <s v="2019-11-09"/>
    <s v="芒果"/>
    <s v="楊小杉"/>
  </r>
  <r>
    <s v="304"/>
    <x v="2"/>
    <n v="237000"/>
    <s v="2019-11-09"/>
    <s v="西瓜"/>
    <s v="郭小婷"/>
  </r>
  <r>
    <s v="305"/>
    <x v="3"/>
    <n v="217000"/>
    <s v="2019-11-10"/>
    <s v="蘋果"/>
    <s v="林阿杰"/>
  </r>
  <r>
    <s v="306"/>
    <x v="0"/>
    <n v="173000"/>
    <s v="2019-11-12"/>
    <s v="香蕉"/>
    <s v="吳小亮"/>
  </r>
  <r>
    <s v="307"/>
    <x v="6"/>
    <n v="185000"/>
    <s v="2019-11-14"/>
    <s v="西瓜"/>
    <s v="方小文"/>
  </r>
  <r>
    <s v="308"/>
    <x v="3"/>
    <n v="86000"/>
    <s v="2019-11-14"/>
    <s v="蘋果"/>
    <s v="方小文"/>
  </r>
  <r>
    <s v="309"/>
    <x v="1"/>
    <n v="78000"/>
    <s v="2019-11-14"/>
    <s v="蘋果"/>
    <s v="方小文"/>
  </r>
  <r>
    <s v="310"/>
    <x v="4"/>
    <n v="223000"/>
    <s v="2019-11-14"/>
    <s v="香蕉"/>
    <s v="郭小婷"/>
  </r>
  <r>
    <s v="311"/>
    <x v="0"/>
    <n v="175000"/>
    <s v="2019-11-15"/>
    <s v="香蕉"/>
    <s v="吳小亮"/>
  </r>
  <r>
    <s v="312"/>
    <x v="2"/>
    <n v="89000"/>
    <s v="2019-11-16"/>
    <s v="西瓜"/>
    <s v="江小花"/>
  </r>
  <r>
    <s v="313"/>
    <x v="1"/>
    <n v="206000"/>
    <s v="2019-11-17"/>
    <s v="柚子"/>
    <s v="方小文"/>
  </r>
  <r>
    <s v="314"/>
    <x v="5"/>
    <n v="80000"/>
    <s v="2019-11-19"/>
    <s v="西瓜"/>
    <s v="林阿杰"/>
  </r>
  <r>
    <s v="315"/>
    <x v="5"/>
    <n v="159000"/>
    <s v="2019-11-21"/>
    <s v="鳳梨"/>
    <s v="郭小婷"/>
  </r>
  <r>
    <s v="316"/>
    <x v="4"/>
    <n v="225000"/>
    <s v="2019-11-21"/>
    <s v="鳳梨"/>
    <s v="方小文"/>
  </r>
  <r>
    <s v="317"/>
    <x v="5"/>
    <n v="145000"/>
    <s v="2019-11-22"/>
    <s v="鳳梨"/>
    <s v="方小文"/>
  </r>
  <r>
    <s v="318"/>
    <x v="6"/>
    <n v="70000"/>
    <s v="2019-11-22"/>
    <s v="香蕉"/>
    <s v="吳小亮"/>
  </r>
  <r>
    <s v="319"/>
    <x v="2"/>
    <n v="288000"/>
    <s v="2019-11-23"/>
    <s v="蘋果"/>
    <s v="葉小美"/>
  </r>
  <r>
    <s v="320"/>
    <x v="2"/>
    <n v="206000"/>
    <s v="2019-11-25"/>
    <s v="香蕉"/>
    <s v="楊小杉"/>
  </r>
  <r>
    <s v="321"/>
    <x v="0"/>
    <n v="284000"/>
    <s v="2019-11-26"/>
    <s v="芒果"/>
    <s v="江小花"/>
  </r>
  <r>
    <s v="322"/>
    <x v="0"/>
    <n v="209000"/>
    <s v="2019-11-26"/>
    <s v="西瓜"/>
    <s v="江小花"/>
  </r>
  <r>
    <s v="323"/>
    <x v="3"/>
    <n v="290000"/>
    <s v="2019-12-03"/>
    <s v="香蕉"/>
    <s v="李小怡"/>
  </r>
  <r>
    <s v="324"/>
    <x v="1"/>
    <n v="263000"/>
    <s v="2019-12-04"/>
    <s v="柚子"/>
    <s v="楊小杉"/>
  </r>
  <r>
    <s v="325"/>
    <x v="1"/>
    <n v="236000"/>
    <s v="2019-12-06"/>
    <s v="蘋果"/>
    <s v="林阿杰"/>
  </r>
  <r>
    <s v="326"/>
    <x v="0"/>
    <n v="114000"/>
    <s v="2019-12-10"/>
    <s v="西瓜"/>
    <s v="林阿杰"/>
  </r>
  <r>
    <s v="327"/>
    <x v="0"/>
    <n v="178000"/>
    <s v="2019-12-12"/>
    <s v="香蕉"/>
    <s v="林阿杰"/>
  </r>
  <r>
    <s v="328"/>
    <x v="2"/>
    <n v="105000"/>
    <s v="2019-12-12"/>
    <s v="芒果"/>
    <s v="林阿杰"/>
  </r>
  <r>
    <s v="329"/>
    <x v="3"/>
    <n v="221000"/>
    <s v="2019-12-15"/>
    <s v="芒果"/>
    <s v="林小玉"/>
  </r>
  <r>
    <s v="330"/>
    <x v="1"/>
    <n v="53000"/>
    <s v="2019-12-16"/>
    <s v="芒果"/>
    <s v="林小玉"/>
  </r>
  <r>
    <s v="331"/>
    <x v="3"/>
    <n v="202000"/>
    <s v="2019-12-18"/>
    <s v="鳳梨"/>
    <s v="郭小婷"/>
  </r>
  <r>
    <s v="332"/>
    <x v="0"/>
    <n v="270000"/>
    <s v="2019-12-18"/>
    <s v="鳳梨"/>
    <s v="林阿杰"/>
  </r>
  <r>
    <s v="333"/>
    <x v="0"/>
    <n v="140000"/>
    <s v="2019-12-18"/>
    <s v="蘋果"/>
    <s v="楊小杉"/>
  </r>
  <r>
    <s v="334"/>
    <x v="0"/>
    <n v="85000"/>
    <s v="2019-12-19"/>
    <s v="西瓜"/>
    <s v="林阿杰"/>
  </r>
  <r>
    <s v="335"/>
    <x v="0"/>
    <n v="88000"/>
    <s v="2019-12-19"/>
    <s v="蘋果"/>
    <s v="林小玉"/>
  </r>
  <r>
    <s v="336"/>
    <x v="4"/>
    <n v="103000"/>
    <s v="2019-12-20"/>
    <s v="西瓜"/>
    <s v="方小文"/>
  </r>
  <r>
    <s v="337"/>
    <x v="2"/>
    <n v="227000"/>
    <s v="2019-12-24"/>
    <s v="西瓜"/>
    <s v="江小花"/>
  </r>
  <r>
    <s v="338"/>
    <x v="4"/>
    <n v="280000"/>
    <s v="2019-12-24"/>
    <s v="芒果"/>
    <s v="楊小杉"/>
  </r>
  <r>
    <s v="339"/>
    <x v="0"/>
    <n v="112000"/>
    <s v="2019-12-26"/>
    <s v="西瓜"/>
    <s v="楊小杉"/>
  </r>
  <r>
    <s v="340"/>
    <x v="6"/>
    <n v="159000"/>
    <s v="2019-12-26"/>
    <s v="蘋果"/>
    <s v="方小文"/>
  </r>
  <r>
    <s v="341"/>
    <x v="2"/>
    <n v="272000"/>
    <s v="2019-12-29"/>
    <s v="香蕉"/>
    <s v="江小花"/>
  </r>
  <r>
    <s v="342"/>
    <x v="3"/>
    <n v="284000"/>
    <s v="2019-12-30"/>
    <s v="柚子"/>
    <s v="林阿杰"/>
  </r>
  <r>
    <s v="343"/>
    <x v="5"/>
    <n v="120000"/>
    <s v="2019-12-30"/>
    <s v="柚子"/>
    <s v="葉小美"/>
  </r>
  <r>
    <s v="344"/>
    <x v="2"/>
    <n v="81000"/>
    <s v="2019-12-31"/>
    <s v="香蕉"/>
    <s v="楊小杉"/>
  </r>
  <r>
    <s v="345"/>
    <x v="5"/>
    <n v="272000"/>
    <s v="2019-12-31"/>
    <s v="蘋果"/>
    <s v="林阿杰"/>
  </r>
  <r>
    <s v="346"/>
    <x v="5"/>
    <n v="294000"/>
    <s v="2020-01-02"/>
    <s v="西瓜"/>
    <s v="吳小亮"/>
  </r>
  <r>
    <s v="347"/>
    <x v="0"/>
    <n v="234000"/>
    <s v="2020-01-02"/>
    <s v="香蕉"/>
    <s v="林小玉"/>
  </r>
  <r>
    <s v="348"/>
    <x v="3"/>
    <n v="110000"/>
    <s v="2020-01-03"/>
    <s v="西瓜"/>
    <s v="江小花"/>
  </r>
  <r>
    <s v="349"/>
    <x v="0"/>
    <n v="137000"/>
    <s v="2020-01-04"/>
    <s v="蘋果"/>
    <s v="林小玉"/>
  </r>
  <r>
    <s v="350"/>
    <x v="0"/>
    <n v="273000"/>
    <s v="2020-01-05"/>
    <s v="鳳梨"/>
    <s v="李小怡"/>
  </r>
  <r>
    <s v="351"/>
    <x v="6"/>
    <n v="157000"/>
    <s v="2020-01-06"/>
    <s v="芒果"/>
    <s v="林小玉"/>
  </r>
  <r>
    <s v="352"/>
    <x v="4"/>
    <n v="212000"/>
    <s v="2020-01-08"/>
    <s v="柚子"/>
    <s v="郭小婷"/>
  </r>
  <r>
    <s v="353"/>
    <x v="5"/>
    <n v="281000"/>
    <s v="2020-01-08"/>
    <s v="鳳梨"/>
    <s v="郭小婷"/>
  </r>
  <r>
    <s v="354"/>
    <x v="4"/>
    <n v="91000"/>
    <s v="2020-01-08"/>
    <s v="芒果"/>
    <s v="林小玉"/>
  </r>
  <r>
    <s v="355"/>
    <x v="1"/>
    <n v="85000"/>
    <s v="2020-01-09"/>
    <s v="西瓜"/>
    <s v="楊小杉"/>
  </r>
  <r>
    <s v="356"/>
    <x v="1"/>
    <n v="170000"/>
    <s v="2020-01-09"/>
    <s v="柚子"/>
    <s v="葉小美"/>
  </r>
  <r>
    <s v="357"/>
    <x v="1"/>
    <n v="213000"/>
    <s v="2020-01-10"/>
    <s v="芒果"/>
    <s v="林阿杰"/>
  </r>
  <r>
    <s v="358"/>
    <x v="1"/>
    <n v="107000"/>
    <s v="2020-01-10"/>
    <s v="西瓜"/>
    <s v="林阿杰"/>
  </r>
  <r>
    <s v="359"/>
    <x v="1"/>
    <n v="216000"/>
    <s v="2020-01-12"/>
    <s v="蘋果"/>
    <s v="林阿杰"/>
  </r>
  <r>
    <s v="360"/>
    <x v="4"/>
    <n v="117000"/>
    <s v="2020-01-13"/>
    <s v="蘋果"/>
    <s v="林小玉"/>
  </r>
  <r>
    <s v="361"/>
    <x v="2"/>
    <n v="238000"/>
    <s v="2020-01-15"/>
    <s v="西瓜"/>
    <s v="李小怡"/>
  </r>
  <r>
    <s v="362"/>
    <x v="4"/>
    <n v="274000"/>
    <s v="2020-01-15"/>
    <s v="鳳梨"/>
    <s v="林小玉"/>
  </r>
  <r>
    <s v="363"/>
    <x v="6"/>
    <n v="197000"/>
    <s v="2020-01-18"/>
    <s v="芒果"/>
    <s v="楊小杉"/>
  </r>
  <r>
    <s v="364"/>
    <x v="2"/>
    <n v="124000"/>
    <s v="2020-01-21"/>
    <s v="芒果"/>
    <s v="林阿杰"/>
  </r>
  <r>
    <s v="365"/>
    <x v="5"/>
    <n v="42000"/>
    <s v="2020-01-22"/>
    <s v="芒果"/>
    <s v="林阿杰"/>
  </r>
  <r>
    <s v="366"/>
    <x v="5"/>
    <n v="68000"/>
    <s v="2020-01-22"/>
    <s v="柚子"/>
    <s v="方小文"/>
  </r>
  <r>
    <s v="367"/>
    <x v="0"/>
    <n v="152000"/>
    <s v="2020-01-23"/>
    <s v="鳳梨"/>
    <s v="吳小亮"/>
  </r>
  <r>
    <s v="368"/>
    <x v="0"/>
    <n v="106000"/>
    <s v="2020-01-25"/>
    <s v="鳳梨"/>
    <s v="林小玉"/>
  </r>
  <r>
    <s v="369"/>
    <x v="2"/>
    <n v="241000"/>
    <s v="2020-01-27"/>
    <s v="蘋果"/>
    <s v="葉小美"/>
  </r>
  <r>
    <s v="370"/>
    <x v="1"/>
    <n v="282000"/>
    <s v="2020-01-28"/>
    <s v="鳳梨"/>
    <s v="郭小婷"/>
  </r>
  <r>
    <s v="371"/>
    <x v="0"/>
    <n v="139000"/>
    <s v="2020-01-28"/>
    <s v="鳳梨"/>
    <s v="林阿杰"/>
  </r>
  <r>
    <s v="372"/>
    <x v="1"/>
    <n v="296000"/>
    <s v="2020-01-28"/>
    <s v="蘋果"/>
    <s v="李小怡"/>
  </r>
  <r>
    <s v="373"/>
    <x v="2"/>
    <n v="166000"/>
    <s v="2020-01-30"/>
    <s v="西瓜"/>
    <s v="李小怡"/>
  </r>
  <r>
    <s v="374"/>
    <x v="0"/>
    <n v="47000"/>
    <s v="2020-02-02"/>
    <s v="香蕉"/>
    <s v="郭小婷"/>
  </r>
  <r>
    <s v="375"/>
    <x v="1"/>
    <n v="51000"/>
    <s v="2020-02-03"/>
    <s v="柚子"/>
    <s v="楊小杉"/>
  </r>
  <r>
    <s v="376"/>
    <x v="2"/>
    <n v="281000"/>
    <s v="2020-02-03"/>
    <s v="鳳梨"/>
    <s v="吳小亮"/>
  </r>
  <r>
    <s v="377"/>
    <x v="2"/>
    <n v="284000"/>
    <s v="2020-02-05"/>
    <s v="蘋果"/>
    <s v="李小怡"/>
  </r>
  <r>
    <s v="378"/>
    <x v="0"/>
    <n v="271000"/>
    <s v="2020-02-06"/>
    <s v="香蕉"/>
    <s v="江小花"/>
  </r>
  <r>
    <s v="379"/>
    <x v="2"/>
    <n v="161000"/>
    <s v="2020-02-07"/>
    <s v="鳳梨"/>
    <s v="楊小杉"/>
  </r>
  <r>
    <s v="380"/>
    <x v="0"/>
    <n v="36000"/>
    <s v="2020-02-08"/>
    <s v="芒果"/>
    <s v="方小文"/>
  </r>
  <r>
    <s v="381"/>
    <x v="5"/>
    <n v="298000"/>
    <s v="2020-02-08"/>
    <s v="鳳梨"/>
    <s v="郭小婷"/>
  </r>
  <r>
    <s v="382"/>
    <x v="5"/>
    <n v="86000"/>
    <s v="2020-02-09"/>
    <s v="蘋果"/>
    <s v="李小怡"/>
  </r>
  <r>
    <s v="383"/>
    <x v="1"/>
    <n v="71000"/>
    <s v="2020-02-09"/>
    <s v="西瓜"/>
    <s v="葉小美"/>
  </r>
  <r>
    <s v="384"/>
    <x v="4"/>
    <n v="123000"/>
    <s v="2020-02-10"/>
    <s v="芒果"/>
    <s v="林小玉"/>
  </r>
  <r>
    <s v="385"/>
    <x v="0"/>
    <n v="175000"/>
    <s v="2020-02-10"/>
    <s v="鳳梨"/>
    <s v="林阿杰"/>
  </r>
  <r>
    <s v="386"/>
    <x v="1"/>
    <n v="113000"/>
    <s v="2020-02-11"/>
    <s v="鳳梨"/>
    <s v="李小怡"/>
  </r>
  <r>
    <s v="387"/>
    <x v="3"/>
    <n v="270000"/>
    <s v="2020-02-12"/>
    <s v="蘋果"/>
    <s v="楊小杉"/>
  </r>
  <r>
    <s v="388"/>
    <x v="6"/>
    <n v="191000"/>
    <s v="2020-02-18"/>
    <s v="香蕉"/>
    <s v="葉小美"/>
  </r>
  <r>
    <s v="389"/>
    <x v="4"/>
    <n v="46000"/>
    <s v="2020-02-19"/>
    <s v="芒果"/>
    <s v="方小文"/>
  </r>
  <r>
    <s v="390"/>
    <x v="0"/>
    <n v="261000"/>
    <s v="2020-02-20"/>
    <s v="柚子"/>
    <s v="郭小婷"/>
  </r>
  <r>
    <s v="391"/>
    <x v="5"/>
    <n v="35000"/>
    <s v="2020-02-23"/>
    <s v="西瓜"/>
    <s v="江小花"/>
  </r>
  <r>
    <s v="392"/>
    <x v="3"/>
    <n v="264000"/>
    <s v="2020-02-23"/>
    <s v="蘋果"/>
    <s v="方小文"/>
  </r>
  <r>
    <s v="393"/>
    <x v="6"/>
    <n v="63000"/>
    <s v="2020-02-24"/>
    <s v="鳳梨"/>
    <s v="葉小美"/>
  </r>
  <r>
    <s v="394"/>
    <x v="1"/>
    <n v="134000"/>
    <s v="2020-02-24"/>
    <s v="柚子"/>
    <s v="吳小亮"/>
  </r>
  <r>
    <s v="395"/>
    <x v="2"/>
    <n v="253000"/>
    <s v="2020-02-26"/>
    <s v="西瓜"/>
    <s v="江小花"/>
  </r>
  <r>
    <s v="396"/>
    <x v="6"/>
    <n v="87000"/>
    <s v="2020-02-29"/>
    <s v="鳳梨"/>
    <s v="林小玉"/>
  </r>
  <r>
    <s v="397"/>
    <x v="4"/>
    <n v="253000"/>
    <s v="2020-02-29"/>
    <s v="芒果"/>
    <s v="郭小婷"/>
  </r>
  <r>
    <s v="398"/>
    <x v="0"/>
    <n v="237000"/>
    <s v="2020-03-01"/>
    <s v="西瓜"/>
    <s v="方小文"/>
  </r>
  <r>
    <s v="399"/>
    <x v="3"/>
    <n v="129000"/>
    <s v="2020-03-03"/>
    <s v="柚子"/>
    <s v="李小怡"/>
  </r>
  <r>
    <s v="400"/>
    <x v="4"/>
    <n v="168000"/>
    <s v="2020-03-04"/>
    <s v="香蕉"/>
    <s v="林阿杰"/>
  </r>
  <r>
    <s v="401"/>
    <x v="2"/>
    <n v="174000"/>
    <s v="2020-03-06"/>
    <s v="蘋果"/>
    <s v="李小怡"/>
  </r>
  <r>
    <s v="402"/>
    <x v="2"/>
    <n v="210000"/>
    <s v="2020-03-08"/>
    <s v="鳳梨"/>
    <s v="方小文"/>
  </r>
  <r>
    <s v="403"/>
    <x v="2"/>
    <n v="94000"/>
    <s v="2020-03-10"/>
    <s v="蘋果"/>
    <s v="李小怡"/>
  </r>
  <r>
    <s v="404"/>
    <x v="0"/>
    <n v="71000"/>
    <s v="2020-03-11"/>
    <s v="鳳梨"/>
    <s v="葉小美"/>
  </r>
  <r>
    <s v="405"/>
    <x v="4"/>
    <n v="255000"/>
    <s v="2020-03-11"/>
    <s v="鳳梨"/>
    <s v="楊小杉"/>
  </r>
  <r>
    <s v="406"/>
    <x v="6"/>
    <n v="80000"/>
    <s v="2020-03-12"/>
    <s v="香蕉"/>
    <s v="郭小婷"/>
  </r>
  <r>
    <s v="407"/>
    <x v="6"/>
    <n v="87000"/>
    <s v="2020-03-13"/>
    <s v="香蕉"/>
    <s v="楊小杉"/>
  </r>
  <r>
    <s v="408"/>
    <x v="3"/>
    <n v="141000"/>
    <s v="2020-03-15"/>
    <s v="芒果"/>
    <s v="李小怡"/>
  </r>
  <r>
    <s v="409"/>
    <x v="2"/>
    <n v="70000"/>
    <s v="2020-03-16"/>
    <s v="西瓜"/>
    <s v="吳小亮"/>
  </r>
  <r>
    <s v="410"/>
    <x v="2"/>
    <n v="266000"/>
    <s v="2020-03-16"/>
    <s v="鳳梨"/>
    <s v="林小玉"/>
  </r>
  <r>
    <s v="411"/>
    <x v="1"/>
    <n v="41000"/>
    <s v="2020-03-16"/>
    <s v="柚子"/>
    <s v="林小玉"/>
  </r>
  <r>
    <s v="412"/>
    <x v="6"/>
    <n v="238000"/>
    <s v="2020-03-16"/>
    <s v="鳳梨"/>
    <s v="李小怡"/>
  </r>
  <r>
    <s v="413"/>
    <x v="5"/>
    <n v="55000"/>
    <s v="2020-03-17"/>
    <s v="蘋果"/>
    <s v="江小花"/>
  </r>
  <r>
    <s v="414"/>
    <x v="6"/>
    <n v="146000"/>
    <s v="2020-03-19"/>
    <s v="蘋果"/>
    <s v="李小怡"/>
  </r>
  <r>
    <s v="415"/>
    <x v="1"/>
    <n v="95000"/>
    <s v="2020-03-21"/>
    <s v="芒果"/>
    <s v="葉小美"/>
  </r>
  <r>
    <s v="416"/>
    <x v="5"/>
    <n v="248000"/>
    <s v="2020-03-23"/>
    <s v="蘋果"/>
    <s v="林小玉"/>
  </r>
  <r>
    <s v="417"/>
    <x v="2"/>
    <n v="204000"/>
    <s v="2020-03-26"/>
    <s v="蘋果"/>
    <s v="林小玉"/>
  </r>
  <r>
    <s v="418"/>
    <x v="3"/>
    <n v="139000"/>
    <s v="2020-03-27"/>
    <s v="芒果"/>
    <s v="林阿杰"/>
  </r>
  <r>
    <s v="419"/>
    <x v="2"/>
    <n v="196000"/>
    <s v="2020-03-28"/>
    <s v="香蕉"/>
    <s v="葉小美"/>
  </r>
  <r>
    <s v="420"/>
    <x v="2"/>
    <n v="273000"/>
    <s v="2020-03-29"/>
    <s v="蘋果"/>
    <s v="吳小亮"/>
  </r>
  <r>
    <s v="421"/>
    <x v="4"/>
    <n v="107000"/>
    <s v="2020-03-30"/>
    <s v="鳳梨"/>
    <s v="葉小美"/>
  </r>
  <r>
    <s v="422"/>
    <x v="6"/>
    <n v="147000"/>
    <s v="2020-03-30"/>
    <s v="芒果"/>
    <s v="李小怡"/>
  </r>
  <r>
    <s v="423"/>
    <x v="4"/>
    <n v="261000"/>
    <s v="2020-03-30"/>
    <s v="鳳梨"/>
    <s v="方小文"/>
  </r>
  <r>
    <s v="424"/>
    <x v="3"/>
    <n v="83000"/>
    <s v="2020-03-30"/>
    <s v="蘋果"/>
    <s v="楊小杉"/>
  </r>
  <r>
    <s v="425"/>
    <x v="6"/>
    <n v="165000"/>
    <s v="2020-03-31"/>
    <s v="鳳梨"/>
    <s v="林小玉"/>
  </r>
  <r>
    <s v="426"/>
    <x v="3"/>
    <n v="214000"/>
    <s v="2020-03-31"/>
    <s v="柚子"/>
    <s v="楊小杉"/>
  </r>
  <r>
    <s v="427"/>
    <x v="2"/>
    <n v="241000"/>
    <s v="2020-03-31"/>
    <s v="鳳梨"/>
    <s v="吳小亮"/>
  </r>
  <r>
    <s v="428"/>
    <x v="5"/>
    <n v="265000"/>
    <s v="2020-04-01"/>
    <s v="柚子"/>
    <s v="郭小婷"/>
  </r>
  <r>
    <s v="429"/>
    <x v="5"/>
    <n v="184000"/>
    <s v="2020-04-02"/>
    <s v="西瓜"/>
    <s v="李小怡"/>
  </r>
  <r>
    <s v="430"/>
    <x v="0"/>
    <n v="179000"/>
    <s v="2020-04-03"/>
    <s v="柚子"/>
    <s v="方小文"/>
  </r>
  <r>
    <s v="431"/>
    <x v="3"/>
    <n v="159000"/>
    <s v="2020-04-04"/>
    <s v="柚子"/>
    <s v="李小怡"/>
  </r>
  <r>
    <s v="432"/>
    <x v="4"/>
    <n v="170000"/>
    <s v="2020-04-07"/>
    <s v="西瓜"/>
    <s v="林阿杰"/>
  </r>
  <r>
    <s v="433"/>
    <x v="3"/>
    <n v="182000"/>
    <s v="2020-04-09"/>
    <s v="蘋果"/>
    <s v="方小文"/>
  </r>
  <r>
    <s v="434"/>
    <x v="5"/>
    <n v="58000"/>
    <s v="2020-04-10"/>
    <s v="鳳梨"/>
    <s v="楊小杉"/>
  </r>
  <r>
    <s v="435"/>
    <x v="3"/>
    <n v="46000"/>
    <s v="2020-04-10"/>
    <s v="蘋果"/>
    <s v="林阿杰"/>
  </r>
  <r>
    <s v="436"/>
    <x v="5"/>
    <n v="93000"/>
    <s v="2020-04-10"/>
    <s v="柚子"/>
    <s v="江小花"/>
  </r>
  <r>
    <s v="437"/>
    <x v="3"/>
    <n v="108000"/>
    <s v="2020-04-12"/>
    <s v="鳳梨"/>
    <s v="郭小婷"/>
  </r>
  <r>
    <s v="438"/>
    <x v="5"/>
    <n v="202000"/>
    <s v="2020-04-13"/>
    <s v="西瓜"/>
    <s v="林小玉"/>
  </r>
  <r>
    <s v="439"/>
    <x v="4"/>
    <n v="154000"/>
    <s v="2020-04-15"/>
    <s v="香蕉"/>
    <s v="方小文"/>
  </r>
  <r>
    <s v="440"/>
    <x v="3"/>
    <n v="118000"/>
    <s v="2020-04-15"/>
    <s v="芒果"/>
    <s v="郭小婷"/>
  </r>
  <r>
    <s v="441"/>
    <x v="1"/>
    <n v="268000"/>
    <s v="2020-04-17"/>
    <s v="芒果"/>
    <s v="郭小婷"/>
  </r>
  <r>
    <s v="442"/>
    <x v="4"/>
    <n v="82000"/>
    <s v="2020-04-17"/>
    <s v="芒果"/>
    <s v="李小怡"/>
  </r>
  <r>
    <s v="443"/>
    <x v="2"/>
    <n v="200000"/>
    <s v="2020-04-18"/>
    <s v="香蕉"/>
    <s v="吳小亮"/>
  </r>
  <r>
    <s v="444"/>
    <x v="3"/>
    <n v="94000"/>
    <s v="2020-04-19"/>
    <s v="香蕉"/>
    <s v="林小玉"/>
  </r>
  <r>
    <s v="445"/>
    <x v="1"/>
    <n v="215000"/>
    <s v="2020-04-21"/>
    <s v="芒果"/>
    <s v="葉小美"/>
  </r>
  <r>
    <s v="446"/>
    <x v="3"/>
    <n v="69000"/>
    <s v="2020-04-22"/>
    <s v="芒果"/>
    <s v="方小文"/>
  </r>
  <r>
    <s v="447"/>
    <x v="1"/>
    <n v="38000"/>
    <s v="2020-04-25"/>
    <s v="香蕉"/>
    <s v="林小玉"/>
  </r>
  <r>
    <s v="448"/>
    <x v="4"/>
    <n v="272000"/>
    <s v="2020-04-30"/>
    <s v="香蕉"/>
    <s v="林阿杰"/>
  </r>
  <r>
    <s v="449"/>
    <x v="3"/>
    <n v="90000"/>
    <s v="2020-05-01"/>
    <s v="香蕉"/>
    <s v="林阿杰"/>
  </r>
  <r>
    <s v="450"/>
    <x v="3"/>
    <n v="215000"/>
    <s v="2020-05-02"/>
    <s v="西瓜"/>
    <s v="葉小美"/>
  </r>
  <r>
    <s v="451"/>
    <x v="0"/>
    <n v="171000"/>
    <s v="2020-05-02"/>
    <s v="蘋果"/>
    <s v="楊小杉"/>
  </r>
  <r>
    <s v="452"/>
    <x v="1"/>
    <n v="150000"/>
    <s v="2020-05-03"/>
    <s v="西瓜"/>
    <s v="吳小亮"/>
  </r>
  <r>
    <s v="453"/>
    <x v="3"/>
    <n v="156000"/>
    <s v="2020-05-05"/>
    <s v="香蕉"/>
    <s v="李小怡"/>
  </r>
  <r>
    <s v="454"/>
    <x v="5"/>
    <n v="114000"/>
    <s v="2020-05-05"/>
    <s v="香蕉"/>
    <s v="江小花"/>
  </r>
  <r>
    <s v="455"/>
    <x v="4"/>
    <n v="53000"/>
    <s v="2020-05-06"/>
    <s v="蘋果"/>
    <s v="林阿杰"/>
  </r>
  <r>
    <s v="456"/>
    <x v="1"/>
    <n v="99000"/>
    <s v="2020-05-07"/>
    <s v="西瓜"/>
    <s v="方小文"/>
  </r>
  <r>
    <s v="457"/>
    <x v="5"/>
    <n v="75000"/>
    <s v="2020-05-08"/>
    <s v="芒果"/>
    <s v="林小玉"/>
  </r>
  <r>
    <s v="458"/>
    <x v="3"/>
    <n v="182000"/>
    <s v="2020-05-10"/>
    <s v="鳳梨"/>
    <s v="江小花"/>
  </r>
  <r>
    <s v="459"/>
    <x v="5"/>
    <n v="299000"/>
    <s v="2020-05-11"/>
    <s v="芒果"/>
    <s v="李小怡"/>
  </r>
  <r>
    <s v="460"/>
    <x v="6"/>
    <n v="217000"/>
    <s v="2020-05-13"/>
    <s v="蘋果"/>
    <s v="楊小杉"/>
  </r>
  <r>
    <s v="461"/>
    <x v="5"/>
    <n v="158000"/>
    <s v="2020-05-13"/>
    <s v="香蕉"/>
    <s v="楊小杉"/>
  </r>
  <r>
    <s v="462"/>
    <x v="1"/>
    <n v="235000"/>
    <s v="2020-05-14"/>
    <s v="鳳梨"/>
    <s v="李小怡"/>
  </r>
  <r>
    <s v="463"/>
    <x v="3"/>
    <n v="267000"/>
    <s v="2020-05-16"/>
    <s v="蘋果"/>
    <s v="葉小美"/>
  </r>
  <r>
    <s v="464"/>
    <x v="5"/>
    <n v="290000"/>
    <s v="2020-05-17"/>
    <s v="西瓜"/>
    <s v="葉小美"/>
  </r>
  <r>
    <s v="465"/>
    <x v="5"/>
    <n v="245000"/>
    <s v="2020-05-17"/>
    <s v="蘋果"/>
    <s v="江小花"/>
  </r>
  <r>
    <s v="466"/>
    <x v="6"/>
    <n v="232000"/>
    <s v="2020-05-17"/>
    <s v="芒果"/>
    <s v="葉小美"/>
  </r>
  <r>
    <s v="467"/>
    <x v="4"/>
    <n v="252000"/>
    <s v="2020-05-18"/>
    <s v="芒果"/>
    <s v="方小文"/>
  </r>
  <r>
    <s v="468"/>
    <x v="4"/>
    <n v="280000"/>
    <s v="2020-05-19"/>
    <s v="西瓜"/>
    <s v="吳小亮"/>
  </r>
  <r>
    <s v="469"/>
    <x v="1"/>
    <n v="217000"/>
    <s v="2020-05-21"/>
    <s v="鳳梨"/>
    <s v="吳小亮"/>
  </r>
  <r>
    <s v="470"/>
    <x v="0"/>
    <n v="198000"/>
    <s v="2020-05-22"/>
    <s v="香蕉"/>
    <s v="方小文"/>
  </r>
  <r>
    <s v="471"/>
    <x v="6"/>
    <n v="278000"/>
    <s v="2020-05-22"/>
    <s v="西瓜"/>
    <s v="楊小杉"/>
  </r>
  <r>
    <s v="472"/>
    <x v="4"/>
    <n v="100000"/>
    <s v="2020-05-23"/>
    <s v="香蕉"/>
    <s v="葉小美"/>
  </r>
  <r>
    <s v="473"/>
    <x v="0"/>
    <n v="34000"/>
    <s v="2020-05-23"/>
    <s v="柚子"/>
    <s v="江小花"/>
  </r>
  <r>
    <s v="474"/>
    <x v="5"/>
    <n v="85000"/>
    <s v="2020-05-24"/>
    <s v="芒果"/>
    <s v="吳小亮"/>
  </r>
  <r>
    <s v="475"/>
    <x v="3"/>
    <n v="247000"/>
    <s v="2020-05-24"/>
    <s v="柚子"/>
    <s v="林小玉"/>
  </r>
  <r>
    <s v="476"/>
    <x v="0"/>
    <n v="233000"/>
    <s v="2020-05-24"/>
    <s v="鳳梨"/>
    <s v="郭小婷"/>
  </r>
  <r>
    <s v="477"/>
    <x v="0"/>
    <n v="122000"/>
    <s v="2020-05-25"/>
    <s v="香蕉"/>
    <s v="楊小杉"/>
  </r>
  <r>
    <s v="478"/>
    <x v="0"/>
    <n v="88000"/>
    <s v="2020-05-26"/>
    <s v="芒果"/>
    <s v="林阿杰"/>
  </r>
  <r>
    <s v="479"/>
    <x v="0"/>
    <n v="137000"/>
    <s v="2020-05-28"/>
    <s v="柚子"/>
    <s v="江小花"/>
  </r>
  <r>
    <s v="480"/>
    <x v="3"/>
    <n v="109000"/>
    <s v="2020-05-29"/>
    <s v="鳳梨"/>
    <s v="方小文"/>
  </r>
  <r>
    <s v="481"/>
    <x v="5"/>
    <n v="241000"/>
    <s v="2020-05-29"/>
    <s v="芒果"/>
    <s v="李小怡"/>
  </r>
  <r>
    <s v="482"/>
    <x v="1"/>
    <n v="286000"/>
    <s v="2020-05-30"/>
    <s v="柚子"/>
    <s v="林阿杰"/>
  </r>
  <r>
    <s v="483"/>
    <x v="6"/>
    <n v="276000"/>
    <s v="2020-05-30"/>
    <s v="蘋果"/>
    <s v="江小花"/>
  </r>
  <r>
    <s v="484"/>
    <x v="2"/>
    <n v="267000"/>
    <s v="2020-05-31"/>
    <s v="香蕉"/>
    <s v="林小玉"/>
  </r>
  <r>
    <s v="485"/>
    <x v="5"/>
    <n v="144000"/>
    <s v="2020-06-01"/>
    <s v="蘋果"/>
    <s v="方小文"/>
  </r>
  <r>
    <s v="486"/>
    <x v="2"/>
    <n v="145000"/>
    <s v="2020-06-02"/>
    <s v="芒果"/>
    <s v="林小玉"/>
  </r>
  <r>
    <s v="487"/>
    <x v="5"/>
    <n v="148000"/>
    <s v="2020-06-04"/>
    <s v="香蕉"/>
    <s v="林阿杰"/>
  </r>
  <r>
    <s v="488"/>
    <x v="2"/>
    <n v="78000"/>
    <s v="2020-06-06"/>
    <s v="西瓜"/>
    <s v="李小怡"/>
  </r>
  <r>
    <s v="489"/>
    <x v="6"/>
    <n v="135000"/>
    <s v="2020-06-07"/>
    <s v="西瓜"/>
    <s v="林阿杰"/>
  </r>
  <r>
    <s v="490"/>
    <x v="6"/>
    <n v="253000"/>
    <s v="2020-06-08"/>
    <s v="香蕉"/>
    <s v="江小花"/>
  </r>
  <r>
    <s v="491"/>
    <x v="6"/>
    <n v="78000"/>
    <s v="2020-06-09"/>
    <s v="香蕉"/>
    <s v="吳小亮"/>
  </r>
  <r>
    <s v="492"/>
    <x v="5"/>
    <n v="33000"/>
    <s v="2020-06-10"/>
    <s v="西瓜"/>
    <s v="江小花"/>
  </r>
  <r>
    <s v="493"/>
    <x v="4"/>
    <n v="208000"/>
    <s v="2020-06-13"/>
    <s v="香蕉"/>
    <s v="楊小杉"/>
  </r>
  <r>
    <s v="494"/>
    <x v="6"/>
    <n v="152000"/>
    <s v="2020-06-13"/>
    <s v="柚子"/>
    <s v="葉小美"/>
  </r>
  <r>
    <s v="495"/>
    <x v="0"/>
    <n v="235000"/>
    <s v="2020-06-17"/>
    <s v="香蕉"/>
    <s v="郭小婷"/>
  </r>
  <r>
    <s v="496"/>
    <x v="2"/>
    <n v="42000"/>
    <s v="2020-06-18"/>
    <s v="西瓜"/>
    <s v="郭小婷"/>
  </r>
  <r>
    <s v="497"/>
    <x v="2"/>
    <n v="31000"/>
    <s v="2020-06-19"/>
    <s v="西瓜"/>
    <s v="吳小亮"/>
  </r>
  <r>
    <s v="498"/>
    <x v="1"/>
    <n v="240000"/>
    <s v="2020-06-20"/>
    <s v="鳳梨"/>
    <s v="江小花"/>
  </r>
  <r>
    <s v="499"/>
    <x v="0"/>
    <n v="295000"/>
    <s v="2020-06-23"/>
    <s v="鳳梨"/>
    <s v="江小花"/>
  </r>
  <r>
    <s v="500"/>
    <x v="5"/>
    <n v="31000"/>
    <s v="2020-06-23"/>
    <s v="蘋果"/>
    <s v="郭小婷"/>
  </r>
  <r>
    <s v="501"/>
    <x v="6"/>
    <n v="278000"/>
    <s v="2020-06-24"/>
    <s v="蘋果"/>
    <s v="方小文"/>
  </r>
  <r>
    <s v="502"/>
    <x v="2"/>
    <n v="218000"/>
    <s v="2020-06-24"/>
    <s v="西瓜"/>
    <s v="楊小杉"/>
  </r>
  <r>
    <s v="503"/>
    <x v="0"/>
    <n v="297000"/>
    <s v="2020-06-24"/>
    <s v="鳳梨"/>
    <s v="郭小婷"/>
  </r>
  <r>
    <s v="504"/>
    <x v="1"/>
    <n v="241000"/>
    <s v="2020-06-24"/>
    <s v="蘋果"/>
    <s v="吳小亮"/>
  </r>
  <r>
    <s v="505"/>
    <x v="1"/>
    <n v="108000"/>
    <s v="2020-06-27"/>
    <s v="香蕉"/>
    <s v="郭小婷"/>
  </r>
  <r>
    <s v="506"/>
    <x v="6"/>
    <n v="108000"/>
    <s v="2020-06-28"/>
    <s v="蘋果"/>
    <s v="郭小婷"/>
  </r>
  <r>
    <s v="507"/>
    <x v="0"/>
    <n v="170000"/>
    <s v="2020-06-30"/>
    <s v="芒果"/>
    <s v="吳小亮"/>
  </r>
  <r>
    <s v="508"/>
    <x v="4"/>
    <n v="211000"/>
    <s v="2020-07-02"/>
    <s v="香蕉"/>
    <s v="李小怡"/>
  </r>
  <r>
    <s v="509"/>
    <x v="0"/>
    <n v="110000"/>
    <s v="2020-07-04"/>
    <s v="鳳梨"/>
    <s v="楊小杉"/>
  </r>
  <r>
    <s v="510"/>
    <x v="5"/>
    <n v="254000"/>
    <s v="2020-07-05"/>
    <s v="西瓜"/>
    <s v="楊小杉"/>
  </r>
  <r>
    <s v="511"/>
    <x v="1"/>
    <n v="64000"/>
    <s v="2020-07-05"/>
    <s v="西瓜"/>
    <s v="方小文"/>
  </r>
  <r>
    <s v="512"/>
    <x v="3"/>
    <n v="133000"/>
    <s v="2020-07-05"/>
    <s v="芒果"/>
    <s v="郭小婷"/>
  </r>
  <r>
    <s v="513"/>
    <x v="2"/>
    <n v="194000"/>
    <s v="2020-07-06"/>
    <s v="西瓜"/>
    <s v="楊小杉"/>
  </r>
  <r>
    <s v="514"/>
    <x v="0"/>
    <n v="108000"/>
    <s v="2020-07-07"/>
    <s v="蘋果"/>
    <s v="郭小婷"/>
  </r>
  <r>
    <s v="515"/>
    <x v="1"/>
    <n v="135000"/>
    <s v="2020-07-08"/>
    <s v="西瓜"/>
    <s v="葉小美"/>
  </r>
  <r>
    <s v="516"/>
    <x v="2"/>
    <n v="129000"/>
    <s v="2020-07-09"/>
    <s v="鳳梨"/>
    <s v="江小花"/>
  </r>
  <r>
    <s v="517"/>
    <x v="2"/>
    <n v="142000"/>
    <s v="2020-07-10"/>
    <s v="蘋果"/>
    <s v="郭小婷"/>
  </r>
  <r>
    <s v="518"/>
    <x v="0"/>
    <n v="253000"/>
    <s v="2020-07-12"/>
    <s v="鳳梨"/>
    <s v="林阿杰"/>
  </r>
  <r>
    <s v="519"/>
    <x v="0"/>
    <n v="187000"/>
    <s v="2020-07-13"/>
    <s v="西瓜"/>
    <s v="李小怡"/>
  </r>
  <r>
    <s v="520"/>
    <x v="6"/>
    <n v="243000"/>
    <s v="2020-07-14"/>
    <s v="西瓜"/>
    <s v="吳小亮"/>
  </r>
  <r>
    <s v="521"/>
    <x v="0"/>
    <n v="268000"/>
    <s v="2020-07-14"/>
    <s v="鳳梨"/>
    <s v="葉小美"/>
  </r>
  <r>
    <s v="522"/>
    <x v="3"/>
    <n v="68000"/>
    <s v="2020-07-16"/>
    <s v="西瓜"/>
    <s v="江小花"/>
  </r>
  <r>
    <s v="523"/>
    <x v="1"/>
    <n v="278000"/>
    <s v="2020-07-18"/>
    <s v="蘋果"/>
    <s v="林小玉"/>
  </r>
  <r>
    <s v="524"/>
    <x v="1"/>
    <n v="198000"/>
    <s v="2020-07-18"/>
    <s v="柚子"/>
    <s v="郭小婷"/>
  </r>
  <r>
    <s v="525"/>
    <x v="3"/>
    <n v="83000"/>
    <s v="2020-07-19"/>
    <s v="芒果"/>
    <s v="江小花"/>
  </r>
  <r>
    <s v="526"/>
    <x v="6"/>
    <n v="92000"/>
    <s v="2020-07-20"/>
    <s v="鳳梨"/>
    <s v="楊小杉"/>
  </r>
  <r>
    <s v="527"/>
    <x v="5"/>
    <n v="145000"/>
    <s v="2020-07-20"/>
    <s v="蘋果"/>
    <s v="郭小婷"/>
  </r>
  <r>
    <s v="528"/>
    <x v="1"/>
    <n v="218000"/>
    <s v="2020-07-21"/>
    <s v="香蕉"/>
    <s v="李小怡"/>
  </r>
  <r>
    <s v="529"/>
    <x v="3"/>
    <n v="224000"/>
    <s v="2020-07-21"/>
    <s v="西瓜"/>
    <s v="林阿杰"/>
  </r>
  <r>
    <s v="530"/>
    <x v="2"/>
    <n v="179000"/>
    <s v="2020-07-22"/>
    <s v="西瓜"/>
    <s v="楊小杉"/>
  </r>
  <r>
    <s v="531"/>
    <x v="4"/>
    <n v="278000"/>
    <s v="2020-07-22"/>
    <s v="柚子"/>
    <s v="楊小杉"/>
  </r>
  <r>
    <s v="532"/>
    <x v="2"/>
    <n v="224000"/>
    <s v="2020-07-23"/>
    <s v="西瓜"/>
    <s v="李小怡"/>
  </r>
  <r>
    <s v="533"/>
    <x v="6"/>
    <n v="213000"/>
    <s v="2020-07-23"/>
    <s v="芒果"/>
    <s v="林阿杰"/>
  </r>
  <r>
    <s v="534"/>
    <x v="4"/>
    <n v="80000"/>
    <s v="2020-07-23"/>
    <s v="芒果"/>
    <s v="郭小婷"/>
  </r>
  <r>
    <s v="535"/>
    <x v="6"/>
    <n v="31000"/>
    <s v="2020-07-24"/>
    <s v="芒果"/>
    <s v="楊小杉"/>
  </r>
  <r>
    <s v="536"/>
    <x v="3"/>
    <n v="212000"/>
    <s v="2020-07-24"/>
    <s v="西瓜"/>
    <s v="郭小婷"/>
  </r>
  <r>
    <s v="537"/>
    <x v="5"/>
    <n v="109000"/>
    <s v="2020-07-25"/>
    <s v="香蕉"/>
    <s v="江小花"/>
  </r>
  <r>
    <s v="538"/>
    <x v="4"/>
    <n v="233000"/>
    <s v="2020-07-28"/>
    <s v="西瓜"/>
    <s v="吳小亮"/>
  </r>
  <r>
    <s v="539"/>
    <x v="6"/>
    <n v="77000"/>
    <s v="2020-07-28"/>
    <s v="蘋果"/>
    <s v="郭小婷"/>
  </r>
  <r>
    <s v="540"/>
    <x v="0"/>
    <n v="267000"/>
    <s v="2020-07-28"/>
    <s v="柚子"/>
    <s v="葉小美"/>
  </r>
  <r>
    <s v="541"/>
    <x v="2"/>
    <n v="183000"/>
    <s v="2020-07-30"/>
    <s v="西瓜"/>
    <s v="江小花"/>
  </r>
  <r>
    <s v="542"/>
    <x v="1"/>
    <n v="184000"/>
    <s v="2020-07-31"/>
    <s v="香蕉"/>
    <s v="楊小杉"/>
  </r>
  <r>
    <s v="543"/>
    <x v="0"/>
    <n v="33000"/>
    <s v="2020-08-02"/>
    <s v="鳳梨"/>
    <s v="楊小杉"/>
  </r>
  <r>
    <s v="544"/>
    <x v="1"/>
    <n v="198000"/>
    <s v="2020-08-02"/>
    <s v="香蕉"/>
    <s v="李小怡"/>
  </r>
  <r>
    <s v="545"/>
    <x v="3"/>
    <n v="132000"/>
    <s v="2020-08-03"/>
    <s v="芒果"/>
    <s v="郭小婷"/>
  </r>
  <r>
    <s v="546"/>
    <x v="3"/>
    <n v="40000"/>
    <s v="2020-08-04"/>
    <s v="香蕉"/>
    <s v="林阿杰"/>
  </r>
  <r>
    <s v="547"/>
    <x v="2"/>
    <n v="40000"/>
    <s v="2020-08-04"/>
    <s v="芒果"/>
    <s v="楊小杉"/>
  </r>
  <r>
    <s v="548"/>
    <x v="3"/>
    <n v="160000"/>
    <s v="2020-08-04"/>
    <s v="香蕉"/>
    <s v="葉小美"/>
  </r>
  <r>
    <s v="549"/>
    <x v="0"/>
    <n v="290000"/>
    <s v="2020-08-05"/>
    <s v="芒果"/>
    <s v="葉小美"/>
  </r>
  <r>
    <s v="550"/>
    <x v="5"/>
    <n v="99000"/>
    <s v="2020-08-05"/>
    <s v="香蕉"/>
    <s v="林小玉"/>
  </r>
  <r>
    <s v="551"/>
    <x v="5"/>
    <n v="161000"/>
    <s v="2020-08-08"/>
    <s v="柚子"/>
    <s v="郭小婷"/>
  </r>
  <r>
    <s v="552"/>
    <x v="5"/>
    <n v="281000"/>
    <s v="2020-08-09"/>
    <s v="西瓜"/>
    <s v="江小花"/>
  </r>
  <r>
    <s v="553"/>
    <x v="3"/>
    <n v="253000"/>
    <s v="2020-08-15"/>
    <s v="蘋果"/>
    <s v="吳小亮"/>
  </r>
  <r>
    <s v="554"/>
    <x v="5"/>
    <n v="225000"/>
    <s v="2020-08-15"/>
    <s v="柚子"/>
    <s v="楊小杉"/>
  </r>
  <r>
    <s v="555"/>
    <x v="2"/>
    <n v="86000"/>
    <s v="2020-08-16"/>
    <s v="柚子"/>
    <s v="郭小婷"/>
  </r>
  <r>
    <s v="556"/>
    <x v="0"/>
    <n v="214000"/>
    <s v="2020-08-17"/>
    <s v="蘋果"/>
    <s v="李小怡"/>
  </r>
  <r>
    <s v="557"/>
    <x v="1"/>
    <n v="139000"/>
    <s v="2020-08-17"/>
    <s v="香蕉"/>
    <s v="郭小婷"/>
  </r>
  <r>
    <s v="558"/>
    <x v="0"/>
    <n v="176000"/>
    <s v="2020-08-17"/>
    <s v="柚子"/>
    <s v="郭小婷"/>
  </r>
  <r>
    <s v="559"/>
    <x v="4"/>
    <n v="263000"/>
    <s v="2020-08-19"/>
    <s v="蘋果"/>
    <s v="林小玉"/>
  </r>
  <r>
    <s v="560"/>
    <x v="2"/>
    <n v="252000"/>
    <s v="2020-08-19"/>
    <s v="香蕉"/>
    <s v="江小花"/>
  </r>
  <r>
    <s v="561"/>
    <x v="4"/>
    <n v="188000"/>
    <s v="2020-08-20"/>
    <s v="香蕉"/>
    <s v="葉小美"/>
  </r>
  <r>
    <s v="562"/>
    <x v="6"/>
    <n v="51000"/>
    <s v="2020-08-21"/>
    <s v="芒果"/>
    <s v="江小花"/>
  </r>
  <r>
    <s v="563"/>
    <x v="3"/>
    <n v="204000"/>
    <s v="2020-08-21"/>
    <s v="柚子"/>
    <s v="楊小杉"/>
  </r>
  <r>
    <s v="564"/>
    <x v="3"/>
    <n v="245000"/>
    <s v="2020-08-21"/>
    <s v="柚子"/>
    <s v="葉小美"/>
  </r>
  <r>
    <s v="565"/>
    <x v="3"/>
    <n v="31000"/>
    <s v="2020-08-22"/>
    <s v="柚子"/>
    <s v="林阿杰"/>
  </r>
  <r>
    <s v="566"/>
    <x v="0"/>
    <n v="121000"/>
    <s v="2020-08-22"/>
    <s v="蘋果"/>
    <s v="林小玉"/>
  </r>
  <r>
    <s v="567"/>
    <x v="1"/>
    <n v="57000"/>
    <s v="2020-08-23"/>
    <s v="西瓜"/>
    <s v="李小怡"/>
  </r>
  <r>
    <s v="568"/>
    <x v="2"/>
    <n v="194000"/>
    <s v="2020-08-23"/>
    <s v="柚子"/>
    <s v="江小花"/>
  </r>
  <r>
    <s v="569"/>
    <x v="3"/>
    <n v="135000"/>
    <s v="2020-08-25"/>
    <s v="鳳梨"/>
    <s v="葉小美"/>
  </r>
  <r>
    <s v="570"/>
    <x v="0"/>
    <n v="102000"/>
    <s v="2020-08-26"/>
    <s v="鳳梨"/>
    <s v="楊小杉"/>
  </r>
  <r>
    <s v="571"/>
    <x v="2"/>
    <n v="150000"/>
    <s v="2020-08-27"/>
    <s v="鳳梨"/>
    <s v="吳小亮"/>
  </r>
  <r>
    <s v="572"/>
    <x v="6"/>
    <n v="107000"/>
    <s v="2020-08-28"/>
    <s v="芒果"/>
    <s v="李小怡"/>
  </r>
  <r>
    <s v="573"/>
    <x v="6"/>
    <n v="109000"/>
    <s v="2020-08-30"/>
    <s v="香蕉"/>
    <s v="林小玉"/>
  </r>
  <r>
    <s v="574"/>
    <x v="6"/>
    <n v="55000"/>
    <s v="2020-08-31"/>
    <s v="柚子"/>
    <s v="江小花"/>
  </r>
  <r>
    <s v="575"/>
    <x v="5"/>
    <n v="247000"/>
    <s v="2020-09-01"/>
    <s v="蘋果"/>
    <s v="林小玉"/>
  </r>
  <r>
    <s v="576"/>
    <x v="1"/>
    <n v="85000"/>
    <s v="2020-09-05"/>
    <s v="西瓜"/>
    <s v="李小怡"/>
  </r>
  <r>
    <s v="577"/>
    <x v="6"/>
    <n v="191000"/>
    <s v="2020-09-06"/>
    <s v="柚子"/>
    <s v="林阿杰"/>
  </r>
  <r>
    <s v="578"/>
    <x v="5"/>
    <n v="137000"/>
    <s v="2020-09-10"/>
    <s v="香蕉"/>
    <s v="郭小婷"/>
  </r>
  <r>
    <s v="579"/>
    <x v="6"/>
    <n v="245000"/>
    <s v="2020-09-10"/>
    <s v="香蕉"/>
    <s v="江小花"/>
  </r>
  <r>
    <s v="580"/>
    <x v="5"/>
    <n v="299000"/>
    <s v="2020-09-11"/>
    <s v="西瓜"/>
    <s v="江小花"/>
  </r>
  <r>
    <s v="581"/>
    <x v="5"/>
    <n v="134000"/>
    <s v="2020-09-11"/>
    <s v="柚子"/>
    <s v="江小花"/>
  </r>
  <r>
    <s v="582"/>
    <x v="0"/>
    <n v="170000"/>
    <s v="2020-09-13"/>
    <s v="西瓜"/>
    <s v="吳小亮"/>
  </r>
  <r>
    <s v="583"/>
    <x v="2"/>
    <n v="224000"/>
    <s v="2020-09-13"/>
    <s v="芒果"/>
    <s v="李小怡"/>
  </r>
  <r>
    <s v="584"/>
    <x v="4"/>
    <n v="162000"/>
    <s v="2020-09-14"/>
    <s v="芒果"/>
    <s v="葉小美"/>
  </r>
  <r>
    <s v="585"/>
    <x v="4"/>
    <n v="163000"/>
    <s v="2020-09-16"/>
    <s v="蘋果"/>
    <s v="吳小亮"/>
  </r>
  <r>
    <s v="586"/>
    <x v="0"/>
    <n v="119000"/>
    <s v="2020-09-16"/>
    <s v="柚子"/>
    <s v="郭小婷"/>
  </r>
  <r>
    <s v="587"/>
    <x v="1"/>
    <n v="99000"/>
    <s v="2020-09-17"/>
    <s v="鳳梨"/>
    <s v="楊小杉"/>
  </r>
  <r>
    <s v="588"/>
    <x v="3"/>
    <n v="164000"/>
    <s v="2020-09-18"/>
    <s v="柚子"/>
    <s v="郭小婷"/>
  </r>
  <r>
    <s v="589"/>
    <x v="0"/>
    <n v="58000"/>
    <s v="2020-09-20"/>
    <s v="柚子"/>
    <s v="李小怡"/>
  </r>
  <r>
    <s v="590"/>
    <x v="0"/>
    <n v="41000"/>
    <s v="2020-09-21"/>
    <s v="芒果"/>
    <s v="林阿杰"/>
  </r>
  <r>
    <s v="591"/>
    <x v="3"/>
    <n v="87000"/>
    <s v="2020-09-23"/>
    <s v="香蕉"/>
    <s v="郭小婷"/>
  </r>
  <r>
    <s v="592"/>
    <x v="5"/>
    <n v="279000"/>
    <s v="2020-09-24"/>
    <s v="柚子"/>
    <s v="葉小美"/>
  </r>
  <r>
    <s v="593"/>
    <x v="0"/>
    <n v="168000"/>
    <s v="2020-09-24"/>
    <s v="鳳梨"/>
    <s v="楊小杉"/>
  </r>
  <r>
    <s v="594"/>
    <x v="6"/>
    <n v="48000"/>
    <s v="2020-09-28"/>
    <s v="西瓜"/>
    <s v="李小怡"/>
  </r>
  <r>
    <s v="595"/>
    <x v="2"/>
    <n v="101000"/>
    <s v="2020-09-30"/>
    <s v="西瓜"/>
    <s v="林小玉"/>
  </r>
  <r>
    <s v="596"/>
    <x v="3"/>
    <n v="287000"/>
    <s v="2020-09-30"/>
    <s v="柚子"/>
    <s v="李小怡"/>
  </r>
  <r>
    <s v="597"/>
    <x v="0"/>
    <n v="173000"/>
    <s v="2020-10-02"/>
    <s v="西瓜"/>
    <s v="林小玉"/>
  </r>
  <r>
    <s v="598"/>
    <x v="3"/>
    <n v="290000"/>
    <s v="2020-10-04"/>
    <s v="柚子"/>
    <s v="林阿杰"/>
  </r>
  <r>
    <s v="599"/>
    <x v="1"/>
    <n v="299000"/>
    <s v="2020-10-04"/>
    <s v="鳳梨"/>
    <s v="吳小亮"/>
  </r>
  <r>
    <s v="600"/>
    <x v="2"/>
    <n v="163000"/>
    <s v="2020-10-05"/>
    <s v="西瓜"/>
    <s v="林小玉"/>
  </r>
  <r>
    <s v="601"/>
    <x v="3"/>
    <n v="199000"/>
    <s v="2020-10-05"/>
    <s v="香蕉"/>
    <s v="林小玉"/>
  </r>
  <r>
    <s v="602"/>
    <x v="2"/>
    <n v="251000"/>
    <s v="2020-10-06"/>
    <s v="芒果"/>
    <s v="葉小美"/>
  </r>
  <r>
    <s v="603"/>
    <x v="3"/>
    <n v="187000"/>
    <s v="2020-10-07"/>
    <s v="蘋果"/>
    <s v="楊小杉"/>
  </r>
  <r>
    <s v="604"/>
    <x v="3"/>
    <n v="33000"/>
    <s v="2020-10-10"/>
    <s v="鳳梨"/>
    <s v="林小玉"/>
  </r>
  <r>
    <s v="605"/>
    <x v="3"/>
    <n v="176000"/>
    <s v="2020-10-12"/>
    <s v="柚子"/>
    <s v="葉小美"/>
  </r>
  <r>
    <s v="606"/>
    <x v="4"/>
    <n v="220000"/>
    <s v="2020-10-14"/>
    <s v="柚子"/>
    <s v="林阿杰"/>
  </r>
  <r>
    <s v="607"/>
    <x v="2"/>
    <n v="76000"/>
    <s v="2020-10-14"/>
    <s v="鳳梨"/>
    <s v="楊小杉"/>
  </r>
  <r>
    <s v="608"/>
    <x v="5"/>
    <n v="187000"/>
    <s v="2020-10-14"/>
    <s v="芒果"/>
    <s v="楊小杉"/>
  </r>
  <r>
    <s v="609"/>
    <x v="2"/>
    <n v="225000"/>
    <s v="2020-10-16"/>
    <s v="芒果"/>
    <s v="江小花"/>
  </r>
  <r>
    <s v="610"/>
    <x v="3"/>
    <n v="283000"/>
    <s v="2020-10-18"/>
    <s v="蘋果"/>
    <s v="楊小杉"/>
  </r>
  <r>
    <s v="611"/>
    <x v="1"/>
    <n v="225000"/>
    <s v="2020-10-19"/>
    <s v="香蕉"/>
    <s v="郭小婷"/>
  </r>
  <r>
    <s v="612"/>
    <x v="3"/>
    <n v="44000"/>
    <s v="2020-10-21"/>
    <s v="香蕉"/>
    <s v="林小玉"/>
  </r>
  <r>
    <s v="613"/>
    <x v="3"/>
    <n v="132000"/>
    <s v="2020-10-21"/>
    <s v="西瓜"/>
    <s v="方小文"/>
  </r>
  <r>
    <s v="614"/>
    <x v="2"/>
    <n v="202000"/>
    <s v="2020-10-21"/>
    <s v="柚子"/>
    <s v="楊小杉"/>
  </r>
  <r>
    <s v="615"/>
    <x v="5"/>
    <n v="261000"/>
    <s v="2020-10-22"/>
    <s v="柚子"/>
    <s v="李小怡"/>
  </r>
  <r>
    <s v="616"/>
    <x v="1"/>
    <n v="213000"/>
    <s v="2020-10-24"/>
    <s v="蘋果"/>
    <s v="江小花"/>
  </r>
  <r>
    <s v="617"/>
    <x v="6"/>
    <n v="296000"/>
    <s v="2020-10-26"/>
    <s v="芒果"/>
    <s v="方小文"/>
  </r>
  <r>
    <s v="618"/>
    <x v="5"/>
    <n v="169000"/>
    <s v="2020-10-26"/>
    <s v="蘋果"/>
    <s v="林小玉"/>
  </r>
  <r>
    <s v="619"/>
    <x v="4"/>
    <n v="64000"/>
    <s v="2020-10-26"/>
    <s v="柚子"/>
    <s v="林小玉"/>
  </r>
  <r>
    <s v="620"/>
    <x v="4"/>
    <n v="101000"/>
    <s v="2020-10-27"/>
    <s v="蘋果"/>
    <s v="江小花"/>
  </r>
  <r>
    <s v="621"/>
    <x v="1"/>
    <n v="87000"/>
    <s v="2020-10-29"/>
    <s v="西瓜"/>
    <s v="楊小杉"/>
  </r>
  <r>
    <s v="622"/>
    <x v="5"/>
    <n v="195000"/>
    <s v="2020-10-31"/>
    <s v="柚子"/>
    <s v="林小玉"/>
  </r>
  <r>
    <s v="623"/>
    <x v="3"/>
    <n v="103000"/>
    <s v="2020-11-01"/>
    <s v="柚子"/>
    <s v="江小花"/>
  </r>
  <r>
    <s v="624"/>
    <x v="2"/>
    <n v="262000"/>
    <s v="2020-11-01"/>
    <s v="西瓜"/>
    <s v="林小玉"/>
  </r>
  <r>
    <s v="625"/>
    <x v="5"/>
    <n v="91000"/>
    <s v="2020-11-01"/>
    <s v="蘋果"/>
    <s v="葉小美"/>
  </r>
  <r>
    <s v="626"/>
    <x v="4"/>
    <n v="78000"/>
    <s v="2020-11-02"/>
    <s v="香蕉"/>
    <s v="楊小杉"/>
  </r>
  <r>
    <s v="627"/>
    <x v="5"/>
    <n v="232000"/>
    <s v="2020-11-02"/>
    <s v="西瓜"/>
    <s v="林阿杰"/>
  </r>
  <r>
    <s v="628"/>
    <x v="0"/>
    <n v="288000"/>
    <s v="2020-11-04"/>
    <s v="蘋果"/>
    <s v="吳小亮"/>
  </r>
  <r>
    <s v="629"/>
    <x v="6"/>
    <n v="58000"/>
    <s v="2020-11-06"/>
    <s v="蘋果"/>
    <s v="林阿杰"/>
  </r>
  <r>
    <s v="630"/>
    <x v="3"/>
    <n v="55000"/>
    <s v="2020-11-09"/>
    <s v="芒果"/>
    <s v="葉小美"/>
  </r>
  <r>
    <s v="631"/>
    <x v="1"/>
    <n v="61000"/>
    <s v="2020-11-10"/>
    <s v="鳳梨"/>
    <s v="吳小亮"/>
  </r>
  <r>
    <s v="632"/>
    <x v="5"/>
    <n v="211000"/>
    <s v="2020-11-11"/>
    <s v="西瓜"/>
    <s v="江小花"/>
  </r>
  <r>
    <s v="633"/>
    <x v="1"/>
    <n v="197000"/>
    <s v="2020-11-12"/>
    <s v="香蕉"/>
    <s v="李小怡"/>
  </r>
  <r>
    <s v="634"/>
    <x v="5"/>
    <n v="69000"/>
    <s v="2020-11-15"/>
    <s v="鳳梨"/>
    <s v="林阿杰"/>
  </r>
  <r>
    <s v="635"/>
    <x v="1"/>
    <n v="123000"/>
    <s v="2020-11-16"/>
    <s v="芒果"/>
    <s v="林阿杰"/>
  </r>
  <r>
    <s v="636"/>
    <x v="2"/>
    <n v="157000"/>
    <s v="2020-11-17"/>
    <s v="芒果"/>
    <s v="楊小杉"/>
  </r>
  <r>
    <s v="637"/>
    <x v="6"/>
    <n v="110000"/>
    <s v="2020-11-19"/>
    <s v="柚子"/>
    <s v="吳小亮"/>
  </r>
  <r>
    <s v="638"/>
    <x v="1"/>
    <n v="167000"/>
    <s v="2020-11-20"/>
    <s v="柚子"/>
    <s v="林阿杰"/>
  </r>
  <r>
    <s v="639"/>
    <x v="6"/>
    <n v="161000"/>
    <s v="2020-11-20"/>
    <s v="蘋果"/>
    <s v="郭小婷"/>
  </r>
  <r>
    <s v="640"/>
    <x v="2"/>
    <n v="241000"/>
    <s v="2020-11-22"/>
    <s v="蘋果"/>
    <s v="江小花"/>
  </r>
  <r>
    <s v="641"/>
    <x v="3"/>
    <n v="216000"/>
    <s v="2020-11-22"/>
    <s v="蘋果"/>
    <s v="郭小婷"/>
  </r>
  <r>
    <s v="642"/>
    <x v="5"/>
    <n v="39000"/>
    <s v="2020-11-24"/>
    <s v="西瓜"/>
    <s v="吳小亮"/>
  </r>
  <r>
    <s v="643"/>
    <x v="0"/>
    <n v="152000"/>
    <s v="2020-11-30"/>
    <s v="芒果"/>
    <s v="林阿杰"/>
  </r>
  <r>
    <s v="644"/>
    <x v="1"/>
    <n v="61000"/>
    <s v="2020-12-03"/>
    <s v="蘋果"/>
    <s v="江小花"/>
  </r>
  <r>
    <s v="645"/>
    <x v="2"/>
    <n v="41000"/>
    <s v="2020-12-03"/>
    <s v="柚子"/>
    <s v="李小怡"/>
  </r>
  <r>
    <s v="646"/>
    <x v="3"/>
    <n v="102000"/>
    <s v="2020-12-04"/>
    <s v="鳳梨"/>
    <s v="楊小杉"/>
  </r>
  <r>
    <s v="647"/>
    <x v="5"/>
    <n v="79000"/>
    <s v="2020-12-05"/>
    <s v="香蕉"/>
    <s v="葉小美"/>
  </r>
  <r>
    <s v="648"/>
    <x v="2"/>
    <n v="47000"/>
    <s v="2020-12-05"/>
    <s v="西瓜"/>
    <s v="李小怡"/>
  </r>
  <r>
    <s v="649"/>
    <x v="0"/>
    <n v="91000"/>
    <s v="2020-12-06"/>
    <s v="鳳梨"/>
    <s v="郭小婷"/>
  </r>
  <r>
    <s v="650"/>
    <x v="1"/>
    <n v="65000"/>
    <s v="2020-12-07"/>
    <s v="鳳梨"/>
    <s v="林阿杰"/>
  </r>
  <r>
    <s v="651"/>
    <x v="4"/>
    <n v="125000"/>
    <s v="2020-12-08"/>
    <s v="柚子"/>
    <s v="林阿杰"/>
  </r>
  <r>
    <s v="652"/>
    <x v="4"/>
    <n v="198000"/>
    <s v="2020-12-10"/>
    <s v="柚子"/>
    <s v="江小花"/>
  </r>
  <r>
    <s v="653"/>
    <x v="1"/>
    <n v="116000"/>
    <s v="2020-12-11"/>
    <s v="蘋果"/>
    <s v="楊小杉"/>
  </r>
  <r>
    <s v="654"/>
    <x v="3"/>
    <n v="255000"/>
    <s v="2020-12-11"/>
    <s v="香蕉"/>
    <s v="楊小杉"/>
  </r>
  <r>
    <s v="655"/>
    <x v="6"/>
    <n v="120000"/>
    <s v="2020-12-12"/>
    <s v="鳳梨"/>
    <s v="林阿杰"/>
  </r>
  <r>
    <s v="656"/>
    <x v="2"/>
    <n v="68000"/>
    <s v="2020-12-15"/>
    <s v="芒果"/>
    <s v="江小花"/>
  </r>
  <r>
    <s v="657"/>
    <x v="0"/>
    <n v="67000"/>
    <s v="2020-12-15"/>
    <s v="香蕉"/>
    <s v="吳小亮"/>
  </r>
  <r>
    <s v="658"/>
    <x v="2"/>
    <n v="173000"/>
    <s v="2020-12-19"/>
    <s v="蘋果"/>
    <s v="江小花"/>
  </r>
  <r>
    <s v="659"/>
    <x v="4"/>
    <n v="178000"/>
    <s v="2020-12-19"/>
    <s v="鳳梨"/>
    <s v="葉小美"/>
  </r>
  <r>
    <s v="660"/>
    <x v="1"/>
    <n v="252000"/>
    <s v="2020-12-20"/>
    <s v="鳳梨"/>
    <s v="方小文"/>
  </r>
  <r>
    <s v="661"/>
    <x v="5"/>
    <n v="217000"/>
    <s v="2020-12-22"/>
    <s v="西瓜"/>
    <s v="林阿杰"/>
  </r>
  <r>
    <s v="662"/>
    <x v="2"/>
    <n v="224000"/>
    <s v="2020-12-23"/>
    <s v="蘋果"/>
    <s v="江小花"/>
  </r>
  <r>
    <s v="663"/>
    <x v="2"/>
    <n v="252000"/>
    <s v="2020-12-25"/>
    <s v="蘋果"/>
    <s v="郭小婷"/>
  </r>
  <r>
    <s v="664"/>
    <x v="5"/>
    <n v="130000"/>
    <s v="2020-12-25"/>
    <s v="芒果"/>
    <s v="吳小亮"/>
  </r>
  <r>
    <s v="665"/>
    <x v="1"/>
    <n v="297000"/>
    <s v="2020-12-26"/>
    <s v="芒果"/>
    <s v="葉小美"/>
  </r>
  <r>
    <s v="666"/>
    <x v="0"/>
    <n v="179000"/>
    <s v="2020-12-27"/>
    <s v="芒果"/>
    <s v="郭小婷"/>
  </r>
  <r>
    <s v="667"/>
    <x v="4"/>
    <n v="264000"/>
    <s v="2020-12-27"/>
    <s v="蘋果"/>
    <s v="方小文"/>
  </r>
  <r>
    <s v="668"/>
    <x v="0"/>
    <n v="212000"/>
    <s v="2020-12-28"/>
    <s v="蘋果"/>
    <s v="郭小婷"/>
  </r>
  <r>
    <s v="669"/>
    <x v="3"/>
    <n v="153000"/>
    <s v="2020-12-29"/>
    <s v="香蕉"/>
    <s v="楊小杉"/>
  </r>
  <r>
    <s v="670"/>
    <x v="2"/>
    <n v="176000"/>
    <s v="2020-12-29"/>
    <s v="蘋果"/>
    <s v="方小文"/>
  </r>
  <r>
    <s v="671"/>
    <x v="4"/>
    <n v="38000"/>
    <s v="2020-12-30"/>
    <s v="蘋果"/>
    <s v="林小玉"/>
  </r>
  <r>
    <s v="672"/>
    <x v="4"/>
    <n v="153000"/>
    <s v="2020-12-30"/>
    <s v="芒果"/>
    <s v="方小文"/>
  </r>
  <r>
    <s v="673"/>
    <x v="3"/>
    <n v="166000"/>
    <s v="2021-01-01"/>
    <s v="芒果"/>
    <s v="吳小亮"/>
  </r>
  <r>
    <s v="674"/>
    <x v="0"/>
    <n v="269000"/>
    <s v="2021-01-05"/>
    <s v="蘋果"/>
    <s v="江小花"/>
  </r>
  <r>
    <s v="675"/>
    <x v="5"/>
    <n v="69000"/>
    <s v="2021-01-05"/>
    <s v="柚子"/>
    <s v="林阿杰"/>
  </r>
  <r>
    <s v="676"/>
    <x v="3"/>
    <n v="276000"/>
    <s v="2021-01-07"/>
    <s v="香蕉"/>
    <s v="江小花"/>
  </r>
  <r>
    <s v="677"/>
    <x v="3"/>
    <n v="50000"/>
    <s v="2021-01-07"/>
    <s v="鳳梨"/>
    <s v="葉小美"/>
  </r>
  <r>
    <s v="678"/>
    <x v="0"/>
    <n v="79000"/>
    <s v="2021-01-08"/>
    <s v="香蕉"/>
    <s v="江小花"/>
  </r>
  <r>
    <s v="679"/>
    <x v="3"/>
    <n v="266000"/>
    <s v="2021-01-09"/>
    <s v="蘋果"/>
    <s v="吳小亮"/>
  </r>
  <r>
    <s v="680"/>
    <x v="3"/>
    <n v="249000"/>
    <s v="2021-01-09"/>
    <s v="芒果"/>
    <s v="林阿杰"/>
  </r>
  <r>
    <s v="681"/>
    <x v="3"/>
    <n v="98000"/>
    <s v="2021-01-09"/>
    <s v="蘋果"/>
    <s v="吳小亮"/>
  </r>
  <r>
    <s v="682"/>
    <x v="3"/>
    <n v="161000"/>
    <s v="2021-01-09"/>
    <s v="蘋果"/>
    <s v="江小花"/>
  </r>
  <r>
    <s v="683"/>
    <x v="2"/>
    <n v="175000"/>
    <s v="2021-01-10"/>
    <s v="西瓜"/>
    <s v="江小花"/>
  </r>
  <r>
    <s v="684"/>
    <x v="2"/>
    <n v="249000"/>
    <s v="2021-01-10"/>
    <s v="鳳梨"/>
    <s v="葉小美"/>
  </r>
  <r>
    <s v="685"/>
    <x v="5"/>
    <n v="182000"/>
    <s v="2021-01-13"/>
    <s v="芒果"/>
    <s v="江小花"/>
  </r>
  <r>
    <s v="686"/>
    <x v="2"/>
    <n v="251000"/>
    <s v="2021-01-13"/>
    <s v="芒果"/>
    <s v="李小怡"/>
  </r>
  <r>
    <s v="687"/>
    <x v="5"/>
    <n v="133000"/>
    <s v="2021-01-17"/>
    <s v="鳳梨"/>
    <s v="方小文"/>
  </r>
  <r>
    <s v="688"/>
    <x v="5"/>
    <n v="179000"/>
    <s v="2021-01-18"/>
    <s v="西瓜"/>
    <s v="江小花"/>
  </r>
  <r>
    <s v="689"/>
    <x v="6"/>
    <n v="149000"/>
    <s v="2021-01-18"/>
    <s v="西瓜"/>
    <s v="林阿杰"/>
  </r>
  <r>
    <s v="690"/>
    <x v="0"/>
    <n v="247000"/>
    <s v="2021-01-21"/>
    <s v="柚子"/>
    <s v="李小怡"/>
  </r>
  <r>
    <s v="691"/>
    <x v="1"/>
    <n v="272000"/>
    <s v="2021-01-22"/>
    <s v="蘋果"/>
    <s v="江小花"/>
  </r>
  <r>
    <s v="692"/>
    <x v="4"/>
    <n v="107000"/>
    <s v="2021-01-24"/>
    <s v="柚子"/>
    <s v="郭小婷"/>
  </r>
  <r>
    <s v="693"/>
    <x v="6"/>
    <n v="289000"/>
    <s v="2021-01-25"/>
    <s v="西瓜"/>
    <s v="方小文"/>
  </r>
  <r>
    <s v="694"/>
    <x v="1"/>
    <n v="214000"/>
    <s v="2021-01-27"/>
    <s v="芒果"/>
    <s v="李小怡"/>
  </r>
  <r>
    <s v="695"/>
    <x v="5"/>
    <n v="195000"/>
    <s v="2021-01-28"/>
    <s v="鳳梨"/>
    <s v="楊小杉"/>
  </r>
  <r>
    <s v="696"/>
    <x v="3"/>
    <n v="264000"/>
    <s v="2021-01-28"/>
    <s v="香蕉"/>
    <s v="江小花"/>
  </r>
  <r>
    <s v="697"/>
    <x v="2"/>
    <n v="242000"/>
    <s v="2021-01-31"/>
    <s v="柚子"/>
    <s v="林小玉"/>
  </r>
  <r>
    <s v="698"/>
    <x v="0"/>
    <n v="252000"/>
    <s v="2021-01-31"/>
    <s v="柚子"/>
    <s v="林小玉"/>
  </r>
  <r>
    <s v="699"/>
    <x v="6"/>
    <n v="200000"/>
    <s v="2021-02-01"/>
    <s v="西瓜"/>
    <s v="吳小亮"/>
  </r>
  <r>
    <s v="700"/>
    <x v="2"/>
    <n v="90000"/>
    <s v="2021-02-03"/>
    <s v="芒果"/>
    <s v="江小花"/>
  </r>
  <r>
    <s v="701"/>
    <x v="6"/>
    <n v="266000"/>
    <s v="2021-02-03"/>
    <s v="柚子"/>
    <s v="方小文"/>
  </r>
  <r>
    <s v="702"/>
    <x v="0"/>
    <n v="73000"/>
    <s v="2021-02-04"/>
    <s v="柚子"/>
    <s v="吳小亮"/>
  </r>
  <r>
    <s v="703"/>
    <x v="3"/>
    <n v="84000"/>
    <s v="2021-02-08"/>
    <s v="芒果"/>
    <s v="楊小杉"/>
  </r>
  <r>
    <s v="704"/>
    <x v="1"/>
    <n v="261000"/>
    <s v="2021-02-08"/>
    <s v="柚子"/>
    <s v="吳小亮"/>
  </r>
  <r>
    <s v="705"/>
    <x v="2"/>
    <n v="69000"/>
    <s v="2021-02-09"/>
    <s v="芒果"/>
    <s v="江小花"/>
  </r>
  <r>
    <s v="706"/>
    <x v="5"/>
    <n v="175000"/>
    <s v="2021-02-10"/>
    <s v="蘋果"/>
    <s v="方小文"/>
  </r>
  <r>
    <s v="707"/>
    <x v="5"/>
    <n v="39000"/>
    <s v="2021-02-12"/>
    <s v="芒果"/>
    <s v="楊小杉"/>
  </r>
  <r>
    <s v="708"/>
    <x v="0"/>
    <n v="185000"/>
    <s v="2021-02-13"/>
    <s v="香蕉"/>
    <s v="郭小婷"/>
  </r>
  <r>
    <s v="709"/>
    <x v="6"/>
    <n v="240000"/>
    <s v="2021-02-13"/>
    <s v="香蕉"/>
    <s v="李小怡"/>
  </r>
  <r>
    <s v="710"/>
    <x v="6"/>
    <n v="211000"/>
    <s v="2021-02-14"/>
    <s v="鳳梨"/>
    <s v="楊小杉"/>
  </r>
  <r>
    <s v="711"/>
    <x v="2"/>
    <n v="291000"/>
    <s v="2021-02-15"/>
    <s v="香蕉"/>
    <s v="郭小婷"/>
  </r>
  <r>
    <s v="712"/>
    <x v="3"/>
    <n v="201000"/>
    <s v="2021-02-15"/>
    <s v="柚子"/>
    <s v="葉小美"/>
  </r>
  <r>
    <s v="713"/>
    <x v="1"/>
    <n v="120000"/>
    <s v="2021-02-18"/>
    <s v="芒果"/>
    <s v="楊小杉"/>
  </r>
  <r>
    <s v="714"/>
    <x v="5"/>
    <n v="45000"/>
    <s v="2021-02-18"/>
    <s v="香蕉"/>
    <s v="吳小亮"/>
  </r>
  <r>
    <s v="715"/>
    <x v="2"/>
    <n v="135000"/>
    <s v="2021-02-20"/>
    <s v="芒果"/>
    <s v="江小花"/>
  </r>
  <r>
    <s v="716"/>
    <x v="6"/>
    <n v="211000"/>
    <s v="2021-02-22"/>
    <s v="芒果"/>
    <s v="葉小美"/>
  </r>
  <r>
    <s v="717"/>
    <x v="3"/>
    <n v="230000"/>
    <s v="2021-02-24"/>
    <s v="芒果"/>
    <s v="郭小婷"/>
  </r>
  <r>
    <s v="718"/>
    <x v="1"/>
    <n v="249000"/>
    <s v="2021-02-24"/>
    <s v="香蕉"/>
    <s v="郭小婷"/>
  </r>
  <r>
    <s v="719"/>
    <x v="2"/>
    <n v="200000"/>
    <s v="2021-02-24"/>
    <s v="蘋果"/>
    <s v="葉小美"/>
  </r>
  <r>
    <s v="720"/>
    <x v="3"/>
    <n v="270000"/>
    <s v="2021-02-27"/>
    <s v="蘋果"/>
    <s v="李小怡"/>
  </r>
  <r>
    <s v="721"/>
    <x v="5"/>
    <n v="169000"/>
    <s v="2021-03-02"/>
    <s v="鳳梨"/>
    <s v="方小文"/>
  </r>
  <r>
    <s v="722"/>
    <x v="0"/>
    <n v="99000"/>
    <s v="2021-03-03"/>
    <s v="西瓜"/>
    <s v="吳小亮"/>
  </r>
  <r>
    <s v="723"/>
    <x v="2"/>
    <n v="60000"/>
    <s v="2021-03-04"/>
    <s v="鳳梨"/>
    <s v="江小花"/>
  </r>
  <r>
    <s v="724"/>
    <x v="6"/>
    <n v="248000"/>
    <s v="2021-03-04"/>
    <s v="芒果"/>
    <s v="李小怡"/>
  </r>
  <r>
    <s v="725"/>
    <x v="5"/>
    <n v="36000"/>
    <s v="2021-03-04"/>
    <s v="蘋果"/>
    <s v="江小花"/>
  </r>
  <r>
    <s v="726"/>
    <x v="5"/>
    <n v="55000"/>
    <s v="2021-03-04"/>
    <s v="香蕉"/>
    <s v="林小玉"/>
  </r>
  <r>
    <s v="727"/>
    <x v="0"/>
    <n v="139000"/>
    <s v="2021-03-05"/>
    <s v="香蕉"/>
    <s v="林阿杰"/>
  </r>
  <r>
    <s v="728"/>
    <x v="3"/>
    <n v="291000"/>
    <s v="2021-03-06"/>
    <s v="蘋果"/>
    <s v="吳小亮"/>
  </r>
  <r>
    <s v="729"/>
    <x v="4"/>
    <n v="102000"/>
    <s v="2021-03-07"/>
    <s v="蘋果"/>
    <s v="江小花"/>
  </r>
  <r>
    <s v="730"/>
    <x v="3"/>
    <n v="131000"/>
    <s v="2021-03-10"/>
    <s v="蘋果"/>
    <s v="林小玉"/>
  </r>
  <r>
    <s v="731"/>
    <x v="4"/>
    <n v="282000"/>
    <s v="2021-03-11"/>
    <s v="蘋果"/>
    <s v="方小文"/>
  </r>
  <r>
    <s v="732"/>
    <x v="4"/>
    <n v="291000"/>
    <s v="2021-03-13"/>
    <s v="香蕉"/>
    <s v="葉小美"/>
  </r>
  <r>
    <s v="733"/>
    <x v="3"/>
    <n v="77000"/>
    <s v="2021-03-13"/>
    <s v="鳳梨"/>
    <s v="楊小杉"/>
  </r>
  <r>
    <s v="734"/>
    <x v="2"/>
    <n v="119000"/>
    <s v="2021-03-15"/>
    <s v="鳳梨"/>
    <s v="林小玉"/>
  </r>
  <r>
    <s v="735"/>
    <x v="4"/>
    <n v="274000"/>
    <s v="2021-03-18"/>
    <s v="西瓜"/>
    <s v="方小文"/>
  </r>
  <r>
    <s v="736"/>
    <x v="3"/>
    <n v="238000"/>
    <s v="2021-03-19"/>
    <s v="香蕉"/>
    <s v="李小怡"/>
  </r>
  <r>
    <s v="737"/>
    <x v="4"/>
    <n v="158000"/>
    <s v="2021-03-19"/>
    <s v="芒果"/>
    <s v="林阿杰"/>
  </r>
  <r>
    <s v="738"/>
    <x v="0"/>
    <n v="259000"/>
    <s v="2021-03-20"/>
    <s v="柚子"/>
    <s v="方小文"/>
  </r>
  <r>
    <s v="739"/>
    <x v="3"/>
    <n v="40000"/>
    <s v="2021-03-21"/>
    <s v="鳳梨"/>
    <s v="林阿杰"/>
  </r>
  <r>
    <s v="740"/>
    <x v="2"/>
    <n v="141000"/>
    <s v="2021-03-24"/>
    <s v="蘋果"/>
    <s v="吳小亮"/>
  </r>
  <r>
    <s v="741"/>
    <x v="2"/>
    <n v="237000"/>
    <s v="2021-03-25"/>
    <s v="芒果"/>
    <s v="吳小亮"/>
  </r>
  <r>
    <s v="742"/>
    <x v="0"/>
    <n v="172000"/>
    <s v="2021-03-26"/>
    <s v="芒果"/>
    <s v="林小玉"/>
  </r>
  <r>
    <s v="743"/>
    <x v="3"/>
    <n v="204000"/>
    <s v="2021-03-26"/>
    <s v="柚子"/>
    <s v="楊小杉"/>
  </r>
  <r>
    <s v="744"/>
    <x v="6"/>
    <n v="158000"/>
    <s v="2021-03-26"/>
    <s v="鳳梨"/>
    <s v="葉小美"/>
  </r>
  <r>
    <s v="745"/>
    <x v="6"/>
    <n v="84000"/>
    <s v="2021-03-30"/>
    <s v="柚子"/>
    <s v="郭小婷"/>
  </r>
  <r>
    <s v="746"/>
    <x v="4"/>
    <n v="102000"/>
    <s v="2021-03-31"/>
    <s v="鳳梨"/>
    <s v="楊小杉"/>
  </r>
  <r>
    <s v="747"/>
    <x v="6"/>
    <n v="45000"/>
    <s v="2021-04-02"/>
    <s v="香蕉"/>
    <s v="郭小婷"/>
  </r>
  <r>
    <s v="748"/>
    <x v="3"/>
    <n v="181000"/>
    <s v="2021-04-02"/>
    <s v="蘋果"/>
    <s v="林阿杰"/>
  </r>
  <r>
    <s v="749"/>
    <x v="2"/>
    <n v="142000"/>
    <s v="2021-04-03"/>
    <s v="香蕉"/>
    <s v="江小花"/>
  </r>
  <r>
    <s v="750"/>
    <x v="5"/>
    <n v="103000"/>
    <s v="2021-04-03"/>
    <s v="香蕉"/>
    <s v="林阿杰"/>
  </r>
  <r>
    <s v="751"/>
    <x v="5"/>
    <n v="276000"/>
    <s v="2021-04-03"/>
    <s v="鳳梨"/>
    <s v="方小文"/>
  </r>
  <r>
    <s v="752"/>
    <x v="1"/>
    <n v="148000"/>
    <s v="2021-04-04"/>
    <s v="鳳梨"/>
    <s v="葉小美"/>
  </r>
  <r>
    <s v="753"/>
    <x v="2"/>
    <n v="160000"/>
    <s v="2021-04-07"/>
    <s v="芒果"/>
    <s v="江小花"/>
  </r>
  <r>
    <s v="754"/>
    <x v="2"/>
    <n v="108000"/>
    <s v="2021-04-09"/>
    <s v="芒果"/>
    <s v="江小花"/>
  </r>
  <r>
    <s v="755"/>
    <x v="2"/>
    <n v="177000"/>
    <s v="2021-04-10"/>
    <s v="西瓜"/>
    <s v="吳小亮"/>
  </r>
  <r>
    <s v="756"/>
    <x v="6"/>
    <n v="39000"/>
    <s v="2021-04-10"/>
    <s v="鳳梨"/>
    <s v="林阿杰"/>
  </r>
  <r>
    <s v="757"/>
    <x v="5"/>
    <n v="246000"/>
    <s v="2021-04-11"/>
    <s v="芒果"/>
    <s v="江小花"/>
  </r>
  <r>
    <s v="758"/>
    <x v="5"/>
    <n v="152000"/>
    <s v="2021-04-12"/>
    <s v="芒果"/>
    <s v="方小文"/>
  </r>
  <r>
    <s v="759"/>
    <x v="2"/>
    <n v="123000"/>
    <s v="2021-04-15"/>
    <s v="香蕉"/>
    <s v="楊小杉"/>
  </r>
  <r>
    <s v="760"/>
    <x v="4"/>
    <n v="263000"/>
    <s v="2021-04-15"/>
    <s v="西瓜"/>
    <s v="林阿杰"/>
  </r>
  <r>
    <s v="761"/>
    <x v="6"/>
    <n v="210000"/>
    <s v="2021-04-21"/>
    <s v="西瓜"/>
    <s v="方小文"/>
  </r>
  <r>
    <s v="762"/>
    <x v="3"/>
    <n v="197000"/>
    <s v="2021-04-22"/>
    <s v="蘋果"/>
    <s v="郭小婷"/>
  </r>
  <r>
    <s v="763"/>
    <x v="3"/>
    <n v="43000"/>
    <s v="2021-04-22"/>
    <s v="芒果"/>
    <s v="江小花"/>
  </r>
  <r>
    <s v="764"/>
    <x v="1"/>
    <n v="222000"/>
    <s v="2021-04-23"/>
    <s v="柚子"/>
    <s v="郭小婷"/>
  </r>
  <r>
    <s v="765"/>
    <x v="4"/>
    <n v="203000"/>
    <s v="2021-04-23"/>
    <s v="柚子"/>
    <s v="林小玉"/>
  </r>
  <r>
    <s v="766"/>
    <x v="4"/>
    <n v="94000"/>
    <s v="2021-04-23"/>
    <s v="鳳梨"/>
    <s v="江小花"/>
  </r>
  <r>
    <s v="767"/>
    <x v="2"/>
    <n v="159000"/>
    <s v="2021-04-23"/>
    <s v="柚子"/>
    <s v="林小玉"/>
  </r>
  <r>
    <s v="768"/>
    <x v="0"/>
    <n v="300000"/>
    <s v="2021-04-23"/>
    <s v="鳳梨"/>
    <s v="林小玉"/>
  </r>
  <r>
    <s v="769"/>
    <x v="4"/>
    <n v="101000"/>
    <s v="2021-04-24"/>
    <s v="鳳梨"/>
    <s v="江小花"/>
  </r>
  <r>
    <s v="770"/>
    <x v="1"/>
    <n v="287000"/>
    <s v="2021-04-28"/>
    <s v="鳳梨"/>
    <s v="郭小婷"/>
  </r>
  <r>
    <s v="771"/>
    <x v="0"/>
    <n v="103000"/>
    <s v="2021-04-29"/>
    <s v="芒果"/>
    <s v="林阿杰"/>
  </r>
  <r>
    <s v="772"/>
    <x v="1"/>
    <n v="58000"/>
    <s v="2021-04-30"/>
    <s v="柚子"/>
    <s v="方小文"/>
  </r>
  <r>
    <s v="773"/>
    <x v="5"/>
    <n v="145000"/>
    <s v="2021-04-30"/>
    <s v="西瓜"/>
    <s v="林小玉"/>
  </r>
  <r>
    <s v="774"/>
    <x v="6"/>
    <n v="278000"/>
    <s v="2021-04-30"/>
    <s v="柚子"/>
    <s v="江小花"/>
  </r>
  <r>
    <s v="775"/>
    <x v="1"/>
    <n v="176000"/>
    <s v="2021-05-01"/>
    <s v="蘋果"/>
    <s v="楊小杉"/>
  </r>
  <r>
    <s v="776"/>
    <x v="0"/>
    <n v="100000"/>
    <s v="2021-05-01"/>
    <s v="芒果"/>
    <s v="江小花"/>
  </r>
  <r>
    <s v="777"/>
    <x v="0"/>
    <n v="148000"/>
    <s v="2021-05-02"/>
    <s v="蘋果"/>
    <s v="楊小杉"/>
  </r>
  <r>
    <s v="778"/>
    <x v="6"/>
    <n v="151000"/>
    <s v="2021-05-02"/>
    <s v="西瓜"/>
    <s v="方小文"/>
  </r>
  <r>
    <s v="779"/>
    <x v="2"/>
    <n v="63000"/>
    <s v="2021-05-02"/>
    <s v="芒果"/>
    <s v="葉小美"/>
  </r>
  <r>
    <s v="780"/>
    <x v="0"/>
    <n v="94000"/>
    <s v="2021-05-02"/>
    <s v="芒果"/>
    <s v="楊小杉"/>
  </r>
  <r>
    <s v="781"/>
    <x v="1"/>
    <n v="274000"/>
    <s v="2021-05-02"/>
    <s v="香蕉"/>
    <s v="林小玉"/>
  </r>
  <r>
    <s v="782"/>
    <x v="2"/>
    <n v="219000"/>
    <s v="2021-05-03"/>
    <s v="柚子"/>
    <s v="葉小美"/>
  </r>
  <r>
    <s v="783"/>
    <x v="3"/>
    <n v="230000"/>
    <s v="2021-05-03"/>
    <s v="蘋果"/>
    <s v="葉小美"/>
  </r>
  <r>
    <s v="784"/>
    <x v="0"/>
    <n v="215000"/>
    <s v="2021-05-07"/>
    <s v="西瓜"/>
    <s v="林阿杰"/>
  </r>
  <r>
    <s v="785"/>
    <x v="5"/>
    <n v="281000"/>
    <s v="2021-05-07"/>
    <s v="柚子"/>
    <s v="李小怡"/>
  </r>
  <r>
    <s v="786"/>
    <x v="2"/>
    <n v="281000"/>
    <s v="2021-05-07"/>
    <s v="香蕉"/>
    <s v="李小怡"/>
  </r>
  <r>
    <s v="787"/>
    <x v="2"/>
    <n v="173000"/>
    <s v="2021-05-08"/>
    <s v="柚子"/>
    <s v="林小玉"/>
  </r>
  <r>
    <s v="788"/>
    <x v="2"/>
    <n v="35000"/>
    <s v="2021-05-09"/>
    <s v="柚子"/>
    <s v="方小文"/>
  </r>
  <r>
    <s v="789"/>
    <x v="5"/>
    <n v="76000"/>
    <s v="2021-05-11"/>
    <s v="柚子"/>
    <s v="方小文"/>
  </r>
  <r>
    <s v="790"/>
    <x v="6"/>
    <n v="260000"/>
    <s v="2021-05-12"/>
    <s v="柚子"/>
    <s v="江小花"/>
  </r>
  <r>
    <s v="791"/>
    <x v="0"/>
    <n v="108000"/>
    <s v="2021-05-12"/>
    <s v="西瓜"/>
    <s v="吳小亮"/>
  </r>
  <r>
    <s v="792"/>
    <x v="3"/>
    <n v="71000"/>
    <s v="2021-05-13"/>
    <s v="芒果"/>
    <s v="李小怡"/>
  </r>
  <r>
    <s v="793"/>
    <x v="6"/>
    <n v="187000"/>
    <s v="2021-05-15"/>
    <s v="鳳梨"/>
    <s v="林阿杰"/>
  </r>
  <r>
    <s v="794"/>
    <x v="2"/>
    <n v="178000"/>
    <s v="2021-05-16"/>
    <s v="西瓜"/>
    <s v="楊小杉"/>
  </r>
  <r>
    <s v="795"/>
    <x v="4"/>
    <n v="205000"/>
    <s v="2021-05-17"/>
    <s v="柚子"/>
    <s v="郭小婷"/>
  </r>
  <r>
    <s v="796"/>
    <x v="1"/>
    <n v="69000"/>
    <s v="2021-05-19"/>
    <s v="西瓜"/>
    <s v="楊小杉"/>
  </r>
  <r>
    <s v="797"/>
    <x v="2"/>
    <n v="136000"/>
    <s v="2021-05-20"/>
    <s v="芒果"/>
    <s v="江小花"/>
  </r>
  <r>
    <s v="798"/>
    <x v="1"/>
    <n v="91000"/>
    <s v="2021-05-21"/>
    <s v="芒果"/>
    <s v="郭小婷"/>
  </r>
  <r>
    <s v="799"/>
    <x v="0"/>
    <n v="245000"/>
    <s v="2021-05-21"/>
    <s v="芒果"/>
    <s v="江小花"/>
  </r>
  <r>
    <s v="800"/>
    <x v="3"/>
    <n v="249000"/>
    <s v="2021-05-22"/>
    <s v="西瓜"/>
    <s v="葉小美"/>
  </r>
  <r>
    <s v="801"/>
    <x v="5"/>
    <n v="43000"/>
    <s v="2021-05-22"/>
    <s v="柚子"/>
    <s v="江小花"/>
  </r>
  <r>
    <s v="802"/>
    <x v="3"/>
    <n v="142000"/>
    <s v="2021-05-23"/>
    <s v="芒果"/>
    <s v="李小怡"/>
  </r>
  <r>
    <s v="803"/>
    <x v="5"/>
    <n v="32000"/>
    <s v="2021-05-23"/>
    <s v="芒果"/>
    <s v="葉小美"/>
  </r>
  <r>
    <s v="804"/>
    <x v="3"/>
    <n v="97000"/>
    <s v="2021-05-24"/>
    <s v="西瓜"/>
    <s v="葉小美"/>
  </r>
  <r>
    <s v="805"/>
    <x v="0"/>
    <n v="215000"/>
    <s v="2021-05-25"/>
    <s v="芒果"/>
    <s v="葉小美"/>
  </r>
  <r>
    <s v="806"/>
    <x v="3"/>
    <n v="269000"/>
    <s v="2021-05-26"/>
    <s v="蘋果"/>
    <s v="江小花"/>
  </r>
  <r>
    <s v="807"/>
    <x v="5"/>
    <n v="145000"/>
    <s v="2021-05-28"/>
    <s v="香蕉"/>
    <s v="郭小婷"/>
  </r>
  <r>
    <s v="808"/>
    <x v="5"/>
    <n v="180000"/>
    <s v="2021-05-28"/>
    <s v="柚子"/>
    <s v="郭小婷"/>
  </r>
  <r>
    <s v="809"/>
    <x v="3"/>
    <n v="257000"/>
    <s v="2021-05-29"/>
    <s v="柚子"/>
    <s v="吳小亮"/>
  </r>
  <r>
    <s v="810"/>
    <x v="2"/>
    <n v="43000"/>
    <s v="2021-05-31"/>
    <s v="西瓜"/>
    <s v="楊小杉"/>
  </r>
  <r>
    <s v="811"/>
    <x v="6"/>
    <n v="254000"/>
    <s v="2021-06-01"/>
    <s v="西瓜"/>
    <s v="郭小婷"/>
  </r>
  <r>
    <s v="812"/>
    <x v="3"/>
    <n v="237000"/>
    <s v="2021-06-01"/>
    <s v="鳳梨"/>
    <s v="江小花"/>
  </r>
  <r>
    <s v="813"/>
    <x v="3"/>
    <n v="152000"/>
    <s v="2021-06-01"/>
    <s v="柚子"/>
    <s v="方小文"/>
  </r>
  <r>
    <s v="814"/>
    <x v="5"/>
    <n v="299000"/>
    <s v="2021-06-03"/>
    <s v="蘋果"/>
    <s v="方小文"/>
  </r>
  <r>
    <s v="815"/>
    <x v="2"/>
    <n v="35000"/>
    <s v="2021-06-03"/>
    <s v="西瓜"/>
    <s v="郭小婷"/>
  </r>
  <r>
    <s v="816"/>
    <x v="4"/>
    <n v="45000"/>
    <s v="2021-06-04"/>
    <s v="香蕉"/>
    <s v="楊小杉"/>
  </r>
  <r>
    <s v="817"/>
    <x v="1"/>
    <n v="132000"/>
    <s v="2021-06-04"/>
    <s v="香蕉"/>
    <s v="林阿杰"/>
  </r>
  <r>
    <s v="818"/>
    <x v="5"/>
    <n v="83000"/>
    <s v="2021-06-04"/>
    <s v="柚子"/>
    <s v="吳小亮"/>
  </r>
  <r>
    <s v="819"/>
    <x v="6"/>
    <n v="184000"/>
    <s v="2021-06-06"/>
    <s v="蘋果"/>
    <s v="李小怡"/>
  </r>
  <r>
    <s v="820"/>
    <x v="6"/>
    <n v="43000"/>
    <s v="2021-06-07"/>
    <s v="香蕉"/>
    <s v="林小玉"/>
  </r>
  <r>
    <s v="821"/>
    <x v="0"/>
    <n v="84000"/>
    <s v="2021-06-07"/>
    <s v="香蕉"/>
    <s v="方小文"/>
  </r>
  <r>
    <s v="822"/>
    <x v="4"/>
    <n v="54000"/>
    <s v="2021-06-08"/>
    <s v="蘋果"/>
    <s v="江小花"/>
  </r>
  <r>
    <s v="823"/>
    <x v="1"/>
    <n v="211000"/>
    <s v="2021-06-11"/>
    <s v="鳳梨"/>
    <s v="葉小美"/>
  </r>
  <r>
    <s v="824"/>
    <x v="3"/>
    <n v="56000"/>
    <s v="2021-06-12"/>
    <s v="鳳梨"/>
    <s v="方小文"/>
  </r>
  <r>
    <s v="825"/>
    <x v="2"/>
    <n v="243000"/>
    <s v="2021-06-12"/>
    <s v="鳳梨"/>
    <s v="林小玉"/>
  </r>
  <r>
    <s v="826"/>
    <x v="5"/>
    <n v="90000"/>
    <s v="2021-06-13"/>
    <s v="柚子"/>
    <s v="楊小杉"/>
  </r>
  <r>
    <s v="827"/>
    <x v="5"/>
    <n v="119000"/>
    <s v="2021-06-13"/>
    <s v="香蕉"/>
    <s v="李小怡"/>
  </r>
  <r>
    <s v="828"/>
    <x v="2"/>
    <n v="242000"/>
    <s v="2021-06-16"/>
    <s v="西瓜"/>
    <s v="林小玉"/>
  </r>
  <r>
    <s v="829"/>
    <x v="0"/>
    <n v="115000"/>
    <s v="2021-06-18"/>
    <s v="蘋果"/>
    <s v="楊小杉"/>
  </r>
  <r>
    <s v="830"/>
    <x v="3"/>
    <n v="64000"/>
    <s v="2021-06-19"/>
    <s v="鳳梨"/>
    <s v="林小玉"/>
  </r>
  <r>
    <s v="831"/>
    <x v="1"/>
    <n v="247000"/>
    <s v="2021-06-20"/>
    <s v="鳳梨"/>
    <s v="方小文"/>
  </r>
  <r>
    <s v="832"/>
    <x v="5"/>
    <n v="221000"/>
    <s v="2021-06-21"/>
    <s v="西瓜"/>
    <s v="楊小杉"/>
  </r>
  <r>
    <s v="833"/>
    <x v="5"/>
    <n v="161000"/>
    <s v="2021-06-22"/>
    <s v="西瓜"/>
    <s v="江小花"/>
  </r>
  <r>
    <s v="834"/>
    <x v="1"/>
    <n v="133000"/>
    <s v="2021-06-24"/>
    <s v="芒果"/>
    <s v="方小文"/>
  </r>
  <r>
    <s v="835"/>
    <x v="5"/>
    <n v="155000"/>
    <s v="2021-06-24"/>
    <s v="柚子"/>
    <s v="江小花"/>
  </r>
  <r>
    <s v="836"/>
    <x v="3"/>
    <n v="225000"/>
    <s v="2021-06-25"/>
    <s v="蘋果"/>
    <s v="李小怡"/>
  </r>
  <r>
    <s v="837"/>
    <x v="0"/>
    <n v="159000"/>
    <s v="2021-06-25"/>
    <s v="西瓜"/>
    <s v="李小怡"/>
  </r>
  <r>
    <s v="838"/>
    <x v="3"/>
    <n v="295000"/>
    <s v="2021-06-26"/>
    <s v="蘋果"/>
    <s v="江小花"/>
  </r>
  <r>
    <s v="839"/>
    <x v="5"/>
    <n v="49000"/>
    <s v="2021-06-28"/>
    <s v="蘋果"/>
    <s v="林阿杰"/>
  </r>
  <r>
    <s v="840"/>
    <x v="6"/>
    <n v="217000"/>
    <s v="2021-06-28"/>
    <s v="香蕉"/>
    <s v="方小文"/>
  </r>
  <r>
    <s v="841"/>
    <x v="3"/>
    <n v="92000"/>
    <s v="2021-06-28"/>
    <s v="柚子"/>
    <s v="李小怡"/>
  </r>
  <r>
    <s v="842"/>
    <x v="2"/>
    <n v="118000"/>
    <s v="2021-06-30"/>
    <s v="芒果"/>
    <s v="楊小杉"/>
  </r>
  <r>
    <s v="843"/>
    <x v="0"/>
    <n v="36000"/>
    <s v="2021-07-01"/>
    <s v="芒果"/>
    <s v="林阿杰"/>
  </r>
  <r>
    <s v="844"/>
    <x v="5"/>
    <n v="92000"/>
    <s v="2021-07-03"/>
    <s v="芒果"/>
    <s v="吳小亮"/>
  </r>
  <r>
    <s v="845"/>
    <x v="3"/>
    <n v="148000"/>
    <s v="2021-07-04"/>
    <s v="蘋果"/>
    <s v="林阿杰"/>
  </r>
  <r>
    <s v="846"/>
    <x v="2"/>
    <n v="199000"/>
    <s v="2021-07-04"/>
    <s v="鳳梨"/>
    <s v="方小文"/>
  </r>
  <r>
    <s v="847"/>
    <x v="1"/>
    <n v="101000"/>
    <s v="2021-07-05"/>
    <s v="西瓜"/>
    <s v="李小怡"/>
  </r>
  <r>
    <s v="848"/>
    <x v="3"/>
    <n v="55000"/>
    <s v="2021-07-07"/>
    <s v="香蕉"/>
    <s v="方小文"/>
  </r>
  <r>
    <s v="849"/>
    <x v="5"/>
    <n v="273000"/>
    <s v="2021-07-09"/>
    <s v="芒果"/>
    <s v="李小怡"/>
  </r>
  <r>
    <s v="850"/>
    <x v="0"/>
    <n v="57000"/>
    <s v="2021-07-11"/>
    <s v="芒果"/>
    <s v="方小文"/>
  </r>
  <r>
    <s v="851"/>
    <x v="6"/>
    <n v="52000"/>
    <s v="2021-07-12"/>
    <s v="香蕉"/>
    <s v="林小玉"/>
  </r>
  <r>
    <s v="852"/>
    <x v="2"/>
    <n v="204000"/>
    <s v="2021-07-13"/>
    <s v="蘋果"/>
    <s v="江小花"/>
  </r>
  <r>
    <s v="853"/>
    <x v="4"/>
    <n v="281000"/>
    <s v="2021-07-14"/>
    <s v="柚子"/>
    <s v="楊小杉"/>
  </r>
  <r>
    <s v="854"/>
    <x v="4"/>
    <n v="131000"/>
    <s v="2021-07-14"/>
    <s v="蘋果"/>
    <s v="吳小亮"/>
  </r>
  <r>
    <s v="855"/>
    <x v="5"/>
    <n v="260000"/>
    <s v="2021-07-14"/>
    <s v="西瓜"/>
    <s v="林小玉"/>
  </r>
  <r>
    <s v="856"/>
    <x v="3"/>
    <n v="162000"/>
    <s v="2021-07-17"/>
    <s v="柚子"/>
    <s v="吳小亮"/>
  </r>
  <r>
    <s v="857"/>
    <x v="1"/>
    <n v="243000"/>
    <s v="2021-07-17"/>
    <s v="西瓜"/>
    <s v="江小花"/>
  </r>
  <r>
    <s v="858"/>
    <x v="3"/>
    <n v="219000"/>
    <s v="2021-07-21"/>
    <s v="芒果"/>
    <s v="郭小婷"/>
  </r>
  <r>
    <s v="859"/>
    <x v="3"/>
    <n v="99000"/>
    <s v="2021-07-22"/>
    <s v="香蕉"/>
    <s v="林小玉"/>
  </r>
  <r>
    <s v="860"/>
    <x v="3"/>
    <n v="299000"/>
    <s v="2021-07-22"/>
    <s v="蘋果"/>
    <s v="李小怡"/>
  </r>
  <r>
    <s v="861"/>
    <x v="3"/>
    <n v="292000"/>
    <s v="2021-07-22"/>
    <s v="蘋果"/>
    <s v="方小文"/>
  </r>
  <r>
    <s v="862"/>
    <x v="5"/>
    <n v="163000"/>
    <s v="2021-07-28"/>
    <s v="柚子"/>
    <s v="楊小杉"/>
  </r>
  <r>
    <s v="863"/>
    <x v="0"/>
    <n v="240000"/>
    <s v="2021-07-29"/>
    <s v="西瓜"/>
    <s v="郭小婷"/>
  </r>
  <r>
    <s v="864"/>
    <x v="0"/>
    <n v="232000"/>
    <s v="2021-07-31"/>
    <s v="鳳梨"/>
    <s v="江小花"/>
  </r>
  <r>
    <s v="865"/>
    <x v="6"/>
    <n v="187000"/>
    <s v="2021-08-01"/>
    <s v="鳳梨"/>
    <s v="郭小婷"/>
  </r>
  <r>
    <s v="866"/>
    <x v="4"/>
    <n v="40000"/>
    <s v="2021-08-01"/>
    <s v="香蕉"/>
    <s v="吳小亮"/>
  </r>
  <r>
    <s v="867"/>
    <x v="4"/>
    <n v="57000"/>
    <s v="2021-08-02"/>
    <s v="芒果"/>
    <s v="江小花"/>
  </r>
  <r>
    <s v="868"/>
    <x v="6"/>
    <n v="63000"/>
    <s v="2021-08-02"/>
    <s v="芒果"/>
    <s v="方小文"/>
  </r>
  <r>
    <s v="869"/>
    <x v="3"/>
    <n v="212000"/>
    <s v="2021-08-04"/>
    <s v="蘋果"/>
    <s v="郭小婷"/>
  </r>
  <r>
    <s v="870"/>
    <x v="5"/>
    <n v="37000"/>
    <s v="2021-08-05"/>
    <s v="柚子"/>
    <s v="李小怡"/>
  </r>
  <r>
    <s v="871"/>
    <x v="0"/>
    <n v="53000"/>
    <s v="2021-08-06"/>
    <s v="柚子"/>
    <s v="楊小杉"/>
  </r>
  <r>
    <s v="872"/>
    <x v="4"/>
    <n v="32000"/>
    <s v="2021-08-06"/>
    <s v="芒果"/>
    <s v="江小花"/>
  </r>
  <r>
    <s v="873"/>
    <x v="4"/>
    <n v="109000"/>
    <s v="2021-08-09"/>
    <s v="蘋果"/>
    <s v="李小怡"/>
  </r>
  <r>
    <s v="874"/>
    <x v="1"/>
    <n v="292000"/>
    <s v="2021-08-09"/>
    <s v="香蕉"/>
    <s v="郭小婷"/>
  </r>
  <r>
    <s v="875"/>
    <x v="1"/>
    <n v="202000"/>
    <s v="2021-08-09"/>
    <s v="鳳梨"/>
    <s v="林阿杰"/>
  </r>
  <r>
    <s v="876"/>
    <x v="5"/>
    <n v="101000"/>
    <s v="2021-08-12"/>
    <s v="柚子"/>
    <s v="郭小婷"/>
  </r>
  <r>
    <s v="877"/>
    <x v="0"/>
    <n v="114000"/>
    <s v="2021-08-14"/>
    <s v="西瓜"/>
    <s v="方小文"/>
  </r>
  <r>
    <s v="878"/>
    <x v="1"/>
    <n v="205000"/>
    <s v="2021-08-15"/>
    <s v="西瓜"/>
    <s v="江小花"/>
  </r>
  <r>
    <s v="879"/>
    <x v="2"/>
    <n v="279000"/>
    <s v="2021-08-16"/>
    <s v="鳳梨"/>
    <s v="楊小杉"/>
  </r>
  <r>
    <s v="880"/>
    <x v="4"/>
    <n v="231000"/>
    <s v="2021-08-17"/>
    <s v="西瓜"/>
    <s v="江小花"/>
  </r>
  <r>
    <s v="881"/>
    <x v="5"/>
    <n v="299000"/>
    <s v="2021-08-17"/>
    <s v="芒果"/>
    <s v="方小文"/>
  </r>
  <r>
    <s v="882"/>
    <x v="1"/>
    <n v="290000"/>
    <s v="2021-08-17"/>
    <s v="鳳梨"/>
    <s v="李小怡"/>
  </r>
  <r>
    <s v="883"/>
    <x v="1"/>
    <n v="36000"/>
    <s v="2021-08-18"/>
    <s v="西瓜"/>
    <s v="林阿杰"/>
  </r>
  <r>
    <s v="884"/>
    <x v="4"/>
    <n v="185000"/>
    <s v="2021-08-18"/>
    <s v="芒果"/>
    <s v="江小花"/>
  </r>
  <r>
    <s v="885"/>
    <x v="2"/>
    <n v="227000"/>
    <s v="2021-08-19"/>
    <s v="蘋果"/>
    <s v="林阿杰"/>
  </r>
  <r>
    <s v="886"/>
    <x v="4"/>
    <n v="237000"/>
    <s v="2021-08-19"/>
    <s v="西瓜"/>
    <s v="吳小亮"/>
  </r>
  <r>
    <s v="887"/>
    <x v="1"/>
    <n v="119000"/>
    <s v="2021-08-19"/>
    <s v="柚子"/>
    <s v="吳小亮"/>
  </r>
  <r>
    <s v="888"/>
    <x v="6"/>
    <n v="220000"/>
    <s v="2021-08-21"/>
    <s v="蘋果"/>
    <s v="林阿杰"/>
  </r>
  <r>
    <s v="889"/>
    <x v="2"/>
    <n v="207000"/>
    <s v="2021-08-22"/>
    <s v="柚子"/>
    <s v="林阿杰"/>
  </r>
  <r>
    <s v="890"/>
    <x v="1"/>
    <n v="109000"/>
    <s v="2021-08-22"/>
    <s v="蘋果"/>
    <s v="林小玉"/>
  </r>
  <r>
    <s v="891"/>
    <x v="2"/>
    <n v="79000"/>
    <s v="2021-08-23"/>
    <s v="香蕉"/>
    <s v="葉小美"/>
  </r>
  <r>
    <s v="892"/>
    <x v="5"/>
    <n v="49000"/>
    <s v="2021-08-23"/>
    <s v="鳳梨"/>
    <s v="楊小杉"/>
  </r>
  <r>
    <s v="893"/>
    <x v="4"/>
    <n v="139000"/>
    <s v="2021-08-23"/>
    <s v="柚子"/>
    <s v="吳小亮"/>
  </r>
  <r>
    <s v="894"/>
    <x v="4"/>
    <n v="241000"/>
    <s v="2021-08-25"/>
    <s v="芒果"/>
    <s v="林小玉"/>
  </r>
  <r>
    <s v="895"/>
    <x v="0"/>
    <n v="68000"/>
    <s v="2021-08-25"/>
    <s v="西瓜"/>
    <s v="楊小杉"/>
  </r>
  <r>
    <s v="896"/>
    <x v="4"/>
    <n v="193000"/>
    <s v="2021-08-25"/>
    <s v="香蕉"/>
    <s v="郭小婷"/>
  </r>
  <r>
    <s v="897"/>
    <x v="2"/>
    <n v="96000"/>
    <s v="2021-08-26"/>
    <s v="鳳梨"/>
    <s v="江小花"/>
  </r>
  <r>
    <s v="898"/>
    <x v="0"/>
    <n v="252000"/>
    <s v="2021-08-26"/>
    <s v="鳳梨"/>
    <s v="吳小亮"/>
  </r>
  <r>
    <s v="899"/>
    <x v="0"/>
    <n v="108000"/>
    <s v="2021-08-26"/>
    <s v="柚子"/>
    <s v="郭小婷"/>
  </r>
  <r>
    <s v="900"/>
    <x v="3"/>
    <n v="274000"/>
    <s v="2021-08-27"/>
    <s v="西瓜"/>
    <s v="李小怡"/>
  </r>
  <r>
    <s v="901"/>
    <x v="2"/>
    <n v="184000"/>
    <s v="2021-08-28"/>
    <s v="香蕉"/>
    <s v="李小怡"/>
  </r>
  <r>
    <s v="902"/>
    <x v="2"/>
    <n v="193000"/>
    <s v="2021-08-28"/>
    <s v="西瓜"/>
    <s v="方小文"/>
  </r>
  <r>
    <s v="903"/>
    <x v="0"/>
    <n v="240000"/>
    <s v="2021-08-29"/>
    <s v="鳳梨"/>
    <s v="吳小亮"/>
  </r>
  <r>
    <s v="904"/>
    <x v="5"/>
    <n v="213000"/>
    <s v="2021-08-30"/>
    <s v="芒果"/>
    <s v="李小怡"/>
  </r>
  <r>
    <s v="905"/>
    <x v="5"/>
    <n v="237000"/>
    <s v="2021-08-31"/>
    <s v="鳳梨"/>
    <s v="林阿杰"/>
  </r>
  <r>
    <s v="906"/>
    <x v="0"/>
    <n v="189000"/>
    <s v="2021-09-02"/>
    <s v="香蕉"/>
    <s v="葉小美"/>
  </r>
  <r>
    <s v="907"/>
    <x v="3"/>
    <n v="232000"/>
    <s v="2021-09-03"/>
    <s v="柚子"/>
    <s v="李小怡"/>
  </r>
  <r>
    <s v="908"/>
    <x v="3"/>
    <n v="82000"/>
    <s v="2021-09-03"/>
    <s v="蘋果"/>
    <s v="李小怡"/>
  </r>
  <r>
    <s v="909"/>
    <x v="6"/>
    <n v="300000"/>
    <s v="2021-09-03"/>
    <s v="柚子"/>
    <s v="葉小美"/>
  </r>
  <r>
    <s v="910"/>
    <x v="3"/>
    <n v="73000"/>
    <s v="2021-09-03"/>
    <s v="西瓜"/>
    <s v="葉小美"/>
  </r>
  <r>
    <s v="911"/>
    <x v="3"/>
    <n v="175000"/>
    <s v="2021-09-06"/>
    <s v="芒果"/>
    <s v="葉小美"/>
  </r>
  <r>
    <s v="912"/>
    <x v="4"/>
    <n v="223000"/>
    <s v="2021-09-10"/>
    <s v="香蕉"/>
    <s v="李小怡"/>
  </r>
  <r>
    <s v="913"/>
    <x v="0"/>
    <n v="81000"/>
    <s v="2021-09-12"/>
    <s v="西瓜"/>
    <s v="江小花"/>
  </r>
  <r>
    <s v="914"/>
    <x v="3"/>
    <n v="277000"/>
    <s v="2021-09-13"/>
    <s v="柚子"/>
    <s v="吳小亮"/>
  </r>
  <r>
    <s v="915"/>
    <x v="5"/>
    <n v="277000"/>
    <s v="2021-09-16"/>
    <s v="香蕉"/>
    <s v="林阿杰"/>
  </r>
  <r>
    <s v="916"/>
    <x v="5"/>
    <n v="90000"/>
    <s v="2021-09-16"/>
    <s v="鳳梨"/>
    <s v="葉小美"/>
  </r>
  <r>
    <s v="917"/>
    <x v="6"/>
    <n v="38000"/>
    <s v="2021-09-16"/>
    <s v="香蕉"/>
    <s v="吳小亮"/>
  </r>
  <r>
    <s v="918"/>
    <x v="5"/>
    <n v="292000"/>
    <s v="2021-09-17"/>
    <s v="蘋果"/>
    <s v="林小玉"/>
  </r>
  <r>
    <s v="919"/>
    <x v="4"/>
    <n v="88000"/>
    <s v="2021-09-19"/>
    <s v="蘋果"/>
    <s v="吳小亮"/>
  </r>
  <r>
    <s v="920"/>
    <x v="0"/>
    <n v="292000"/>
    <s v="2021-09-20"/>
    <s v="西瓜"/>
    <s v="吳小亮"/>
  </r>
  <r>
    <s v="921"/>
    <x v="3"/>
    <n v="69000"/>
    <s v="2021-09-20"/>
    <s v="芒果"/>
    <s v="葉小美"/>
  </r>
  <r>
    <s v="922"/>
    <x v="0"/>
    <n v="83000"/>
    <s v="2021-09-21"/>
    <s v="鳳梨"/>
    <s v="林小玉"/>
  </r>
  <r>
    <s v="923"/>
    <x v="1"/>
    <n v="42000"/>
    <s v="2021-09-22"/>
    <s v="柚子"/>
    <s v="林阿杰"/>
  </r>
  <r>
    <s v="924"/>
    <x v="5"/>
    <n v="144000"/>
    <s v="2021-09-23"/>
    <s v="蘋果"/>
    <s v="吳小亮"/>
  </r>
  <r>
    <s v="925"/>
    <x v="3"/>
    <n v="88000"/>
    <s v="2021-09-25"/>
    <s v="芒果"/>
    <s v="李小怡"/>
  </r>
  <r>
    <s v="926"/>
    <x v="4"/>
    <n v="217000"/>
    <s v="2021-09-25"/>
    <s v="芒果"/>
    <s v="林小玉"/>
  </r>
  <r>
    <s v="927"/>
    <x v="1"/>
    <n v="30000"/>
    <s v="2021-09-27"/>
    <s v="香蕉"/>
    <s v="李小怡"/>
  </r>
  <r>
    <s v="928"/>
    <x v="3"/>
    <n v="143000"/>
    <s v="2021-10-02"/>
    <s v="柚子"/>
    <s v="吳小亮"/>
  </r>
  <r>
    <s v="929"/>
    <x v="1"/>
    <n v="163000"/>
    <s v="2021-10-03"/>
    <s v="柚子"/>
    <s v="林小玉"/>
  </r>
  <r>
    <s v="930"/>
    <x v="0"/>
    <n v="124000"/>
    <s v="2021-10-04"/>
    <s v="鳳梨"/>
    <s v="吳小亮"/>
  </r>
  <r>
    <s v="931"/>
    <x v="5"/>
    <n v="184000"/>
    <s v="2021-10-05"/>
    <s v="蘋果"/>
    <s v="方小文"/>
  </r>
  <r>
    <s v="932"/>
    <x v="4"/>
    <n v="111000"/>
    <s v="2021-10-06"/>
    <s v="鳳梨"/>
    <s v="葉小美"/>
  </r>
  <r>
    <s v="933"/>
    <x v="5"/>
    <n v="297000"/>
    <s v="2021-10-07"/>
    <s v="柚子"/>
    <s v="吳小亮"/>
  </r>
  <r>
    <s v="934"/>
    <x v="6"/>
    <n v="139000"/>
    <s v="2021-10-08"/>
    <s v="柚子"/>
    <s v="郭小婷"/>
  </r>
  <r>
    <s v="935"/>
    <x v="5"/>
    <n v="252000"/>
    <s v="2021-10-08"/>
    <s v="西瓜"/>
    <s v="楊小杉"/>
  </r>
  <r>
    <s v="936"/>
    <x v="4"/>
    <n v="69000"/>
    <s v="2021-10-10"/>
    <s v="柚子"/>
    <s v="吳小亮"/>
  </r>
  <r>
    <s v="937"/>
    <x v="4"/>
    <n v="64000"/>
    <s v="2021-10-10"/>
    <s v="香蕉"/>
    <s v="吳小亮"/>
  </r>
  <r>
    <s v="938"/>
    <x v="6"/>
    <n v="86000"/>
    <s v="2021-10-10"/>
    <s v="鳳梨"/>
    <s v="郭小婷"/>
  </r>
  <r>
    <s v="939"/>
    <x v="3"/>
    <n v="113000"/>
    <s v="2021-10-16"/>
    <s v="芒果"/>
    <s v="葉小美"/>
  </r>
  <r>
    <s v="940"/>
    <x v="2"/>
    <n v="257000"/>
    <s v="2021-10-20"/>
    <s v="西瓜"/>
    <s v="林阿杰"/>
  </r>
  <r>
    <s v="941"/>
    <x v="6"/>
    <n v="200000"/>
    <s v="2021-10-21"/>
    <s v="西瓜"/>
    <s v="林小玉"/>
  </r>
  <r>
    <s v="942"/>
    <x v="3"/>
    <n v="71000"/>
    <s v="2021-10-21"/>
    <s v="芒果"/>
    <s v="葉小美"/>
  </r>
  <r>
    <s v="943"/>
    <x v="0"/>
    <n v="32000"/>
    <s v="2021-10-23"/>
    <s v="香蕉"/>
    <s v="吳小亮"/>
  </r>
  <r>
    <s v="944"/>
    <x v="6"/>
    <n v="154000"/>
    <s v="2021-10-23"/>
    <s v="芒果"/>
    <s v="方小文"/>
  </r>
  <r>
    <s v="945"/>
    <x v="0"/>
    <n v="106000"/>
    <s v="2021-10-23"/>
    <s v="芒果"/>
    <s v="吳小亮"/>
  </r>
  <r>
    <s v="946"/>
    <x v="1"/>
    <n v="298000"/>
    <s v="2021-10-25"/>
    <s v="香蕉"/>
    <s v="林小玉"/>
  </r>
  <r>
    <s v="947"/>
    <x v="2"/>
    <n v="72000"/>
    <s v="2021-10-26"/>
    <s v="鳳梨"/>
    <s v="葉小美"/>
  </r>
  <r>
    <s v="948"/>
    <x v="2"/>
    <n v="98000"/>
    <s v="2021-10-27"/>
    <s v="西瓜"/>
    <s v="楊小杉"/>
  </r>
  <r>
    <s v="949"/>
    <x v="0"/>
    <n v="41000"/>
    <s v="2021-10-28"/>
    <s v="鳳梨"/>
    <s v="方小文"/>
  </r>
  <r>
    <s v="950"/>
    <x v="6"/>
    <n v="260000"/>
    <s v="2021-10-29"/>
    <s v="鳳梨"/>
    <s v="方小文"/>
  </r>
  <r>
    <s v="951"/>
    <x v="5"/>
    <n v="230000"/>
    <s v="2021-11-03"/>
    <s v="香蕉"/>
    <s v="楊小杉"/>
  </r>
  <r>
    <s v="952"/>
    <x v="2"/>
    <n v="95000"/>
    <s v="2021-11-04"/>
    <s v="芒果"/>
    <s v="林小玉"/>
  </r>
  <r>
    <s v="953"/>
    <x v="4"/>
    <n v="285000"/>
    <s v="2021-11-05"/>
    <s v="西瓜"/>
    <s v="葉小美"/>
  </r>
  <r>
    <s v="954"/>
    <x v="0"/>
    <n v="115000"/>
    <s v="2021-11-07"/>
    <s v="香蕉"/>
    <s v="林阿杰"/>
  </r>
  <r>
    <s v="955"/>
    <x v="6"/>
    <n v="232000"/>
    <s v="2021-11-08"/>
    <s v="香蕉"/>
    <s v="林阿杰"/>
  </r>
  <r>
    <s v="956"/>
    <x v="6"/>
    <n v="279000"/>
    <s v="2021-11-09"/>
    <s v="香蕉"/>
    <s v="江小花"/>
  </r>
  <r>
    <s v="957"/>
    <x v="2"/>
    <n v="275000"/>
    <s v="2021-11-09"/>
    <s v="柚子"/>
    <s v="楊小杉"/>
  </r>
  <r>
    <s v="958"/>
    <x v="3"/>
    <n v="181000"/>
    <s v="2021-11-09"/>
    <s v="柚子"/>
    <s v="方小文"/>
  </r>
  <r>
    <s v="959"/>
    <x v="5"/>
    <n v="257000"/>
    <s v="2021-11-10"/>
    <s v="蘋果"/>
    <s v="楊小杉"/>
  </r>
  <r>
    <s v="960"/>
    <x v="6"/>
    <n v="178000"/>
    <s v="2021-11-11"/>
    <s v="香蕉"/>
    <s v="葉小美"/>
  </r>
  <r>
    <s v="961"/>
    <x v="4"/>
    <n v="271000"/>
    <s v="2021-11-12"/>
    <s v="芒果"/>
    <s v="楊小杉"/>
  </r>
  <r>
    <s v="962"/>
    <x v="2"/>
    <n v="299000"/>
    <s v="2021-11-13"/>
    <s v="鳳梨"/>
    <s v="吳小亮"/>
  </r>
  <r>
    <s v="963"/>
    <x v="2"/>
    <n v="110000"/>
    <s v="2021-11-13"/>
    <s v="芒果"/>
    <s v="楊小杉"/>
  </r>
  <r>
    <s v="964"/>
    <x v="2"/>
    <n v="276000"/>
    <s v="2021-11-15"/>
    <s v="香蕉"/>
    <s v="吳小亮"/>
  </r>
  <r>
    <s v="965"/>
    <x v="5"/>
    <n v="268000"/>
    <s v="2021-11-15"/>
    <s v="鳳梨"/>
    <s v="方小文"/>
  </r>
  <r>
    <s v="966"/>
    <x v="4"/>
    <n v="210000"/>
    <s v="2021-11-17"/>
    <s v="西瓜"/>
    <s v="林阿杰"/>
  </r>
  <r>
    <s v="967"/>
    <x v="1"/>
    <n v="169000"/>
    <s v="2021-11-18"/>
    <s v="蘋果"/>
    <s v="葉小美"/>
  </r>
  <r>
    <s v="968"/>
    <x v="0"/>
    <n v="284000"/>
    <s v="2021-11-18"/>
    <s v="鳳梨"/>
    <s v="方小文"/>
  </r>
  <r>
    <s v="969"/>
    <x v="2"/>
    <n v="160000"/>
    <s v="2021-11-18"/>
    <s v="芒果"/>
    <s v="郭小婷"/>
  </r>
  <r>
    <s v="970"/>
    <x v="1"/>
    <n v="288000"/>
    <s v="2021-11-19"/>
    <s v="蘋果"/>
    <s v="楊小杉"/>
  </r>
  <r>
    <s v="971"/>
    <x v="2"/>
    <n v="92000"/>
    <s v="2021-11-20"/>
    <s v="芒果"/>
    <s v="林阿杰"/>
  </r>
  <r>
    <s v="972"/>
    <x v="0"/>
    <n v="61000"/>
    <s v="2021-11-21"/>
    <s v="西瓜"/>
    <s v="葉小美"/>
  </r>
  <r>
    <s v="973"/>
    <x v="2"/>
    <n v="137000"/>
    <s v="2021-11-23"/>
    <s v="芒果"/>
    <s v="郭小婷"/>
  </r>
  <r>
    <s v="974"/>
    <x v="0"/>
    <n v="263000"/>
    <s v="2021-11-24"/>
    <s v="西瓜"/>
    <s v="葉小美"/>
  </r>
  <r>
    <s v="975"/>
    <x v="1"/>
    <n v="234000"/>
    <s v="2021-11-26"/>
    <s v="蘋果"/>
    <s v="林小玉"/>
  </r>
  <r>
    <s v="976"/>
    <x v="0"/>
    <n v="270000"/>
    <s v="2021-11-27"/>
    <s v="西瓜"/>
    <s v="江小花"/>
  </r>
  <r>
    <s v="977"/>
    <x v="0"/>
    <n v="114000"/>
    <s v="2021-11-27"/>
    <s v="蘋果"/>
    <s v="林小玉"/>
  </r>
  <r>
    <s v="978"/>
    <x v="3"/>
    <n v="224000"/>
    <s v="2021-11-29"/>
    <s v="蘋果"/>
    <s v="李小怡"/>
  </r>
  <r>
    <s v="979"/>
    <x v="4"/>
    <n v="207000"/>
    <s v="2021-11-29"/>
    <s v="芒果"/>
    <s v="郭小婷"/>
  </r>
  <r>
    <s v="980"/>
    <x v="3"/>
    <n v="137000"/>
    <s v="2021-11-30"/>
    <s v="香蕉"/>
    <s v="李小怡"/>
  </r>
  <r>
    <s v="981"/>
    <x v="3"/>
    <n v="257000"/>
    <s v="2021-12-01"/>
    <s v="柚子"/>
    <s v="江小花"/>
  </r>
  <r>
    <s v="982"/>
    <x v="0"/>
    <n v="46000"/>
    <s v="2021-12-05"/>
    <s v="西瓜"/>
    <s v="吳小亮"/>
  </r>
  <r>
    <s v="983"/>
    <x v="5"/>
    <n v="155000"/>
    <s v="2021-12-07"/>
    <s v="蘋果"/>
    <s v="楊小杉"/>
  </r>
  <r>
    <s v="984"/>
    <x v="5"/>
    <n v="121000"/>
    <s v="2021-12-08"/>
    <s v="西瓜"/>
    <s v="楊小杉"/>
  </r>
  <r>
    <s v="985"/>
    <x v="5"/>
    <n v="283000"/>
    <s v="2021-12-08"/>
    <s v="香蕉"/>
    <s v="葉小美"/>
  </r>
  <r>
    <s v="986"/>
    <x v="1"/>
    <n v="289000"/>
    <s v="2021-12-11"/>
    <s v="香蕉"/>
    <s v="林小玉"/>
  </r>
  <r>
    <s v="987"/>
    <x v="5"/>
    <n v="120000"/>
    <s v="2021-12-13"/>
    <s v="香蕉"/>
    <s v="李小怡"/>
  </r>
  <r>
    <s v="988"/>
    <x v="0"/>
    <n v="236000"/>
    <s v="2021-12-13"/>
    <s v="鳳梨"/>
    <s v="林阿杰"/>
  </r>
  <r>
    <s v="989"/>
    <x v="6"/>
    <n v="227000"/>
    <s v="2021-12-14"/>
    <s v="西瓜"/>
    <s v="李小怡"/>
  </r>
  <r>
    <s v="990"/>
    <x v="2"/>
    <n v="278000"/>
    <s v="2021-12-14"/>
    <s v="柚子"/>
    <s v="江小花"/>
  </r>
  <r>
    <s v="991"/>
    <x v="5"/>
    <n v="126000"/>
    <s v="2021-12-16"/>
    <s v="鳳梨"/>
    <s v="郭小婷"/>
  </r>
  <r>
    <s v="992"/>
    <x v="4"/>
    <n v="96000"/>
    <s v="2021-12-18"/>
    <s v="蘋果"/>
    <s v="方小文"/>
  </r>
  <r>
    <s v="993"/>
    <x v="2"/>
    <n v="291000"/>
    <s v="2021-12-19"/>
    <s v="柚子"/>
    <s v="楊小杉"/>
  </r>
  <r>
    <s v="994"/>
    <x v="1"/>
    <n v="106000"/>
    <s v="2021-12-22"/>
    <s v="芒果"/>
    <s v="吳小亮"/>
  </r>
  <r>
    <s v="995"/>
    <x v="0"/>
    <n v="126000"/>
    <s v="2021-12-23"/>
    <s v="西瓜"/>
    <s v="郭小婷"/>
  </r>
  <r>
    <s v="996"/>
    <x v="3"/>
    <n v="279000"/>
    <s v="2021-12-25"/>
    <s v="柚子"/>
    <s v="李小怡"/>
  </r>
  <r>
    <s v="997"/>
    <x v="6"/>
    <n v="277000"/>
    <s v="2021-12-26"/>
    <s v="香蕉"/>
    <s v="吳小亮"/>
  </r>
  <r>
    <s v="998"/>
    <x v="4"/>
    <n v="248000"/>
    <s v="2021-12-27"/>
    <s v="柚子"/>
    <s v="林小玉"/>
  </r>
  <r>
    <s v="999"/>
    <x v="2"/>
    <n v="183000"/>
    <s v="2021-12-29"/>
    <s v="香蕉"/>
    <s v="郭小婷"/>
  </r>
  <r>
    <s v="1000"/>
    <x v="6"/>
    <n v="77000"/>
    <s v="2021-12-31"/>
    <s v="鳳梨"/>
    <s v="吳小亮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1"/>
    <s v="9"/>
    <s v="4"/>
    <s v="6"/>
    <n v="41000"/>
    <x v="0"/>
    <x v="0"/>
    <x v="0"/>
  </r>
  <r>
    <s v="2"/>
    <s v="4"/>
    <s v="6"/>
    <s v="4"/>
    <n v="230000"/>
    <x v="1"/>
    <x v="0"/>
    <x v="0"/>
  </r>
  <r>
    <s v="3"/>
    <s v="2"/>
    <s v="1"/>
    <s v="3"/>
    <n v="154000"/>
    <x v="2"/>
    <x v="0"/>
    <x v="0"/>
  </r>
  <r>
    <s v="4"/>
    <s v="8"/>
    <s v="3"/>
    <s v="3"/>
    <n v="170000"/>
    <x v="3"/>
    <x v="0"/>
    <x v="0"/>
  </r>
  <r>
    <s v="5"/>
    <s v="1"/>
    <s v="5"/>
    <s v="2"/>
    <n v="100000"/>
    <x v="3"/>
    <x v="0"/>
    <x v="0"/>
  </r>
  <r>
    <s v="6"/>
    <s v="6"/>
    <s v="2"/>
    <s v="4"/>
    <n v="139000"/>
    <x v="4"/>
    <x v="0"/>
    <x v="0"/>
  </r>
  <r>
    <s v="7"/>
    <s v="7"/>
    <s v="1"/>
    <s v="1"/>
    <n v="93000"/>
    <x v="5"/>
    <x v="0"/>
    <x v="0"/>
  </r>
  <r>
    <s v="8"/>
    <s v="9"/>
    <s v="1"/>
    <s v="3"/>
    <n v="247000"/>
    <x v="6"/>
    <x v="0"/>
    <x v="0"/>
  </r>
  <r>
    <s v="9"/>
    <s v="4"/>
    <s v="3"/>
    <s v="5"/>
    <n v="58000"/>
    <x v="7"/>
    <x v="0"/>
    <x v="0"/>
  </r>
  <r>
    <s v="10"/>
    <s v="2"/>
    <s v="3"/>
    <s v="1"/>
    <n v="231000"/>
    <x v="7"/>
    <x v="0"/>
    <x v="0"/>
  </r>
  <r>
    <s v="11"/>
    <s v="8"/>
    <s v="6"/>
    <s v="6"/>
    <n v="183000"/>
    <x v="7"/>
    <x v="0"/>
    <x v="0"/>
  </r>
  <r>
    <s v="12"/>
    <s v="8"/>
    <s v="2"/>
    <s v="3"/>
    <n v="156000"/>
    <x v="8"/>
    <x v="0"/>
    <x v="0"/>
  </r>
  <r>
    <s v="13"/>
    <s v="7"/>
    <s v="4"/>
    <s v="3"/>
    <n v="66000"/>
    <x v="8"/>
    <x v="0"/>
    <x v="0"/>
  </r>
  <r>
    <s v="14"/>
    <s v="2"/>
    <s v="5"/>
    <s v="2"/>
    <n v="80000"/>
    <x v="9"/>
    <x v="0"/>
    <x v="0"/>
  </r>
  <r>
    <s v="15"/>
    <s v="5"/>
    <s v="6"/>
    <s v="4"/>
    <n v="31000"/>
    <x v="9"/>
    <x v="0"/>
    <x v="0"/>
  </r>
  <r>
    <s v="16"/>
    <s v="9"/>
    <s v="2"/>
    <s v="5"/>
    <n v="217000"/>
    <x v="9"/>
    <x v="0"/>
    <x v="0"/>
  </r>
  <r>
    <s v="17"/>
    <s v="9"/>
    <s v="3"/>
    <s v="1"/>
    <n v="239000"/>
    <x v="9"/>
    <x v="0"/>
    <x v="0"/>
  </r>
  <r>
    <s v="18"/>
    <s v="2"/>
    <s v="6"/>
    <s v="4"/>
    <n v="120000"/>
    <x v="10"/>
    <x v="0"/>
    <x v="0"/>
  </r>
  <r>
    <s v="19"/>
    <s v="2"/>
    <s v="6"/>
    <s v="1"/>
    <n v="246000"/>
    <x v="10"/>
    <x v="0"/>
    <x v="0"/>
  </r>
  <r>
    <s v="20"/>
    <s v="4"/>
    <s v="2"/>
    <s v="5"/>
    <n v="79000"/>
    <x v="11"/>
    <x v="0"/>
    <x v="0"/>
  </r>
  <r>
    <s v="21"/>
    <s v="2"/>
    <s v="3"/>
    <s v="4"/>
    <n v="167000"/>
    <x v="11"/>
    <x v="0"/>
    <x v="0"/>
  </r>
  <r>
    <s v="22"/>
    <s v="4"/>
    <s v="6"/>
    <s v="6"/>
    <n v="111000"/>
    <x v="12"/>
    <x v="0"/>
    <x v="0"/>
  </r>
  <r>
    <s v="23"/>
    <s v="5"/>
    <s v="2"/>
    <s v="5"/>
    <n v="215000"/>
    <x v="12"/>
    <x v="0"/>
    <x v="0"/>
  </r>
  <r>
    <s v="24"/>
    <s v="3"/>
    <s v="4"/>
    <s v="2"/>
    <n v="84000"/>
    <x v="12"/>
    <x v="0"/>
    <x v="0"/>
  </r>
  <r>
    <s v="25"/>
    <s v="2"/>
    <s v="3"/>
    <s v="1"/>
    <n v="275000"/>
    <x v="12"/>
    <x v="0"/>
    <x v="0"/>
  </r>
  <r>
    <s v="26"/>
    <s v="4"/>
    <s v="2"/>
    <s v="2"/>
    <n v="119000"/>
    <x v="13"/>
    <x v="0"/>
    <x v="0"/>
  </r>
  <r>
    <s v="27"/>
    <s v="3"/>
    <s v="6"/>
    <s v="2"/>
    <n v="88000"/>
    <x v="14"/>
    <x v="0"/>
    <x v="0"/>
  </r>
  <r>
    <s v="28"/>
    <s v="2"/>
    <s v="1"/>
    <s v="3"/>
    <n v="199000"/>
    <x v="15"/>
    <x v="0"/>
    <x v="0"/>
  </r>
  <r>
    <s v="29"/>
    <s v="5"/>
    <s v="5"/>
    <s v="3"/>
    <n v="47000"/>
    <x v="15"/>
    <x v="0"/>
    <x v="0"/>
  </r>
  <r>
    <s v="30"/>
    <s v="2"/>
    <s v="2"/>
    <s v="1"/>
    <n v="52000"/>
    <x v="16"/>
    <x v="0"/>
    <x v="0"/>
  </r>
  <r>
    <s v="31"/>
    <s v="1"/>
    <s v="7"/>
    <s v="3"/>
    <n v="141000"/>
    <x v="17"/>
    <x v="0"/>
    <x v="0"/>
  </r>
  <r>
    <s v="32"/>
    <s v="3"/>
    <s v="6"/>
    <s v="2"/>
    <n v="273000"/>
    <x v="17"/>
    <x v="0"/>
    <x v="0"/>
  </r>
  <r>
    <s v="33"/>
    <s v="8"/>
    <s v="6"/>
    <s v="5"/>
    <n v="268000"/>
    <x v="18"/>
    <x v="0"/>
    <x v="0"/>
  </r>
  <r>
    <s v="34"/>
    <s v="1"/>
    <s v="1"/>
    <s v="5"/>
    <n v="255000"/>
    <x v="18"/>
    <x v="0"/>
    <x v="0"/>
  </r>
  <r>
    <s v="35"/>
    <s v="2"/>
    <s v="7"/>
    <s v="6"/>
    <n v="105000"/>
    <x v="19"/>
    <x v="0"/>
    <x v="0"/>
  </r>
  <r>
    <s v="36"/>
    <s v="9"/>
    <s v="2"/>
    <s v="6"/>
    <n v="238000"/>
    <x v="20"/>
    <x v="0"/>
    <x v="0"/>
  </r>
  <r>
    <s v="37"/>
    <s v="6"/>
    <s v="4"/>
    <s v="3"/>
    <n v="222000"/>
    <x v="20"/>
    <x v="0"/>
    <x v="0"/>
  </r>
  <r>
    <s v="38"/>
    <s v="4"/>
    <s v="3"/>
    <s v="2"/>
    <n v="270000"/>
    <x v="21"/>
    <x v="0"/>
    <x v="0"/>
  </r>
  <r>
    <s v="39"/>
    <s v="5"/>
    <s v="2"/>
    <s v="6"/>
    <n v="244000"/>
    <x v="21"/>
    <x v="0"/>
    <x v="0"/>
  </r>
  <r>
    <s v="40"/>
    <s v="8"/>
    <s v="4"/>
    <s v="6"/>
    <n v="64000"/>
    <x v="22"/>
    <x v="0"/>
    <x v="1"/>
  </r>
  <r>
    <s v="41"/>
    <s v="8"/>
    <s v="1"/>
    <s v="6"/>
    <n v="130000"/>
    <x v="23"/>
    <x v="0"/>
    <x v="1"/>
  </r>
  <r>
    <s v="42"/>
    <s v="6"/>
    <s v="1"/>
    <s v="1"/>
    <n v="296000"/>
    <x v="24"/>
    <x v="0"/>
    <x v="1"/>
  </r>
  <r>
    <s v="43"/>
    <s v="2"/>
    <s v="6"/>
    <s v="5"/>
    <n v="173000"/>
    <x v="25"/>
    <x v="0"/>
    <x v="1"/>
  </r>
  <r>
    <s v="44"/>
    <s v="5"/>
    <s v="5"/>
    <s v="6"/>
    <n v="108000"/>
    <x v="26"/>
    <x v="0"/>
    <x v="1"/>
  </r>
  <r>
    <s v="45"/>
    <s v="8"/>
    <s v="6"/>
    <s v="3"/>
    <n v="138000"/>
    <x v="27"/>
    <x v="0"/>
    <x v="1"/>
  </r>
  <r>
    <s v="46"/>
    <s v="9"/>
    <s v="1"/>
    <s v="1"/>
    <n v="228000"/>
    <x v="27"/>
    <x v="0"/>
    <x v="1"/>
  </r>
  <r>
    <s v="47"/>
    <s v="6"/>
    <s v="5"/>
    <s v="5"/>
    <n v="60000"/>
    <x v="28"/>
    <x v="0"/>
    <x v="1"/>
  </r>
  <r>
    <s v="48"/>
    <s v="7"/>
    <s v="1"/>
    <s v="6"/>
    <n v="98000"/>
    <x v="29"/>
    <x v="0"/>
    <x v="1"/>
  </r>
  <r>
    <s v="49"/>
    <s v="3"/>
    <s v="5"/>
    <s v="5"/>
    <n v="251000"/>
    <x v="30"/>
    <x v="0"/>
    <x v="1"/>
  </r>
  <r>
    <s v="50"/>
    <s v="9"/>
    <s v="5"/>
    <s v="2"/>
    <n v="256000"/>
    <x v="31"/>
    <x v="0"/>
    <x v="1"/>
  </r>
  <r>
    <s v="51"/>
    <s v="6"/>
    <s v="3"/>
    <s v="2"/>
    <n v="120000"/>
    <x v="32"/>
    <x v="0"/>
    <x v="1"/>
  </r>
  <r>
    <s v="52"/>
    <s v="3"/>
    <s v="2"/>
    <s v="2"/>
    <n v="70000"/>
    <x v="33"/>
    <x v="0"/>
    <x v="1"/>
  </r>
  <r>
    <s v="53"/>
    <s v="3"/>
    <s v="6"/>
    <s v="1"/>
    <n v="33000"/>
    <x v="33"/>
    <x v="0"/>
    <x v="1"/>
  </r>
  <r>
    <s v="54"/>
    <s v="1"/>
    <s v="4"/>
    <s v="2"/>
    <n v="186000"/>
    <x v="34"/>
    <x v="0"/>
    <x v="1"/>
  </r>
  <r>
    <s v="55"/>
    <s v="6"/>
    <s v="5"/>
    <s v="2"/>
    <n v="204000"/>
    <x v="35"/>
    <x v="0"/>
    <x v="1"/>
  </r>
  <r>
    <s v="56"/>
    <s v="1"/>
    <s v="1"/>
    <s v="5"/>
    <n v="239000"/>
    <x v="35"/>
    <x v="0"/>
    <x v="1"/>
  </r>
  <r>
    <s v="57"/>
    <s v="9"/>
    <s v="7"/>
    <s v="6"/>
    <n v="258000"/>
    <x v="36"/>
    <x v="0"/>
    <x v="1"/>
  </r>
  <r>
    <s v="58"/>
    <s v="8"/>
    <s v="2"/>
    <s v="6"/>
    <n v="264000"/>
    <x v="37"/>
    <x v="0"/>
    <x v="1"/>
  </r>
  <r>
    <s v="59"/>
    <s v="4"/>
    <s v="3"/>
    <s v="1"/>
    <n v="287000"/>
    <x v="37"/>
    <x v="0"/>
    <x v="1"/>
  </r>
  <r>
    <s v="60"/>
    <s v="8"/>
    <s v="2"/>
    <s v="3"/>
    <n v="226000"/>
    <x v="37"/>
    <x v="0"/>
    <x v="1"/>
  </r>
  <r>
    <s v="61"/>
    <s v="2"/>
    <s v="7"/>
    <s v="1"/>
    <n v="246000"/>
    <x v="37"/>
    <x v="0"/>
    <x v="1"/>
  </r>
  <r>
    <s v="62"/>
    <s v="9"/>
    <s v="3"/>
    <s v="4"/>
    <n v="213000"/>
    <x v="38"/>
    <x v="0"/>
    <x v="1"/>
  </r>
  <r>
    <s v="63"/>
    <s v="2"/>
    <s v="3"/>
    <s v="3"/>
    <n v="249000"/>
    <x v="39"/>
    <x v="0"/>
    <x v="1"/>
  </r>
  <r>
    <s v="64"/>
    <s v="4"/>
    <s v="4"/>
    <s v="5"/>
    <n v="297000"/>
    <x v="39"/>
    <x v="0"/>
    <x v="1"/>
  </r>
  <r>
    <s v="65"/>
    <s v="7"/>
    <s v="3"/>
    <s v="2"/>
    <n v="180000"/>
    <x v="40"/>
    <x v="0"/>
    <x v="1"/>
  </r>
  <r>
    <s v="66"/>
    <s v="8"/>
    <s v="5"/>
    <s v="2"/>
    <n v="30000"/>
    <x v="41"/>
    <x v="0"/>
    <x v="1"/>
  </r>
  <r>
    <s v="67"/>
    <s v="4"/>
    <s v="2"/>
    <s v="6"/>
    <n v="106000"/>
    <x v="42"/>
    <x v="0"/>
    <x v="2"/>
  </r>
  <r>
    <s v="68"/>
    <s v="2"/>
    <s v="5"/>
    <s v="3"/>
    <n v="281000"/>
    <x v="43"/>
    <x v="0"/>
    <x v="2"/>
  </r>
  <r>
    <s v="69"/>
    <s v="9"/>
    <s v="4"/>
    <s v="5"/>
    <n v="92000"/>
    <x v="43"/>
    <x v="0"/>
    <x v="2"/>
  </r>
  <r>
    <s v="70"/>
    <s v="2"/>
    <s v="3"/>
    <s v="4"/>
    <n v="78000"/>
    <x v="44"/>
    <x v="0"/>
    <x v="2"/>
  </r>
  <r>
    <s v="71"/>
    <s v="3"/>
    <s v="4"/>
    <s v="6"/>
    <n v="192000"/>
    <x v="44"/>
    <x v="0"/>
    <x v="2"/>
  </r>
  <r>
    <s v="72"/>
    <s v="5"/>
    <s v="2"/>
    <s v="2"/>
    <n v="126000"/>
    <x v="45"/>
    <x v="0"/>
    <x v="2"/>
  </r>
  <r>
    <s v="73"/>
    <s v="8"/>
    <s v="2"/>
    <s v="6"/>
    <n v="115000"/>
    <x v="45"/>
    <x v="0"/>
    <x v="2"/>
  </r>
  <r>
    <s v="74"/>
    <s v="4"/>
    <s v="5"/>
    <s v="1"/>
    <n v="191000"/>
    <x v="46"/>
    <x v="0"/>
    <x v="2"/>
  </r>
  <r>
    <s v="75"/>
    <s v="5"/>
    <s v="4"/>
    <s v="4"/>
    <n v="289000"/>
    <x v="47"/>
    <x v="0"/>
    <x v="2"/>
  </r>
  <r>
    <s v="76"/>
    <s v="6"/>
    <s v="5"/>
    <s v="6"/>
    <n v="127000"/>
    <x v="47"/>
    <x v="0"/>
    <x v="2"/>
  </r>
  <r>
    <s v="77"/>
    <s v="2"/>
    <s v="2"/>
    <s v="5"/>
    <n v="207000"/>
    <x v="47"/>
    <x v="0"/>
    <x v="2"/>
  </r>
  <r>
    <s v="78"/>
    <s v="2"/>
    <s v="4"/>
    <s v="4"/>
    <n v="152000"/>
    <x v="48"/>
    <x v="0"/>
    <x v="2"/>
  </r>
  <r>
    <s v="79"/>
    <s v="7"/>
    <s v="6"/>
    <s v="4"/>
    <n v="113000"/>
    <x v="49"/>
    <x v="0"/>
    <x v="2"/>
  </r>
  <r>
    <s v="80"/>
    <s v="6"/>
    <s v="3"/>
    <s v="4"/>
    <n v="112000"/>
    <x v="50"/>
    <x v="0"/>
    <x v="2"/>
  </r>
  <r>
    <s v="81"/>
    <s v="4"/>
    <s v="7"/>
    <s v="4"/>
    <n v="256000"/>
    <x v="51"/>
    <x v="0"/>
    <x v="2"/>
  </r>
  <r>
    <s v="82"/>
    <s v="3"/>
    <s v="2"/>
    <s v="6"/>
    <n v="202000"/>
    <x v="52"/>
    <x v="0"/>
    <x v="2"/>
  </r>
  <r>
    <s v="83"/>
    <s v="1"/>
    <s v="4"/>
    <s v="4"/>
    <n v="163000"/>
    <x v="52"/>
    <x v="0"/>
    <x v="2"/>
  </r>
  <r>
    <s v="84"/>
    <s v="9"/>
    <s v="6"/>
    <s v="2"/>
    <n v="188000"/>
    <x v="53"/>
    <x v="0"/>
    <x v="2"/>
  </r>
  <r>
    <s v="85"/>
    <s v="1"/>
    <s v="7"/>
    <s v="2"/>
    <n v="199000"/>
    <x v="53"/>
    <x v="0"/>
    <x v="2"/>
  </r>
  <r>
    <s v="86"/>
    <s v="7"/>
    <s v="7"/>
    <s v="2"/>
    <n v="174000"/>
    <x v="53"/>
    <x v="0"/>
    <x v="2"/>
  </r>
  <r>
    <s v="87"/>
    <s v="6"/>
    <s v="7"/>
    <s v="1"/>
    <n v="55000"/>
    <x v="54"/>
    <x v="0"/>
    <x v="2"/>
  </r>
  <r>
    <s v="88"/>
    <s v="7"/>
    <s v="4"/>
    <s v="2"/>
    <n v="147000"/>
    <x v="54"/>
    <x v="0"/>
    <x v="2"/>
  </r>
  <r>
    <s v="89"/>
    <s v="4"/>
    <s v="2"/>
    <s v="6"/>
    <n v="54000"/>
    <x v="55"/>
    <x v="0"/>
    <x v="2"/>
  </r>
  <r>
    <s v="90"/>
    <s v="6"/>
    <s v="7"/>
    <s v="5"/>
    <n v="100000"/>
    <x v="55"/>
    <x v="0"/>
    <x v="2"/>
  </r>
  <r>
    <s v="91"/>
    <s v="3"/>
    <s v="6"/>
    <s v="1"/>
    <n v="51000"/>
    <x v="55"/>
    <x v="0"/>
    <x v="2"/>
  </r>
  <r>
    <s v="92"/>
    <s v="3"/>
    <s v="7"/>
    <s v="1"/>
    <n v="116000"/>
    <x v="56"/>
    <x v="0"/>
    <x v="2"/>
  </r>
  <r>
    <s v="93"/>
    <s v="3"/>
    <s v="2"/>
    <s v="1"/>
    <n v="125000"/>
    <x v="57"/>
    <x v="0"/>
    <x v="2"/>
  </r>
  <r>
    <s v="94"/>
    <s v="2"/>
    <s v="5"/>
    <s v="6"/>
    <n v="196000"/>
    <x v="58"/>
    <x v="0"/>
    <x v="2"/>
  </r>
  <r>
    <s v="95"/>
    <s v="7"/>
    <s v="2"/>
    <s v="2"/>
    <n v="138000"/>
    <x v="58"/>
    <x v="0"/>
    <x v="2"/>
  </r>
  <r>
    <s v="96"/>
    <s v="2"/>
    <s v="2"/>
    <s v="6"/>
    <n v="69000"/>
    <x v="59"/>
    <x v="0"/>
    <x v="2"/>
  </r>
  <r>
    <s v="97"/>
    <s v="4"/>
    <s v="5"/>
    <s v="4"/>
    <n v="60000"/>
    <x v="60"/>
    <x v="0"/>
    <x v="3"/>
  </r>
  <r>
    <s v="98"/>
    <s v="1"/>
    <s v="3"/>
    <s v="6"/>
    <n v="216000"/>
    <x v="61"/>
    <x v="0"/>
    <x v="3"/>
  </r>
  <r>
    <s v="99"/>
    <s v="7"/>
    <s v="6"/>
    <s v="3"/>
    <n v="193000"/>
    <x v="62"/>
    <x v="0"/>
    <x v="3"/>
  </r>
  <r>
    <s v="100"/>
    <s v="8"/>
    <s v="3"/>
    <s v="6"/>
    <n v="88000"/>
    <x v="63"/>
    <x v="0"/>
    <x v="3"/>
  </r>
  <r>
    <s v="101"/>
    <s v="6"/>
    <s v="7"/>
    <s v="2"/>
    <n v="239000"/>
    <x v="64"/>
    <x v="0"/>
    <x v="3"/>
  </r>
  <r>
    <s v="102"/>
    <s v="5"/>
    <s v="1"/>
    <s v="3"/>
    <n v="41000"/>
    <x v="65"/>
    <x v="0"/>
    <x v="3"/>
  </r>
  <r>
    <s v="103"/>
    <s v="2"/>
    <s v="2"/>
    <s v="4"/>
    <n v="155000"/>
    <x v="65"/>
    <x v="0"/>
    <x v="3"/>
  </r>
  <r>
    <s v="104"/>
    <s v="5"/>
    <s v="2"/>
    <s v="4"/>
    <n v="51000"/>
    <x v="66"/>
    <x v="0"/>
    <x v="3"/>
  </r>
  <r>
    <s v="105"/>
    <s v="1"/>
    <s v="1"/>
    <s v="3"/>
    <n v="99000"/>
    <x v="67"/>
    <x v="0"/>
    <x v="3"/>
  </r>
  <r>
    <s v="106"/>
    <s v="2"/>
    <s v="6"/>
    <s v="1"/>
    <n v="213000"/>
    <x v="68"/>
    <x v="0"/>
    <x v="3"/>
  </r>
  <r>
    <s v="107"/>
    <s v="4"/>
    <s v="2"/>
    <s v="2"/>
    <n v="91000"/>
    <x v="69"/>
    <x v="0"/>
    <x v="3"/>
  </r>
  <r>
    <s v="108"/>
    <s v="1"/>
    <s v="6"/>
    <s v="2"/>
    <n v="155000"/>
    <x v="70"/>
    <x v="0"/>
    <x v="3"/>
  </r>
  <r>
    <s v="109"/>
    <s v="5"/>
    <s v="7"/>
    <s v="1"/>
    <n v="124000"/>
    <x v="70"/>
    <x v="0"/>
    <x v="3"/>
  </r>
  <r>
    <s v="110"/>
    <s v="2"/>
    <s v="2"/>
    <s v="6"/>
    <n v="198000"/>
    <x v="71"/>
    <x v="0"/>
    <x v="3"/>
  </r>
  <r>
    <s v="111"/>
    <s v="9"/>
    <s v="4"/>
    <s v="6"/>
    <n v="279000"/>
    <x v="72"/>
    <x v="0"/>
    <x v="3"/>
  </r>
  <r>
    <s v="112"/>
    <s v="3"/>
    <s v="2"/>
    <s v="3"/>
    <n v="271000"/>
    <x v="73"/>
    <x v="0"/>
    <x v="3"/>
  </r>
  <r>
    <s v="113"/>
    <s v="4"/>
    <s v="4"/>
    <s v="2"/>
    <n v="98000"/>
    <x v="74"/>
    <x v="0"/>
    <x v="3"/>
  </r>
  <r>
    <s v="114"/>
    <s v="7"/>
    <s v="7"/>
    <s v="5"/>
    <n v="82000"/>
    <x v="75"/>
    <x v="0"/>
    <x v="3"/>
  </r>
  <r>
    <s v="115"/>
    <s v="6"/>
    <s v="5"/>
    <s v="1"/>
    <n v="257000"/>
    <x v="75"/>
    <x v="0"/>
    <x v="3"/>
  </r>
  <r>
    <s v="116"/>
    <s v="9"/>
    <s v="1"/>
    <s v="6"/>
    <n v="239000"/>
    <x v="76"/>
    <x v="0"/>
    <x v="4"/>
  </r>
  <r>
    <s v="117"/>
    <s v="1"/>
    <s v="5"/>
    <s v="1"/>
    <n v="98000"/>
    <x v="76"/>
    <x v="0"/>
    <x v="4"/>
  </r>
  <r>
    <s v="118"/>
    <s v="4"/>
    <s v="3"/>
    <s v="5"/>
    <n v="188000"/>
    <x v="76"/>
    <x v="0"/>
    <x v="4"/>
  </r>
  <r>
    <s v="119"/>
    <s v="2"/>
    <s v="4"/>
    <s v="6"/>
    <n v="246000"/>
    <x v="77"/>
    <x v="0"/>
    <x v="4"/>
  </r>
  <r>
    <s v="120"/>
    <s v="9"/>
    <s v="1"/>
    <s v="1"/>
    <n v="156000"/>
    <x v="77"/>
    <x v="0"/>
    <x v="4"/>
  </r>
  <r>
    <s v="121"/>
    <s v="6"/>
    <s v="6"/>
    <s v="3"/>
    <n v="252000"/>
    <x v="77"/>
    <x v="0"/>
    <x v="4"/>
  </r>
  <r>
    <s v="122"/>
    <s v="5"/>
    <s v="6"/>
    <s v="5"/>
    <n v="161000"/>
    <x v="78"/>
    <x v="0"/>
    <x v="4"/>
  </r>
  <r>
    <s v="123"/>
    <s v="4"/>
    <s v="3"/>
    <s v="6"/>
    <n v="79000"/>
    <x v="79"/>
    <x v="0"/>
    <x v="4"/>
  </r>
  <r>
    <s v="124"/>
    <s v="4"/>
    <s v="1"/>
    <s v="3"/>
    <n v="91000"/>
    <x v="79"/>
    <x v="0"/>
    <x v="4"/>
  </r>
  <r>
    <s v="125"/>
    <s v="8"/>
    <s v="1"/>
    <s v="5"/>
    <n v="274000"/>
    <x v="80"/>
    <x v="0"/>
    <x v="4"/>
  </r>
  <r>
    <s v="126"/>
    <s v="6"/>
    <s v="2"/>
    <s v="3"/>
    <n v="225000"/>
    <x v="80"/>
    <x v="0"/>
    <x v="4"/>
  </r>
  <r>
    <s v="127"/>
    <s v="6"/>
    <s v="5"/>
    <s v="4"/>
    <n v="60000"/>
    <x v="81"/>
    <x v="0"/>
    <x v="4"/>
  </r>
  <r>
    <s v="128"/>
    <s v="8"/>
    <s v="4"/>
    <s v="5"/>
    <n v="232000"/>
    <x v="81"/>
    <x v="0"/>
    <x v="4"/>
  </r>
  <r>
    <s v="129"/>
    <s v="6"/>
    <s v="1"/>
    <s v="2"/>
    <n v="258000"/>
    <x v="82"/>
    <x v="0"/>
    <x v="4"/>
  </r>
  <r>
    <s v="130"/>
    <s v="2"/>
    <s v="2"/>
    <s v="5"/>
    <n v="214000"/>
    <x v="83"/>
    <x v="0"/>
    <x v="4"/>
  </r>
  <r>
    <s v="131"/>
    <s v="6"/>
    <s v="1"/>
    <s v="1"/>
    <n v="160000"/>
    <x v="83"/>
    <x v="0"/>
    <x v="4"/>
  </r>
  <r>
    <s v="132"/>
    <s v="7"/>
    <s v="6"/>
    <s v="4"/>
    <n v="172000"/>
    <x v="84"/>
    <x v="0"/>
    <x v="4"/>
  </r>
  <r>
    <s v="133"/>
    <s v="6"/>
    <s v="4"/>
    <s v="1"/>
    <n v="218000"/>
    <x v="84"/>
    <x v="0"/>
    <x v="4"/>
  </r>
  <r>
    <s v="134"/>
    <s v="9"/>
    <s v="2"/>
    <s v="1"/>
    <n v="99000"/>
    <x v="85"/>
    <x v="0"/>
    <x v="4"/>
  </r>
  <r>
    <s v="135"/>
    <s v="9"/>
    <s v="3"/>
    <s v="5"/>
    <n v="252000"/>
    <x v="85"/>
    <x v="0"/>
    <x v="4"/>
  </r>
  <r>
    <s v="136"/>
    <s v="5"/>
    <s v="1"/>
    <s v="1"/>
    <n v="58000"/>
    <x v="86"/>
    <x v="0"/>
    <x v="4"/>
  </r>
  <r>
    <s v="137"/>
    <s v="3"/>
    <s v="7"/>
    <s v="1"/>
    <n v="272000"/>
    <x v="87"/>
    <x v="0"/>
    <x v="4"/>
  </r>
  <r>
    <s v="138"/>
    <s v="1"/>
    <s v="4"/>
    <s v="3"/>
    <n v="245000"/>
    <x v="87"/>
    <x v="0"/>
    <x v="4"/>
  </r>
  <r>
    <s v="139"/>
    <s v="7"/>
    <s v="2"/>
    <s v="1"/>
    <n v="199000"/>
    <x v="88"/>
    <x v="0"/>
    <x v="4"/>
  </r>
  <r>
    <s v="140"/>
    <s v="9"/>
    <s v="2"/>
    <s v="5"/>
    <n v="55000"/>
    <x v="89"/>
    <x v="0"/>
    <x v="4"/>
  </r>
  <r>
    <s v="141"/>
    <s v="2"/>
    <s v="7"/>
    <s v="2"/>
    <n v="167000"/>
    <x v="89"/>
    <x v="0"/>
    <x v="4"/>
  </r>
  <r>
    <s v="142"/>
    <s v="1"/>
    <s v="2"/>
    <s v="1"/>
    <n v="270000"/>
    <x v="90"/>
    <x v="0"/>
    <x v="4"/>
  </r>
  <r>
    <s v="143"/>
    <s v="6"/>
    <s v="2"/>
    <s v="2"/>
    <n v="208000"/>
    <x v="90"/>
    <x v="0"/>
    <x v="4"/>
  </r>
  <r>
    <s v="144"/>
    <s v="5"/>
    <s v="2"/>
    <s v="1"/>
    <n v="269000"/>
    <x v="90"/>
    <x v="0"/>
    <x v="4"/>
  </r>
  <r>
    <s v="145"/>
    <s v="3"/>
    <s v="4"/>
    <s v="5"/>
    <n v="200000"/>
    <x v="91"/>
    <x v="0"/>
    <x v="4"/>
  </r>
  <r>
    <s v="146"/>
    <s v="9"/>
    <s v="6"/>
    <s v="3"/>
    <n v="213000"/>
    <x v="92"/>
    <x v="0"/>
    <x v="4"/>
  </r>
  <r>
    <s v="147"/>
    <s v="6"/>
    <s v="7"/>
    <s v="4"/>
    <n v="144000"/>
    <x v="93"/>
    <x v="0"/>
    <x v="4"/>
  </r>
  <r>
    <s v="148"/>
    <s v="2"/>
    <s v="1"/>
    <s v="6"/>
    <n v="149000"/>
    <x v="93"/>
    <x v="0"/>
    <x v="4"/>
  </r>
  <r>
    <s v="149"/>
    <s v="6"/>
    <s v="3"/>
    <s v="2"/>
    <n v="102000"/>
    <x v="94"/>
    <x v="0"/>
    <x v="4"/>
  </r>
  <r>
    <s v="150"/>
    <s v="2"/>
    <s v="3"/>
    <s v="6"/>
    <n v="120000"/>
    <x v="95"/>
    <x v="0"/>
    <x v="4"/>
  </r>
  <r>
    <s v="151"/>
    <s v="5"/>
    <s v="4"/>
    <s v="1"/>
    <n v="102000"/>
    <x v="95"/>
    <x v="0"/>
    <x v="4"/>
  </r>
  <r>
    <s v="152"/>
    <s v="7"/>
    <s v="5"/>
    <s v="4"/>
    <n v="106000"/>
    <x v="96"/>
    <x v="0"/>
    <x v="4"/>
  </r>
  <r>
    <s v="153"/>
    <s v="1"/>
    <s v="4"/>
    <s v="5"/>
    <n v="172000"/>
    <x v="96"/>
    <x v="0"/>
    <x v="4"/>
  </r>
  <r>
    <s v="154"/>
    <s v="6"/>
    <s v="2"/>
    <s v="4"/>
    <n v="199000"/>
    <x v="97"/>
    <x v="0"/>
    <x v="5"/>
  </r>
  <r>
    <s v="155"/>
    <s v="1"/>
    <s v="5"/>
    <s v="2"/>
    <n v="75000"/>
    <x v="98"/>
    <x v="0"/>
    <x v="5"/>
  </r>
  <r>
    <s v="156"/>
    <s v="4"/>
    <s v="1"/>
    <s v="2"/>
    <n v="273000"/>
    <x v="99"/>
    <x v="0"/>
    <x v="5"/>
  </r>
  <r>
    <s v="157"/>
    <s v="4"/>
    <s v="1"/>
    <s v="4"/>
    <n v="228000"/>
    <x v="100"/>
    <x v="0"/>
    <x v="5"/>
  </r>
  <r>
    <s v="158"/>
    <s v="4"/>
    <s v="5"/>
    <s v="3"/>
    <n v="228000"/>
    <x v="101"/>
    <x v="0"/>
    <x v="5"/>
  </r>
  <r>
    <s v="159"/>
    <s v="3"/>
    <s v="2"/>
    <s v="5"/>
    <n v="94000"/>
    <x v="102"/>
    <x v="0"/>
    <x v="5"/>
  </r>
  <r>
    <s v="160"/>
    <s v="6"/>
    <s v="4"/>
    <s v="2"/>
    <n v="104000"/>
    <x v="102"/>
    <x v="0"/>
    <x v="5"/>
  </r>
  <r>
    <s v="161"/>
    <s v="6"/>
    <s v="5"/>
    <s v="2"/>
    <n v="79000"/>
    <x v="102"/>
    <x v="0"/>
    <x v="5"/>
  </r>
  <r>
    <s v="162"/>
    <s v="5"/>
    <s v="7"/>
    <s v="2"/>
    <n v="30000"/>
    <x v="103"/>
    <x v="0"/>
    <x v="5"/>
  </r>
  <r>
    <s v="163"/>
    <s v="4"/>
    <s v="7"/>
    <s v="2"/>
    <n v="225000"/>
    <x v="104"/>
    <x v="0"/>
    <x v="5"/>
  </r>
  <r>
    <s v="164"/>
    <s v="5"/>
    <s v="1"/>
    <s v="6"/>
    <n v="121000"/>
    <x v="105"/>
    <x v="0"/>
    <x v="5"/>
  </r>
  <r>
    <s v="165"/>
    <s v="1"/>
    <s v="2"/>
    <s v="3"/>
    <n v="286000"/>
    <x v="105"/>
    <x v="0"/>
    <x v="5"/>
  </r>
  <r>
    <s v="166"/>
    <s v="4"/>
    <s v="7"/>
    <s v="1"/>
    <n v="152000"/>
    <x v="105"/>
    <x v="0"/>
    <x v="5"/>
  </r>
  <r>
    <s v="167"/>
    <s v="3"/>
    <s v="4"/>
    <s v="3"/>
    <n v="264000"/>
    <x v="106"/>
    <x v="0"/>
    <x v="5"/>
  </r>
  <r>
    <s v="168"/>
    <s v="7"/>
    <s v="4"/>
    <s v="6"/>
    <n v="172000"/>
    <x v="106"/>
    <x v="0"/>
    <x v="5"/>
  </r>
  <r>
    <s v="169"/>
    <s v="9"/>
    <s v="6"/>
    <s v="2"/>
    <n v="170000"/>
    <x v="107"/>
    <x v="0"/>
    <x v="5"/>
  </r>
  <r>
    <s v="170"/>
    <s v="6"/>
    <s v="7"/>
    <s v="5"/>
    <n v="111000"/>
    <x v="108"/>
    <x v="0"/>
    <x v="5"/>
  </r>
  <r>
    <s v="171"/>
    <s v="3"/>
    <s v="2"/>
    <s v="1"/>
    <n v="153000"/>
    <x v="108"/>
    <x v="0"/>
    <x v="5"/>
  </r>
  <r>
    <s v="172"/>
    <s v="1"/>
    <s v="6"/>
    <s v="4"/>
    <n v="273000"/>
    <x v="109"/>
    <x v="0"/>
    <x v="5"/>
  </r>
  <r>
    <s v="173"/>
    <s v="3"/>
    <s v="5"/>
    <s v="2"/>
    <n v="261000"/>
    <x v="110"/>
    <x v="0"/>
    <x v="5"/>
  </r>
  <r>
    <s v="174"/>
    <s v="2"/>
    <s v="4"/>
    <s v="4"/>
    <n v="124000"/>
    <x v="110"/>
    <x v="0"/>
    <x v="5"/>
  </r>
  <r>
    <s v="175"/>
    <s v="1"/>
    <s v="1"/>
    <s v="6"/>
    <n v="249000"/>
    <x v="111"/>
    <x v="0"/>
    <x v="5"/>
  </r>
  <r>
    <s v="176"/>
    <s v="3"/>
    <s v="1"/>
    <s v="2"/>
    <n v="30000"/>
    <x v="112"/>
    <x v="0"/>
    <x v="5"/>
  </r>
  <r>
    <s v="177"/>
    <s v="9"/>
    <s v="4"/>
    <s v="5"/>
    <n v="166000"/>
    <x v="113"/>
    <x v="0"/>
    <x v="5"/>
  </r>
  <r>
    <s v="178"/>
    <s v="8"/>
    <s v="4"/>
    <s v="3"/>
    <n v="71000"/>
    <x v="114"/>
    <x v="0"/>
    <x v="5"/>
  </r>
  <r>
    <s v="179"/>
    <s v="7"/>
    <s v="5"/>
    <s v="6"/>
    <n v="136000"/>
    <x v="114"/>
    <x v="0"/>
    <x v="5"/>
  </r>
  <r>
    <s v="180"/>
    <s v="9"/>
    <s v="7"/>
    <s v="1"/>
    <n v="102000"/>
    <x v="114"/>
    <x v="0"/>
    <x v="5"/>
  </r>
  <r>
    <s v="181"/>
    <s v="7"/>
    <s v="1"/>
    <s v="3"/>
    <n v="238000"/>
    <x v="114"/>
    <x v="0"/>
    <x v="5"/>
  </r>
  <r>
    <s v="182"/>
    <s v="6"/>
    <s v="4"/>
    <s v="2"/>
    <n v="100000"/>
    <x v="114"/>
    <x v="0"/>
    <x v="5"/>
  </r>
  <r>
    <s v="183"/>
    <s v="4"/>
    <s v="2"/>
    <s v="1"/>
    <n v="63000"/>
    <x v="115"/>
    <x v="0"/>
    <x v="5"/>
  </r>
  <r>
    <s v="184"/>
    <s v="8"/>
    <s v="4"/>
    <s v="4"/>
    <n v="65000"/>
    <x v="115"/>
    <x v="0"/>
    <x v="5"/>
  </r>
  <r>
    <s v="185"/>
    <s v="2"/>
    <s v="3"/>
    <s v="3"/>
    <n v="266000"/>
    <x v="116"/>
    <x v="0"/>
    <x v="5"/>
  </r>
  <r>
    <s v="186"/>
    <s v="9"/>
    <s v="7"/>
    <s v="1"/>
    <n v="259000"/>
    <x v="116"/>
    <x v="0"/>
    <x v="5"/>
  </r>
  <r>
    <s v="187"/>
    <s v="8"/>
    <s v="3"/>
    <s v="5"/>
    <n v="216000"/>
    <x v="117"/>
    <x v="0"/>
    <x v="6"/>
  </r>
  <r>
    <s v="188"/>
    <s v="3"/>
    <s v="5"/>
    <s v="2"/>
    <n v="260000"/>
    <x v="117"/>
    <x v="0"/>
    <x v="6"/>
  </r>
  <r>
    <s v="189"/>
    <s v="6"/>
    <s v="3"/>
    <s v="6"/>
    <n v="132000"/>
    <x v="118"/>
    <x v="0"/>
    <x v="6"/>
  </r>
  <r>
    <s v="190"/>
    <s v="5"/>
    <s v="2"/>
    <s v="5"/>
    <n v="139000"/>
    <x v="118"/>
    <x v="0"/>
    <x v="6"/>
  </r>
  <r>
    <s v="191"/>
    <s v="2"/>
    <s v="1"/>
    <s v="2"/>
    <n v="145000"/>
    <x v="119"/>
    <x v="0"/>
    <x v="6"/>
  </r>
  <r>
    <s v="192"/>
    <s v="8"/>
    <s v="1"/>
    <s v="5"/>
    <n v="92000"/>
    <x v="120"/>
    <x v="0"/>
    <x v="6"/>
  </r>
  <r>
    <s v="193"/>
    <s v="2"/>
    <s v="2"/>
    <s v="1"/>
    <n v="197000"/>
    <x v="121"/>
    <x v="0"/>
    <x v="6"/>
  </r>
  <r>
    <s v="194"/>
    <s v="1"/>
    <s v="5"/>
    <s v="1"/>
    <n v="234000"/>
    <x v="121"/>
    <x v="0"/>
    <x v="6"/>
  </r>
  <r>
    <s v="195"/>
    <s v="9"/>
    <s v="4"/>
    <s v="4"/>
    <n v="142000"/>
    <x v="122"/>
    <x v="0"/>
    <x v="6"/>
  </r>
  <r>
    <s v="196"/>
    <s v="2"/>
    <s v="4"/>
    <s v="1"/>
    <n v="84000"/>
    <x v="123"/>
    <x v="0"/>
    <x v="6"/>
  </r>
  <r>
    <s v="197"/>
    <s v="6"/>
    <s v="1"/>
    <s v="1"/>
    <n v="243000"/>
    <x v="124"/>
    <x v="0"/>
    <x v="6"/>
  </r>
  <r>
    <s v="198"/>
    <s v="4"/>
    <s v="7"/>
    <s v="6"/>
    <n v="104000"/>
    <x v="124"/>
    <x v="0"/>
    <x v="6"/>
  </r>
  <r>
    <s v="199"/>
    <s v="5"/>
    <s v="4"/>
    <s v="5"/>
    <n v="252000"/>
    <x v="125"/>
    <x v="0"/>
    <x v="6"/>
  </r>
  <r>
    <s v="200"/>
    <s v="8"/>
    <s v="2"/>
    <s v="4"/>
    <n v="274000"/>
    <x v="126"/>
    <x v="0"/>
    <x v="6"/>
  </r>
  <r>
    <s v="201"/>
    <s v="6"/>
    <s v="6"/>
    <s v="6"/>
    <n v="46000"/>
    <x v="126"/>
    <x v="0"/>
    <x v="6"/>
  </r>
  <r>
    <s v="202"/>
    <s v="6"/>
    <s v="3"/>
    <s v="5"/>
    <n v="259000"/>
    <x v="126"/>
    <x v="0"/>
    <x v="6"/>
  </r>
  <r>
    <s v="203"/>
    <s v="7"/>
    <s v="6"/>
    <s v="2"/>
    <n v="218000"/>
    <x v="127"/>
    <x v="0"/>
    <x v="6"/>
  </r>
  <r>
    <s v="204"/>
    <s v="1"/>
    <s v="4"/>
    <s v="3"/>
    <n v="57000"/>
    <x v="127"/>
    <x v="0"/>
    <x v="6"/>
  </r>
  <r>
    <s v="205"/>
    <s v="6"/>
    <s v="4"/>
    <s v="5"/>
    <n v="33000"/>
    <x v="128"/>
    <x v="0"/>
    <x v="6"/>
  </r>
  <r>
    <s v="206"/>
    <s v="2"/>
    <s v="5"/>
    <s v="2"/>
    <n v="168000"/>
    <x v="129"/>
    <x v="0"/>
    <x v="6"/>
  </r>
  <r>
    <s v="207"/>
    <s v="4"/>
    <s v="5"/>
    <s v="3"/>
    <n v="48000"/>
    <x v="130"/>
    <x v="0"/>
    <x v="6"/>
  </r>
  <r>
    <s v="208"/>
    <s v="8"/>
    <s v="1"/>
    <s v="4"/>
    <n v="72000"/>
    <x v="130"/>
    <x v="0"/>
    <x v="6"/>
  </r>
  <r>
    <s v="209"/>
    <s v="5"/>
    <s v="5"/>
    <s v="4"/>
    <n v="123000"/>
    <x v="131"/>
    <x v="0"/>
    <x v="6"/>
  </r>
  <r>
    <s v="210"/>
    <s v="5"/>
    <s v="2"/>
    <s v="1"/>
    <n v="230000"/>
    <x v="132"/>
    <x v="0"/>
    <x v="6"/>
  </r>
  <r>
    <s v="211"/>
    <s v="9"/>
    <s v="5"/>
    <s v="2"/>
    <n v="43000"/>
    <x v="133"/>
    <x v="0"/>
    <x v="6"/>
  </r>
  <r>
    <s v="212"/>
    <s v="1"/>
    <s v="3"/>
    <s v="2"/>
    <n v="273000"/>
    <x v="134"/>
    <x v="0"/>
    <x v="6"/>
  </r>
  <r>
    <s v="213"/>
    <s v="2"/>
    <s v="5"/>
    <s v="4"/>
    <n v="100000"/>
    <x v="135"/>
    <x v="0"/>
    <x v="7"/>
  </r>
  <r>
    <s v="214"/>
    <s v="5"/>
    <s v="4"/>
    <s v="4"/>
    <n v="282000"/>
    <x v="135"/>
    <x v="0"/>
    <x v="7"/>
  </r>
  <r>
    <s v="215"/>
    <s v="7"/>
    <s v="3"/>
    <s v="5"/>
    <n v="296000"/>
    <x v="135"/>
    <x v="0"/>
    <x v="7"/>
  </r>
  <r>
    <s v="216"/>
    <s v="4"/>
    <s v="1"/>
    <s v="2"/>
    <n v="208000"/>
    <x v="136"/>
    <x v="0"/>
    <x v="7"/>
  </r>
  <r>
    <s v="217"/>
    <s v="7"/>
    <s v="5"/>
    <s v="1"/>
    <n v="218000"/>
    <x v="136"/>
    <x v="0"/>
    <x v="7"/>
  </r>
  <r>
    <s v="218"/>
    <s v="3"/>
    <s v="7"/>
    <s v="5"/>
    <n v="229000"/>
    <x v="137"/>
    <x v="0"/>
    <x v="7"/>
  </r>
  <r>
    <s v="219"/>
    <s v="9"/>
    <s v="2"/>
    <s v="6"/>
    <n v="238000"/>
    <x v="138"/>
    <x v="0"/>
    <x v="7"/>
  </r>
  <r>
    <s v="220"/>
    <s v="2"/>
    <s v="4"/>
    <s v="2"/>
    <n v="266000"/>
    <x v="138"/>
    <x v="0"/>
    <x v="7"/>
  </r>
  <r>
    <s v="221"/>
    <s v="8"/>
    <s v="6"/>
    <s v="2"/>
    <n v="279000"/>
    <x v="139"/>
    <x v="0"/>
    <x v="7"/>
  </r>
  <r>
    <s v="222"/>
    <s v="4"/>
    <s v="5"/>
    <s v="2"/>
    <n v="251000"/>
    <x v="140"/>
    <x v="0"/>
    <x v="7"/>
  </r>
  <r>
    <s v="223"/>
    <s v="8"/>
    <s v="3"/>
    <s v="5"/>
    <n v="231000"/>
    <x v="140"/>
    <x v="0"/>
    <x v="7"/>
  </r>
  <r>
    <s v="224"/>
    <s v="7"/>
    <s v="4"/>
    <s v="3"/>
    <n v="244000"/>
    <x v="140"/>
    <x v="0"/>
    <x v="7"/>
  </r>
  <r>
    <s v="225"/>
    <s v="3"/>
    <s v="5"/>
    <s v="5"/>
    <n v="104000"/>
    <x v="141"/>
    <x v="0"/>
    <x v="7"/>
  </r>
  <r>
    <s v="226"/>
    <s v="5"/>
    <s v="5"/>
    <s v="4"/>
    <n v="213000"/>
    <x v="141"/>
    <x v="0"/>
    <x v="7"/>
  </r>
  <r>
    <s v="227"/>
    <s v="1"/>
    <s v="5"/>
    <s v="4"/>
    <n v="211000"/>
    <x v="142"/>
    <x v="0"/>
    <x v="7"/>
  </r>
  <r>
    <s v="228"/>
    <s v="4"/>
    <s v="3"/>
    <s v="6"/>
    <n v="154000"/>
    <x v="143"/>
    <x v="0"/>
    <x v="7"/>
  </r>
  <r>
    <s v="229"/>
    <s v="9"/>
    <s v="4"/>
    <s v="6"/>
    <n v="271000"/>
    <x v="143"/>
    <x v="0"/>
    <x v="7"/>
  </r>
  <r>
    <s v="230"/>
    <s v="1"/>
    <s v="5"/>
    <s v="1"/>
    <n v="153000"/>
    <x v="144"/>
    <x v="0"/>
    <x v="7"/>
  </r>
  <r>
    <s v="231"/>
    <s v="6"/>
    <s v="4"/>
    <s v="2"/>
    <n v="69000"/>
    <x v="144"/>
    <x v="0"/>
    <x v="7"/>
  </r>
  <r>
    <s v="232"/>
    <s v="5"/>
    <s v="4"/>
    <s v="1"/>
    <n v="118000"/>
    <x v="145"/>
    <x v="0"/>
    <x v="7"/>
  </r>
  <r>
    <s v="233"/>
    <s v="7"/>
    <s v="6"/>
    <s v="5"/>
    <n v="249000"/>
    <x v="146"/>
    <x v="0"/>
    <x v="7"/>
  </r>
  <r>
    <s v="234"/>
    <s v="4"/>
    <s v="5"/>
    <s v="6"/>
    <n v="86000"/>
    <x v="146"/>
    <x v="0"/>
    <x v="7"/>
  </r>
  <r>
    <s v="235"/>
    <s v="2"/>
    <s v="1"/>
    <s v="1"/>
    <n v="173000"/>
    <x v="147"/>
    <x v="0"/>
    <x v="7"/>
  </r>
  <r>
    <s v="236"/>
    <s v="1"/>
    <s v="1"/>
    <s v="1"/>
    <n v="216000"/>
    <x v="148"/>
    <x v="0"/>
    <x v="7"/>
  </r>
  <r>
    <s v="237"/>
    <s v="1"/>
    <s v="6"/>
    <s v="3"/>
    <n v="277000"/>
    <x v="149"/>
    <x v="0"/>
    <x v="7"/>
  </r>
  <r>
    <s v="238"/>
    <s v="5"/>
    <s v="7"/>
    <s v="5"/>
    <n v="53000"/>
    <x v="150"/>
    <x v="0"/>
    <x v="7"/>
  </r>
  <r>
    <s v="239"/>
    <s v="8"/>
    <s v="3"/>
    <s v="4"/>
    <n v="58000"/>
    <x v="151"/>
    <x v="0"/>
    <x v="7"/>
  </r>
  <r>
    <s v="240"/>
    <s v="6"/>
    <s v="4"/>
    <s v="1"/>
    <n v="55000"/>
    <x v="152"/>
    <x v="0"/>
    <x v="7"/>
  </r>
  <r>
    <s v="241"/>
    <s v="5"/>
    <s v="7"/>
    <s v="1"/>
    <n v="168000"/>
    <x v="152"/>
    <x v="0"/>
    <x v="7"/>
  </r>
  <r>
    <s v="242"/>
    <s v="7"/>
    <s v="3"/>
    <s v="2"/>
    <n v="189000"/>
    <x v="153"/>
    <x v="0"/>
    <x v="7"/>
  </r>
  <r>
    <s v="243"/>
    <s v="5"/>
    <s v="1"/>
    <s v="2"/>
    <n v="222000"/>
    <x v="153"/>
    <x v="0"/>
    <x v="7"/>
  </r>
  <r>
    <s v="244"/>
    <s v="2"/>
    <s v="6"/>
    <s v="4"/>
    <n v="196000"/>
    <x v="154"/>
    <x v="0"/>
    <x v="7"/>
  </r>
  <r>
    <s v="245"/>
    <s v="7"/>
    <s v="5"/>
    <s v="6"/>
    <n v="282000"/>
    <x v="154"/>
    <x v="0"/>
    <x v="7"/>
  </r>
  <r>
    <s v="246"/>
    <s v="3"/>
    <s v="6"/>
    <s v="1"/>
    <n v="167000"/>
    <x v="155"/>
    <x v="0"/>
    <x v="7"/>
  </r>
  <r>
    <s v="247"/>
    <s v="4"/>
    <s v="7"/>
    <s v="2"/>
    <n v="37000"/>
    <x v="155"/>
    <x v="0"/>
    <x v="7"/>
  </r>
  <r>
    <s v="248"/>
    <s v="5"/>
    <s v="4"/>
    <s v="5"/>
    <n v="260000"/>
    <x v="156"/>
    <x v="0"/>
    <x v="8"/>
  </r>
  <r>
    <s v="249"/>
    <s v="9"/>
    <s v="1"/>
    <s v="6"/>
    <n v="110000"/>
    <x v="156"/>
    <x v="0"/>
    <x v="8"/>
  </r>
  <r>
    <s v="250"/>
    <s v="9"/>
    <s v="3"/>
    <s v="6"/>
    <n v="136000"/>
    <x v="157"/>
    <x v="0"/>
    <x v="8"/>
  </r>
  <r>
    <s v="251"/>
    <s v="1"/>
    <s v="2"/>
    <s v="3"/>
    <n v="285000"/>
    <x v="158"/>
    <x v="0"/>
    <x v="8"/>
  </r>
  <r>
    <s v="252"/>
    <s v="2"/>
    <s v="4"/>
    <s v="6"/>
    <n v="153000"/>
    <x v="159"/>
    <x v="0"/>
    <x v="8"/>
  </r>
  <r>
    <s v="253"/>
    <s v="3"/>
    <s v="3"/>
    <s v="5"/>
    <n v="97000"/>
    <x v="160"/>
    <x v="0"/>
    <x v="8"/>
  </r>
  <r>
    <s v="254"/>
    <s v="6"/>
    <s v="4"/>
    <s v="4"/>
    <n v="212000"/>
    <x v="160"/>
    <x v="0"/>
    <x v="8"/>
  </r>
  <r>
    <s v="255"/>
    <s v="3"/>
    <s v="1"/>
    <s v="5"/>
    <n v="168000"/>
    <x v="160"/>
    <x v="0"/>
    <x v="8"/>
  </r>
  <r>
    <s v="256"/>
    <s v="9"/>
    <s v="3"/>
    <s v="3"/>
    <n v="227000"/>
    <x v="160"/>
    <x v="0"/>
    <x v="8"/>
  </r>
  <r>
    <s v="257"/>
    <s v="8"/>
    <s v="1"/>
    <s v="1"/>
    <n v="40000"/>
    <x v="161"/>
    <x v="0"/>
    <x v="8"/>
  </r>
  <r>
    <s v="258"/>
    <s v="2"/>
    <s v="5"/>
    <s v="1"/>
    <n v="36000"/>
    <x v="162"/>
    <x v="0"/>
    <x v="8"/>
  </r>
  <r>
    <s v="259"/>
    <s v="4"/>
    <s v="1"/>
    <s v="3"/>
    <n v="40000"/>
    <x v="163"/>
    <x v="0"/>
    <x v="8"/>
  </r>
  <r>
    <s v="260"/>
    <s v="5"/>
    <s v="6"/>
    <s v="2"/>
    <n v="210000"/>
    <x v="164"/>
    <x v="0"/>
    <x v="8"/>
  </r>
  <r>
    <s v="261"/>
    <s v="5"/>
    <s v="6"/>
    <s v="4"/>
    <n v="96000"/>
    <x v="165"/>
    <x v="0"/>
    <x v="8"/>
  </r>
  <r>
    <s v="262"/>
    <s v="3"/>
    <s v="5"/>
    <s v="3"/>
    <n v="125000"/>
    <x v="166"/>
    <x v="0"/>
    <x v="8"/>
  </r>
  <r>
    <s v="263"/>
    <s v="8"/>
    <s v="6"/>
    <s v="4"/>
    <n v="260000"/>
    <x v="167"/>
    <x v="0"/>
    <x v="8"/>
  </r>
  <r>
    <s v="264"/>
    <s v="5"/>
    <s v="1"/>
    <s v="6"/>
    <n v="54000"/>
    <x v="168"/>
    <x v="0"/>
    <x v="8"/>
  </r>
  <r>
    <s v="265"/>
    <s v="8"/>
    <s v="4"/>
    <s v="1"/>
    <n v="234000"/>
    <x v="168"/>
    <x v="0"/>
    <x v="8"/>
  </r>
  <r>
    <s v="266"/>
    <s v="3"/>
    <s v="3"/>
    <s v="6"/>
    <n v="101000"/>
    <x v="169"/>
    <x v="0"/>
    <x v="8"/>
  </r>
  <r>
    <s v="267"/>
    <s v="8"/>
    <s v="5"/>
    <s v="1"/>
    <n v="297000"/>
    <x v="170"/>
    <x v="0"/>
    <x v="8"/>
  </r>
  <r>
    <s v="268"/>
    <s v="6"/>
    <s v="7"/>
    <s v="1"/>
    <n v="31000"/>
    <x v="170"/>
    <x v="0"/>
    <x v="8"/>
  </r>
  <r>
    <s v="269"/>
    <s v="4"/>
    <s v="6"/>
    <s v="4"/>
    <n v="70000"/>
    <x v="171"/>
    <x v="0"/>
    <x v="8"/>
  </r>
  <r>
    <s v="270"/>
    <s v="8"/>
    <s v="5"/>
    <s v="4"/>
    <n v="169000"/>
    <x v="172"/>
    <x v="0"/>
    <x v="9"/>
  </r>
  <r>
    <s v="271"/>
    <s v="6"/>
    <s v="6"/>
    <s v="2"/>
    <n v="207000"/>
    <x v="172"/>
    <x v="0"/>
    <x v="9"/>
  </r>
  <r>
    <s v="272"/>
    <s v="8"/>
    <s v="6"/>
    <s v="5"/>
    <n v="142000"/>
    <x v="172"/>
    <x v="0"/>
    <x v="9"/>
  </r>
  <r>
    <s v="273"/>
    <s v="6"/>
    <s v="4"/>
    <s v="5"/>
    <n v="290000"/>
    <x v="173"/>
    <x v="0"/>
    <x v="9"/>
  </r>
  <r>
    <s v="274"/>
    <s v="1"/>
    <s v="4"/>
    <s v="4"/>
    <n v="128000"/>
    <x v="174"/>
    <x v="0"/>
    <x v="9"/>
  </r>
  <r>
    <s v="275"/>
    <s v="8"/>
    <s v="5"/>
    <s v="3"/>
    <n v="124000"/>
    <x v="175"/>
    <x v="0"/>
    <x v="9"/>
  </r>
  <r>
    <s v="276"/>
    <s v="9"/>
    <s v="5"/>
    <s v="5"/>
    <n v="284000"/>
    <x v="176"/>
    <x v="0"/>
    <x v="9"/>
  </r>
  <r>
    <s v="277"/>
    <s v="9"/>
    <s v="3"/>
    <s v="6"/>
    <n v="191000"/>
    <x v="177"/>
    <x v="0"/>
    <x v="9"/>
  </r>
  <r>
    <s v="278"/>
    <s v="4"/>
    <s v="2"/>
    <s v="2"/>
    <n v="107000"/>
    <x v="178"/>
    <x v="0"/>
    <x v="9"/>
  </r>
  <r>
    <s v="279"/>
    <s v="5"/>
    <s v="6"/>
    <s v="1"/>
    <n v="234000"/>
    <x v="178"/>
    <x v="0"/>
    <x v="9"/>
  </r>
  <r>
    <s v="280"/>
    <s v="1"/>
    <s v="3"/>
    <s v="3"/>
    <n v="214000"/>
    <x v="179"/>
    <x v="0"/>
    <x v="9"/>
  </r>
  <r>
    <s v="281"/>
    <s v="7"/>
    <s v="6"/>
    <s v="1"/>
    <n v="182000"/>
    <x v="180"/>
    <x v="0"/>
    <x v="9"/>
  </r>
  <r>
    <s v="282"/>
    <s v="5"/>
    <s v="5"/>
    <s v="4"/>
    <n v="276000"/>
    <x v="181"/>
    <x v="0"/>
    <x v="9"/>
  </r>
  <r>
    <s v="283"/>
    <s v="1"/>
    <s v="4"/>
    <s v="6"/>
    <n v="51000"/>
    <x v="182"/>
    <x v="0"/>
    <x v="9"/>
  </r>
  <r>
    <s v="284"/>
    <s v="3"/>
    <s v="3"/>
    <s v="2"/>
    <n v="84000"/>
    <x v="182"/>
    <x v="0"/>
    <x v="9"/>
  </r>
  <r>
    <s v="285"/>
    <s v="6"/>
    <s v="7"/>
    <s v="3"/>
    <n v="61000"/>
    <x v="182"/>
    <x v="0"/>
    <x v="9"/>
  </r>
  <r>
    <s v="286"/>
    <s v="2"/>
    <s v="1"/>
    <s v="5"/>
    <n v="187000"/>
    <x v="182"/>
    <x v="0"/>
    <x v="9"/>
  </r>
  <r>
    <s v="287"/>
    <s v="6"/>
    <s v="1"/>
    <s v="3"/>
    <n v="126000"/>
    <x v="183"/>
    <x v="0"/>
    <x v="9"/>
  </r>
  <r>
    <s v="288"/>
    <s v="8"/>
    <s v="7"/>
    <s v="6"/>
    <n v="217000"/>
    <x v="184"/>
    <x v="0"/>
    <x v="9"/>
  </r>
  <r>
    <s v="289"/>
    <s v="7"/>
    <s v="5"/>
    <s v="3"/>
    <n v="153000"/>
    <x v="185"/>
    <x v="0"/>
    <x v="9"/>
  </r>
  <r>
    <s v="290"/>
    <s v="2"/>
    <s v="6"/>
    <s v="4"/>
    <n v="170000"/>
    <x v="186"/>
    <x v="0"/>
    <x v="9"/>
  </r>
  <r>
    <s v="291"/>
    <s v="3"/>
    <s v="3"/>
    <s v="4"/>
    <n v="136000"/>
    <x v="186"/>
    <x v="0"/>
    <x v="9"/>
  </r>
  <r>
    <s v="292"/>
    <s v="9"/>
    <s v="1"/>
    <s v="5"/>
    <n v="273000"/>
    <x v="187"/>
    <x v="0"/>
    <x v="9"/>
  </r>
  <r>
    <s v="293"/>
    <s v="6"/>
    <s v="1"/>
    <s v="3"/>
    <n v="242000"/>
    <x v="188"/>
    <x v="0"/>
    <x v="10"/>
  </r>
  <r>
    <s v="294"/>
    <s v="8"/>
    <s v="3"/>
    <s v="3"/>
    <n v="64000"/>
    <x v="188"/>
    <x v="0"/>
    <x v="10"/>
  </r>
  <r>
    <s v="295"/>
    <s v="2"/>
    <s v="6"/>
    <s v="6"/>
    <n v="233000"/>
    <x v="189"/>
    <x v="0"/>
    <x v="10"/>
  </r>
  <r>
    <s v="296"/>
    <s v="9"/>
    <s v="5"/>
    <s v="6"/>
    <n v="148000"/>
    <x v="189"/>
    <x v="0"/>
    <x v="10"/>
  </r>
  <r>
    <s v="297"/>
    <s v="1"/>
    <s v="4"/>
    <s v="6"/>
    <n v="77000"/>
    <x v="190"/>
    <x v="0"/>
    <x v="10"/>
  </r>
  <r>
    <s v="298"/>
    <s v="2"/>
    <s v="3"/>
    <s v="4"/>
    <n v="179000"/>
    <x v="190"/>
    <x v="0"/>
    <x v="10"/>
  </r>
  <r>
    <s v="299"/>
    <s v="3"/>
    <s v="7"/>
    <s v="5"/>
    <n v="108000"/>
    <x v="191"/>
    <x v="0"/>
    <x v="10"/>
  </r>
  <r>
    <s v="300"/>
    <s v="6"/>
    <s v="3"/>
    <s v="2"/>
    <n v="61000"/>
    <x v="192"/>
    <x v="0"/>
    <x v="10"/>
  </r>
  <r>
    <s v="301"/>
    <s v="7"/>
    <s v="2"/>
    <s v="3"/>
    <n v="291000"/>
    <x v="192"/>
    <x v="0"/>
    <x v="10"/>
  </r>
  <r>
    <s v="302"/>
    <s v="4"/>
    <s v="7"/>
    <s v="5"/>
    <n v="285000"/>
    <x v="193"/>
    <x v="0"/>
    <x v="10"/>
  </r>
  <r>
    <s v="303"/>
    <s v="4"/>
    <s v="2"/>
    <s v="2"/>
    <n v="237000"/>
    <x v="193"/>
    <x v="0"/>
    <x v="10"/>
  </r>
  <r>
    <s v="304"/>
    <s v="5"/>
    <s v="1"/>
    <s v="1"/>
    <n v="237000"/>
    <x v="193"/>
    <x v="0"/>
    <x v="10"/>
  </r>
  <r>
    <s v="305"/>
    <s v="7"/>
    <s v="3"/>
    <s v="6"/>
    <n v="217000"/>
    <x v="194"/>
    <x v="0"/>
    <x v="10"/>
  </r>
  <r>
    <s v="306"/>
    <s v="6"/>
    <s v="4"/>
    <s v="4"/>
    <n v="173000"/>
    <x v="195"/>
    <x v="0"/>
    <x v="10"/>
  </r>
  <r>
    <s v="307"/>
    <s v="9"/>
    <s v="7"/>
    <s v="1"/>
    <n v="185000"/>
    <x v="196"/>
    <x v="0"/>
    <x v="10"/>
  </r>
  <r>
    <s v="308"/>
    <s v="9"/>
    <s v="3"/>
    <s v="6"/>
    <n v="86000"/>
    <x v="196"/>
    <x v="0"/>
    <x v="10"/>
  </r>
  <r>
    <s v="309"/>
    <s v="9"/>
    <s v="6"/>
    <s v="6"/>
    <n v="78000"/>
    <x v="196"/>
    <x v="0"/>
    <x v="10"/>
  </r>
  <r>
    <s v="310"/>
    <s v="5"/>
    <s v="5"/>
    <s v="4"/>
    <n v="223000"/>
    <x v="196"/>
    <x v="0"/>
    <x v="10"/>
  </r>
  <r>
    <s v="311"/>
    <s v="6"/>
    <s v="4"/>
    <s v="4"/>
    <n v="175000"/>
    <x v="197"/>
    <x v="0"/>
    <x v="10"/>
  </r>
  <r>
    <s v="312"/>
    <s v="3"/>
    <s v="1"/>
    <s v="1"/>
    <n v="89000"/>
    <x v="198"/>
    <x v="0"/>
    <x v="10"/>
  </r>
  <r>
    <s v="313"/>
    <s v="9"/>
    <s v="6"/>
    <s v="3"/>
    <n v="206000"/>
    <x v="199"/>
    <x v="0"/>
    <x v="10"/>
  </r>
  <r>
    <s v="314"/>
    <s v="7"/>
    <s v="2"/>
    <s v="1"/>
    <n v="80000"/>
    <x v="200"/>
    <x v="0"/>
    <x v="10"/>
  </r>
  <r>
    <s v="315"/>
    <s v="5"/>
    <s v="2"/>
    <s v="5"/>
    <n v="159000"/>
    <x v="201"/>
    <x v="0"/>
    <x v="10"/>
  </r>
  <r>
    <s v="316"/>
    <s v="9"/>
    <s v="5"/>
    <s v="5"/>
    <n v="225000"/>
    <x v="201"/>
    <x v="0"/>
    <x v="10"/>
  </r>
  <r>
    <s v="317"/>
    <s v="9"/>
    <s v="2"/>
    <s v="5"/>
    <n v="145000"/>
    <x v="202"/>
    <x v="0"/>
    <x v="10"/>
  </r>
  <r>
    <s v="318"/>
    <s v="6"/>
    <s v="7"/>
    <s v="4"/>
    <n v="70000"/>
    <x v="202"/>
    <x v="0"/>
    <x v="10"/>
  </r>
  <r>
    <s v="319"/>
    <s v="2"/>
    <s v="1"/>
    <s v="6"/>
    <n v="288000"/>
    <x v="203"/>
    <x v="0"/>
    <x v="10"/>
  </r>
  <r>
    <s v="320"/>
    <s v="4"/>
    <s v="1"/>
    <s v="4"/>
    <n v="206000"/>
    <x v="204"/>
    <x v="0"/>
    <x v="10"/>
  </r>
  <r>
    <s v="321"/>
    <s v="3"/>
    <s v="4"/>
    <s v="2"/>
    <n v="284000"/>
    <x v="205"/>
    <x v="0"/>
    <x v="10"/>
  </r>
  <r>
    <s v="322"/>
    <s v="3"/>
    <s v="4"/>
    <s v="1"/>
    <n v="209000"/>
    <x v="205"/>
    <x v="0"/>
    <x v="10"/>
  </r>
  <r>
    <s v="323"/>
    <s v="8"/>
    <s v="3"/>
    <s v="4"/>
    <n v="290000"/>
    <x v="206"/>
    <x v="0"/>
    <x v="11"/>
  </r>
  <r>
    <s v="324"/>
    <s v="4"/>
    <s v="6"/>
    <s v="3"/>
    <n v="263000"/>
    <x v="207"/>
    <x v="0"/>
    <x v="11"/>
  </r>
  <r>
    <s v="325"/>
    <s v="7"/>
    <s v="6"/>
    <s v="6"/>
    <n v="236000"/>
    <x v="208"/>
    <x v="0"/>
    <x v="11"/>
  </r>
  <r>
    <s v="326"/>
    <s v="7"/>
    <s v="4"/>
    <s v="1"/>
    <n v="114000"/>
    <x v="209"/>
    <x v="0"/>
    <x v="11"/>
  </r>
  <r>
    <s v="327"/>
    <s v="7"/>
    <s v="4"/>
    <s v="4"/>
    <n v="178000"/>
    <x v="210"/>
    <x v="0"/>
    <x v="11"/>
  </r>
  <r>
    <s v="328"/>
    <s v="7"/>
    <s v="1"/>
    <s v="2"/>
    <n v="105000"/>
    <x v="210"/>
    <x v="0"/>
    <x v="11"/>
  </r>
  <r>
    <s v="329"/>
    <s v="1"/>
    <s v="3"/>
    <s v="2"/>
    <n v="221000"/>
    <x v="211"/>
    <x v="0"/>
    <x v="11"/>
  </r>
  <r>
    <s v="330"/>
    <s v="1"/>
    <s v="6"/>
    <s v="2"/>
    <n v="53000"/>
    <x v="212"/>
    <x v="0"/>
    <x v="11"/>
  </r>
  <r>
    <s v="331"/>
    <s v="5"/>
    <s v="3"/>
    <s v="5"/>
    <n v="202000"/>
    <x v="213"/>
    <x v="0"/>
    <x v="11"/>
  </r>
  <r>
    <s v="332"/>
    <s v="7"/>
    <s v="4"/>
    <s v="5"/>
    <n v="270000"/>
    <x v="213"/>
    <x v="0"/>
    <x v="11"/>
  </r>
  <r>
    <s v="333"/>
    <s v="4"/>
    <s v="4"/>
    <s v="6"/>
    <n v="140000"/>
    <x v="213"/>
    <x v="0"/>
    <x v="11"/>
  </r>
  <r>
    <s v="334"/>
    <s v="7"/>
    <s v="4"/>
    <s v="1"/>
    <n v="85000"/>
    <x v="214"/>
    <x v="0"/>
    <x v="11"/>
  </r>
  <r>
    <s v="335"/>
    <s v="1"/>
    <s v="4"/>
    <s v="6"/>
    <n v="88000"/>
    <x v="214"/>
    <x v="0"/>
    <x v="11"/>
  </r>
  <r>
    <s v="336"/>
    <s v="9"/>
    <s v="5"/>
    <s v="1"/>
    <n v="103000"/>
    <x v="215"/>
    <x v="0"/>
    <x v="11"/>
  </r>
  <r>
    <s v="337"/>
    <s v="3"/>
    <s v="1"/>
    <s v="1"/>
    <n v="227000"/>
    <x v="216"/>
    <x v="0"/>
    <x v="11"/>
  </r>
  <r>
    <s v="338"/>
    <s v="4"/>
    <s v="5"/>
    <s v="2"/>
    <n v="280000"/>
    <x v="216"/>
    <x v="0"/>
    <x v="11"/>
  </r>
  <r>
    <s v="339"/>
    <s v="4"/>
    <s v="4"/>
    <s v="1"/>
    <n v="112000"/>
    <x v="217"/>
    <x v="0"/>
    <x v="11"/>
  </r>
  <r>
    <s v="340"/>
    <s v="9"/>
    <s v="7"/>
    <s v="6"/>
    <n v="159000"/>
    <x v="217"/>
    <x v="0"/>
    <x v="11"/>
  </r>
  <r>
    <s v="341"/>
    <s v="3"/>
    <s v="1"/>
    <s v="4"/>
    <n v="272000"/>
    <x v="218"/>
    <x v="0"/>
    <x v="11"/>
  </r>
  <r>
    <s v="342"/>
    <s v="7"/>
    <s v="3"/>
    <s v="3"/>
    <n v="284000"/>
    <x v="219"/>
    <x v="0"/>
    <x v="11"/>
  </r>
  <r>
    <s v="343"/>
    <s v="2"/>
    <s v="2"/>
    <s v="3"/>
    <n v="120000"/>
    <x v="219"/>
    <x v="0"/>
    <x v="11"/>
  </r>
  <r>
    <s v="344"/>
    <s v="4"/>
    <s v="1"/>
    <s v="4"/>
    <n v="81000"/>
    <x v="220"/>
    <x v="0"/>
    <x v="11"/>
  </r>
  <r>
    <s v="345"/>
    <s v="7"/>
    <s v="2"/>
    <s v="6"/>
    <n v="272000"/>
    <x v="220"/>
    <x v="0"/>
    <x v="11"/>
  </r>
  <r>
    <s v="346"/>
    <s v="6"/>
    <s v="2"/>
    <s v="1"/>
    <n v="294000"/>
    <x v="221"/>
    <x v="1"/>
    <x v="0"/>
  </r>
  <r>
    <s v="347"/>
    <s v="1"/>
    <s v="4"/>
    <s v="4"/>
    <n v="234000"/>
    <x v="221"/>
    <x v="1"/>
    <x v="0"/>
  </r>
  <r>
    <s v="348"/>
    <s v="3"/>
    <s v="3"/>
    <s v="1"/>
    <n v="110000"/>
    <x v="222"/>
    <x v="1"/>
    <x v="0"/>
  </r>
  <r>
    <s v="349"/>
    <s v="1"/>
    <s v="4"/>
    <s v="6"/>
    <n v="137000"/>
    <x v="223"/>
    <x v="1"/>
    <x v="0"/>
  </r>
  <r>
    <s v="350"/>
    <s v="8"/>
    <s v="4"/>
    <s v="5"/>
    <n v="273000"/>
    <x v="224"/>
    <x v="1"/>
    <x v="0"/>
  </r>
  <r>
    <s v="351"/>
    <s v="1"/>
    <s v="7"/>
    <s v="2"/>
    <n v="157000"/>
    <x v="225"/>
    <x v="1"/>
    <x v="0"/>
  </r>
  <r>
    <s v="352"/>
    <s v="5"/>
    <s v="5"/>
    <s v="3"/>
    <n v="212000"/>
    <x v="226"/>
    <x v="1"/>
    <x v="0"/>
  </r>
  <r>
    <s v="353"/>
    <s v="5"/>
    <s v="2"/>
    <s v="5"/>
    <n v="281000"/>
    <x v="226"/>
    <x v="1"/>
    <x v="0"/>
  </r>
  <r>
    <s v="354"/>
    <s v="1"/>
    <s v="5"/>
    <s v="2"/>
    <n v="91000"/>
    <x v="226"/>
    <x v="1"/>
    <x v="0"/>
  </r>
  <r>
    <s v="355"/>
    <s v="4"/>
    <s v="6"/>
    <s v="1"/>
    <n v="85000"/>
    <x v="227"/>
    <x v="1"/>
    <x v="0"/>
  </r>
  <r>
    <s v="356"/>
    <s v="2"/>
    <s v="6"/>
    <s v="3"/>
    <n v="170000"/>
    <x v="227"/>
    <x v="1"/>
    <x v="0"/>
  </r>
  <r>
    <s v="357"/>
    <s v="7"/>
    <s v="6"/>
    <s v="2"/>
    <n v="213000"/>
    <x v="228"/>
    <x v="1"/>
    <x v="0"/>
  </r>
  <r>
    <s v="358"/>
    <s v="7"/>
    <s v="6"/>
    <s v="1"/>
    <n v="107000"/>
    <x v="228"/>
    <x v="1"/>
    <x v="0"/>
  </r>
  <r>
    <s v="359"/>
    <s v="7"/>
    <s v="6"/>
    <s v="6"/>
    <n v="216000"/>
    <x v="229"/>
    <x v="1"/>
    <x v="0"/>
  </r>
  <r>
    <s v="360"/>
    <s v="1"/>
    <s v="5"/>
    <s v="6"/>
    <n v="117000"/>
    <x v="230"/>
    <x v="1"/>
    <x v="0"/>
  </r>
  <r>
    <s v="361"/>
    <s v="8"/>
    <s v="1"/>
    <s v="1"/>
    <n v="238000"/>
    <x v="231"/>
    <x v="1"/>
    <x v="0"/>
  </r>
  <r>
    <s v="362"/>
    <s v="1"/>
    <s v="5"/>
    <s v="5"/>
    <n v="274000"/>
    <x v="231"/>
    <x v="1"/>
    <x v="0"/>
  </r>
  <r>
    <s v="363"/>
    <s v="4"/>
    <s v="7"/>
    <s v="2"/>
    <n v="197000"/>
    <x v="232"/>
    <x v="1"/>
    <x v="0"/>
  </r>
  <r>
    <s v="364"/>
    <s v="7"/>
    <s v="1"/>
    <s v="2"/>
    <n v="124000"/>
    <x v="233"/>
    <x v="1"/>
    <x v="0"/>
  </r>
  <r>
    <s v="365"/>
    <s v="7"/>
    <s v="2"/>
    <s v="2"/>
    <n v="42000"/>
    <x v="234"/>
    <x v="1"/>
    <x v="0"/>
  </r>
  <r>
    <s v="366"/>
    <s v="9"/>
    <s v="2"/>
    <s v="3"/>
    <n v="68000"/>
    <x v="234"/>
    <x v="1"/>
    <x v="0"/>
  </r>
  <r>
    <s v="367"/>
    <s v="6"/>
    <s v="4"/>
    <s v="5"/>
    <n v="152000"/>
    <x v="235"/>
    <x v="1"/>
    <x v="0"/>
  </r>
  <r>
    <s v="368"/>
    <s v="1"/>
    <s v="4"/>
    <s v="5"/>
    <n v="106000"/>
    <x v="236"/>
    <x v="1"/>
    <x v="0"/>
  </r>
  <r>
    <s v="369"/>
    <s v="2"/>
    <s v="1"/>
    <s v="6"/>
    <n v="241000"/>
    <x v="237"/>
    <x v="1"/>
    <x v="0"/>
  </r>
  <r>
    <s v="370"/>
    <s v="5"/>
    <s v="6"/>
    <s v="5"/>
    <n v="282000"/>
    <x v="238"/>
    <x v="1"/>
    <x v="0"/>
  </r>
  <r>
    <s v="371"/>
    <s v="7"/>
    <s v="4"/>
    <s v="5"/>
    <n v="139000"/>
    <x v="238"/>
    <x v="1"/>
    <x v="0"/>
  </r>
  <r>
    <s v="372"/>
    <s v="8"/>
    <s v="6"/>
    <s v="6"/>
    <n v="296000"/>
    <x v="238"/>
    <x v="1"/>
    <x v="0"/>
  </r>
  <r>
    <s v="373"/>
    <s v="8"/>
    <s v="1"/>
    <s v="1"/>
    <n v="166000"/>
    <x v="239"/>
    <x v="1"/>
    <x v="0"/>
  </r>
  <r>
    <s v="374"/>
    <s v="5"/>
    <s v="4"/>
    <s v="4"/>
    <n v="47000"/>
    <x v="240"/>
    <x v="1"/>
    <x v="1"/>
  </r>
  <r>
    <s v="375"/>
    <s v="4"/>
    <s v="6"/>
    <s v="3"/>
    <n v="51000"/>
    <x v="241"/>
    <x v="1"/>
    <x v="1"/>
  </r>
  <r>
    <s v="376"/>
    <s v="6"/>
    <s v="1"/>
    <s v="5"/>
    <n v="281000"/>
    <x v="241"/>
    <x v="1"/>
    <x v="1"/>
  </r>
  <r>
    <s v="377"/>
    <s v="8"/>
    <s v="1"/>
    <s v="6"/>
    <n v="284000"/>
    <x v="242"/>
    <x v="1"/>
    <x v="1"/>
  </r>
  <r>
    <s v="378"/>
    <s v="3"/>
    <s v="4"/>
    <s v="4"/>
    <n v="271000"/>
    <x v="243"/>
    <x v="1"/>
    <x v="1"/>
  </r>
  <r>
    <s v="379"/>
    <s v="4"/>
    <s v="1"/>
    <s v="5"/>
    <n v="161000"/>
    <x v="244"/>
    <x v="1"/>
    <x v="1"/>
  </r>
  <r>
    <s v="380"/>
    <s v="9"/>
    <s v="4"/>
    <s v="2"/>
    <n v="36000"/>
    <x v="245"/>
    <x v="1"/>
    <x v="1"/>
  </r>
  <r>
    <s v="381"/>
    <s v="5"/>
    <s v="2"/>
    <s v="5"/>
    <n v="298000"/>
    <x v="245"/>
    <x v="1"/>
    <x v="1"/>
  </r>
  <r>
    <s v="382"/>
    <s v="8"/>
    <s v="2"/>
    <s v="6"/>
    <n v="86000"/>
    <x v="246"/>
    <x v="1"/>
    <x v="1"/>
  </r>
  <r>
    <s v="383"/>
    <s v="2"/>
    <s v="6"/>
    <s v="1"/>
    <n v="71000"/>
    <x v="246"/>
    <x v="1"/>
    <x v="1"/>
  </r>
  <r>
    <s v="384"/>
    <s v="1"/>
    <s v="5"/>
    <s v="2"/>
    <n v="123000"/>
    <x v="247"/>
    <x v="1"/>
    <x v="1"/>
  </r>
  <r>
    <s v="385"/>
    <s v="7"/>
    <s v="4"/>
    <s v="5"/>
    <n v="175000"/>
    <x v="247"/>
    <x v="1"/>
    <x v="1"/>
  </r>
  <r>
    <s v="386"/>
    <s v="8"/>
    <s v="6"/>
    <s v="5"/>
    <n v="113000"/>
    <x v="248"/>
    <x v="1"/>
    <x v="1"/>
  </r>
  <r>
    <s v="387"/>
    <s v="4"/>
    <s v="3"/>
    <s v="6"/>
    <n v="270000"/>
    <x v="249"/>
    <x v="1"/>
    <x v="1"/>
  </r>
  <r>
    <s v="388"/>
    <s v="2"/>
    <s v="7"/>
    <s v="4"/>
    <n v="191000"/>
    <x v="250"/>
    <x v="1"/>
    <x v="1"/>
  </r>
  <r>
    <s v="389"/>
    <s v="9"/>
    <s v="5"/>
    <s v="2"/>
    <n v="46000"/>
    <x v="251"/>
    <x v="1"/>
    <x v="1"/>
  </r>
  <r>
    <s v="390"/>
    <s v="5"/>
    <s v="4"/>
    <s v="3"/>
    <n v="261000"/>
    <x v="252"/>
    <x v="1"/>
    <x v="1"/>
  </r>
  <r>
    <s v="391"/>
    <s v="3"/>
    <s v="2"/>
    <s v="1"/>
    <n v="35000"/>
    <x v="253"/>
    <x v="1"/>
    <x v="1"/>
  </r>
  <r>
    <s v="392"/>
    <s v="9"/>
    <s v="3"/>
    <s v="6"/>
    <n v="264000"/>
    <x v="253"/>
    <x v="1"/>
    <x v="1"/>
  </r>
  <r>
    <s v="393"/>
    <s v="2"/>
    <s v="7"/>
    <s v="5"/>
    <n v="63000"/>
    <x v="254"/>
    <x v="1"/>
    <x v="1"/>
  </r>
  <r>
    <s v="394"/>
    <s v="6"/>
    <s v="6"/>
    <s v="3"/>
    <n v="134000"/>
    <x v="254"/>
    <x v="1"/>
    <x v="1"/>
  </r>
  <r>
    <s v="395"/>
    <s v="3"/>
    <s v="1"/>
    <s v="1"/>
    <n v="253000"/>
    <x v="255"/>
    <x v="1"/>
    <x v="1"/>
  </r>
  <r>
    <s v="396"/>
    <s v="1"/>
    <s v="7"/>
    <s v="5"/>
    <n v="87000"/>
    <x v="256"/>
    <x v="1"/>
    <x v="1"/>
  </r>
  <r>
    <s v="397"/>
    <s v="5"/>
    <s v="5"/>
    <s v="2"/>
    <n v="253000"/>
    <x v="256"/>
    <x v="1"/>
    <x v="1"/>
  </r>
  <r>
    <s v="398"/>
    <s v="9"/>
    <s v="4"/>
    <s v="1"/>
    <n v="237000"/>
    <x v="257"/>
    <x v="1"/>
    <x v="2"/>
  </r>
  <r>
    <s v="399"/>
    <s v="8"/>
    <s v="3"/>
    <s v="3"/>
    <n v="129000"/>
    <x v="258"/>
    <x v="1"/>
    <x v="2"/>
  </r>
  <r>
    <s v="400"/>
    <s v="7"/>
    <s v="5"/>
    <s v="4"/>
    <n v="168000"/>
    <x v="259"/>
    <x v="1"/>
    <x v="2"/>
  </r>
  <r>
    <s v="401"/>
    <s v="8"/>
    <s v="1"/>
    <s v="6"/>
    <n v="174000"/>
    <x v="260"/>
    <x v="1"/>
    <x v="2"/>
  </r>
  <r>
    <s v="402"/>
    <s v="9"/>
    <s v="1"/>
    <s v="5"/>
    <n v="210000"/>
    <x v="261"/>
    <x v="1"/>
    <x v="2"/>
  </r>
  <r>
    <s v="403"/>
    <s v="8"/>
    <s v="1"/>
    <s v="6"/>
    <n v="94000"/>
    <x v="262"/>
    <x v="1"/>
    <x v="2"/>
  </r>
  <r>
    <s v="404"/>
    <s v="2"/>
    <s v="4"/>
    <s v="5"/>
    <n v="71000"/>
    <x v="263"/>
    <x v="1"/>
    <x v="2"/>
  </r>
  <r>
    <s v="405"/>
    <s v="4"/>
    <s v="5"/>
    <s v="5"/>
    <n v="255000"/>
    <x v="263"/>
    <x v="1"/>
    <x v="2"/>
  </r>
  <r>
    <s v="406"/>
    <s v="5"/>
    <s v="7"/>
    <s v="4"/>
    <n v="80000"/>
    <x v="264"/>
    <x v="1"/>
    <x v="2"/>
  </r>
  <r>
    <s v="407"/>
    <s v="4"/>
    <s v="7"/>
    <s v="4"/>
    <n v="87000"/>
    <x v="265"/>
    <x v="1"/>
    <x v="2"/>
  </r>
  <r>
    <s v="408"/>
    <s v="8"/>
    <s v="3"/>
    <s v="2"/>
    <n v="141000"/>
    <x v="266"/>
    <x v="1"/>
    <x v="2"/>
  </r>
  <r>
    <s v="409"/>
    <s v="6"/>
    <s v="1"/>
    <s v="1"/>
    <n v="70000"/>
    <x v="267"/>
    <x v="1"/>
    <x v="2"/>
  </r>
  <r>
    <s v="410"/>
    <s v="1"/>
    <s v="1"/>
    <s v="5"/>
    <n v="266000"/>
    <x v="267"/>
    <x v="1"/>
    <x v="2"/>
  </r>
  <r>
    <s v="411"/>
    <s v="1"/>
    <s v="6"/>
    <s v="3"/>
    <n v="41000"/>
    <x v="267"/>
    <x v="1"/>
    <x v="2"/>
  </r>
  <r>
    <s v="412"/>
    <s v="8"/>
    <s v="7"/>
    <s v="5"/>
    <n v="238000"/>
    <x v="267"/>
    <x v="1"/>
    <x v="2"/>
  </r>
  <r>
    <s v="413"/>
    <s v="3"/>
    <s v="2"/>
    <s v="6"/>
    <n v="55000"/>
    <x v="268"/>
    <x v="1"/>
    <x v="2"/>
  </r>
  <r>
    <s v="414"/>
    <s v="8"/>
    <s v="7"/>
    <s v="6"/>
    <n v="146000"/>
    <x v="269"/>
    <x v="1"/>
    <x v="2"/>
  </r>
  <r>
    <s v="415"/>
    <s v="2"/>
    <s v="6"/>
    <s v="2"/>
    <n v="95000"/>
    <x v="270"/>
    <x v="1"/>
    <x v="2"/>
  </r>
  <r>
    <s v="416"/>
    <s v="1"/>
    <s v="2"/>
    <s v="6"/>
    <n v="248000"/>
    <x v="271"/>
    <x v="1"/>
    <x v="2"/>
  </r>
  <r>
    <s v="417"/>
    <s v="1"/>
    <s v="1"/>
    <s v="6"/>
    <n v="204000"/>
    <x v="272"/>
    <x v="1"/>
    <x v="2"/>
  </r>
  <r>
    <s v="418"/>
    <s v="7"/>
    <s v="3"/>
    <s v="2"/>
    <n v="139000"/>
    <x v="273"/>
    <x v="1"/>
    <x v="2"/>
  </r>
  <r>
    <s v="419"/>
    <s v="2"/>
    <s v="1"/>
    <s v="4"/>
    <n v="196000"/>
    <x v="274"/>
    <x v="1"/>
    <x v="2"/>
  </r>
  <r>
    <s v="420"/>
    <s v="6"/>
    <s v="1"/>
    <s v="6"/>
    <n v="273000"/>
    <x v="275"/>
    <x v="1"/>
    <x v="2"/>
  </r>
  <r>
    <s v="421"/>
    <s v="2"/>
    <s v="5"/>
    <s v="5"/>
    <n v="107000"/>
    <x v="276"/>
    <x v="1"/>
    <x v="2"/>
  </r>
  <r>
    <s v="422"/>
    <s v="8"/>
    <s v="7"/>
    <s v="2"/>
    <n v="147000"/>
    <x v="276"/>
    <x v="1"/>
    <x v="2"/>
  </r>
  <r>
    <s v="423"/>
    <s v="9"/>
    <s v="5"/>
    <s v="5"/>
    <n v="261000"/>
    <x v="276"/>
    <x v="1"/>
    <x v="2"/>
  </r>
  <r>
    <s v="424"/>
    <s v="4"/>
    <s v="3"/>
    <s v="6"/>
    <n v="83000"/>
    <x v="276"/>
    <x v="1"/>
    <x v="2"/>
  </r>
  <r>
    <s v="425"/>
    <s v="1"/>
    <s v="7"/>
    <s v="5"/>
    <n v="165000"/>
    <x v="277"/>
    <x v="1"/>
    <x v="2"/>
  </r>
  <r>
    <s v="426"/>
    <s v="4"/>
    <s v="3"/>
    <s v="3"/>
    <n v="214000"/>
    <x v="277"/>
    <x v="1"/>
    <x v="2"/>
  </r>
  <r>
    <s v="427"/>
    <s v="6"/>
    <s v="1"/>
    <s v="5"/>
    <n v="241000"/>
    <x v="277"/>
    <x v="1"/>
    <x v="2"/>
  </r>
  <r>
    <s v="428"/>
    <s v="5"/>
    <s v="2"/>
    <s v="3"/>
    <n v="265000"/>
    <x v="278"/>
    <x v="1"/>
    <x v="3"/>
  </r>
  <r>
    <s v="429"/>
    <s v="8"/>
    <s v="2"/>
    <s v="1"/>
    <n v="184000"/>
    <x v="279"/>
    <x v="1"/>
    <x v="3"/>
  </r>
  <r>
    <s v="430"/>
    <s v="9"/>
    <s v="4"/>
    <s v="3"/>
    <n v="179000"/>
    <x v="280"/>
    <x v="1"/>
    <x v="3"/>
  </r>
  <r>
    <s v="431"/>
    <s v="8"/>
    <s v="3"/>
    <s v="3"/>
    <n v="159000"/>
    <x v="281"/>
    <x v="1"/>
    <x v="3"/>
  </r>
  <r>
    <s v="432"/>
    <s v="7"/>
    <s v="5"/>
    <s v="1"/>
    <n v="170000"/>
    <x v="282"/>
    <x v="1"/>
    <x v="3"/>
  </r>
  <r>
    <s v="433"/>
    <s v="9"/>
    <s v="3"/>
    <s v="6"/>
    <n v="182000"/>
    <x v="283"/>
    <x v="1"/>
    <x v="3"/>
  </r>
  <r>
    <s v="434"/>
    <s v="4"/>
    <s v="2"/>
    <s v="5"/>
    <n v="58000"/>
    <x v="284"/>
    <x v="1"/>
    <x v="3"/>
  </r>
  <r>
    <s v="435"/>
    <s v="7"/>
    <s v="3"/>
    <s v="6"/>
    <n v="46000"/>
    <x v="284"/>
    <x v="1"/>
    <x v="3"/>
  </r>
  <r>
    <s v="436"/>
    <s v="3"/>
    <s v="2"/>
    <s v="3"/>
    <n v="93000"/>
    <x v="284"/>
    <x v="1"/>
    <x v="3"/>
  </r>
  <r>
    <s v="437"/>
    <s v="5"/>
    <s v="3"/>
    <s v="5"/>
    <n v="108000"/>
    <x v="285"/>
    <x v="1"/>
    <x v="3"/>
  </r>
  <r>
    <s v="438"/>
    <s v="1"/>
    <s v="2"/>
    <s v="1"/>
    <n v="202000"/>
    <x v="286"/>
    <x v="1"/>
    <x v="3"/>
  </r>
  <r>
    <s v="439"/>
    <s v="9"/>
    <s v="5"/>
    <s v="4"/>
    <n v="154000"/>
    <x v="287"/>
    <x v="1"/>
    <x v="3"/>
  </r>
  <r>
    <s v="440"/>
    <s v="5"/>
    <s v="3"/>
    <s v="2"/>
    <n v="118000"/>
    <x v="287"/>
    <x v="1"/>
    <x v="3"/>
  </r>
  <r>
    <s v="441"/>
    <s v="5"/>
    <s v="6"/>
    <s v="2"/>
    <n v="268000"/>
    <x v="288"/>
    <x v="1"/>
    <x v="3"/>
  </r>
  <r>
    <s v="442"/>
    <s v="8"/>
    <s v="5"/>
    <s v="2"/>
    <n v="82000"/>
    <x v="288"/>
    <x v="1"/>
    <x v="3"/>
  </r>
  <r>
    <s v="443"/>
    <s v="6"/>
    <s v="1"/>
    <s v="4"/>
    <n v="200000"/>
    <x v="289"/>
    <x v="1"/>
    <x v="3"/>
  </r>
  <r>
    <s v="444"/>
    <s v="1"/>
    <s v="3"/>
    <s v="4"/>
    <n v="94000"/>
    <x v="290"/>
    <x v="1"/>
    <x v="3"/>
  </r>
  <r>
    <s v="445"/>
    <s v="2"/>
    <s v="6"/>
    <s v="2"/>
    <n v="215000"/>
    <x v="291"/>
    <x v="1"/>
    <x v="3"/>
  </r>
  <r>
    <s v="446"/>
    <s v="9"/>
    <s v="3"/>
    <s v="2"/>
    <n v="69000"/>
    <x v="292"/>
    <x v="1"/>
    <x v="3"/>
  </r>
  <r>
    <s v="447"/>
    <s v="1"/>
    <s v="6"/>
    <s v="4"/>
    <n v="38000"/>
    <x v="293"/>
    <x v="1"/>
    <x v="3"/>
  </r>
  <r>
    <s v="448"/>
    <s v="7"/>
    <s v="5"/>
    <s v="4"/>
    <n v="272000"/>
    <x v="294"/>
    <x v="1"/>
    <x v="3"/>
  </r>
  <r>
    <s v="449"/>
    <s v="7"/>
    <s v="3"/>
    <s v="4"/>
    <n v="90000"/>
    <x v="295"/>
    <x v="1"/>
    <x v="4"/>
  </r>
  <r>
    <s v="450"/>
    <s v="2"/>
    <s v="3"/>
    <s v="1"/>
    <n v="215000"/>
    <x v="296"/>
    <x v="1"/>
    <x v="4"/>
  </r>
  <r>
    <s v="451"/>
    <s v="4"/>
    <s v="4"/>
    <s v="6"/>
    <n v="171000"/>
    <x v="296"/>
    <x v="1"/>
    <x v="4"/>
  </r>
  <r>
    <s v="452"/>
    <s v="6"/>
    <s v="6"/>
    <s v="1"/>
    <n v="150000"/>
    <x v="297"/>
    <x v="1"/>
    <x v="4"/>
  </r>
  <r>
    <s v="453"/>
    <s v="8"/>
    <s v="3"/>
    <s v="4"/>
    <n v="156000"/>
    <x v="298"/>
    <x v="1"/>
    <x v="4"/>
  </r>
  <r>
    <s v="454"/>
    <s v="3"/>
    <s v="2"/>
    <s v="4"/>
    <n v="114000"/>
    <x v="298"/>
    <x v="1"/>
    <x v="4"/>
  </r>
  <r>
    <s v="455"/>
    <s v="7"/>
    <s v="5"/>
    <s v="6"/>
    <n v="53000"/>
    <x v="299"/>
    <x v="1"/>
    <x v="4"/>
  </r>
  <r>
    <s v="456"/>
    <s v="9"/>
    <s v="6"/>
    <s v="1"/>
    <n v="99000"/>
    <x v="300"/>
    <x v="1"/>
    <x v="4"/>
  </r>
  <r>
    <s v="457"/>
    <s v="1"/>
    <s v="2"/>
    <s v="2"/>
    <n v="75000"/>
    <x v="301"/>
    <x v="1"/>
    <x v="4"/>
  </r>
  <r>
    <s v="458"/>
    <s v="3"/>
    <s v="3"/>
    <s v="5"/>
    <n v="182000"/>
    <x v="302"/>
    <x v="1"/>
    <x v="4"/>
  </r>
  <r>
    <s v="459"/>
    <s v="8"/>
    <s v="2"/>
    <s v="2"/>
    <n v="299000"/>
    <x v="303"/>
    <x v="1"/>
    <x v="4"/>
  </r>
  <r>
    <s v="460"/>
    <s v="4"/>
    <s v="7"/>
    <s v="6"/>
    <n v="217000"/>
    <x v="304"/>
    <x v="1"/>
    <x v="4"/>
  </r>
  <r>
    <s v="461"/>
    <s v="4"/>
    <s v="2"/>
    <s v="4"/>
    <n v="158000"/>
    <x v="304"/>
    <x v="1"/>
    <x v="4"/>
  </r>
  <r>
    <s v="462"/>
    <s v="8"/>
    <s v="6"/>
    <s v="5"/>
    <n v="235000"/>
    <x v="305"/>
    <x v="1"/>
    <x v="4"/>
  </r>
  <r>
    <s v="463"/>
    <s v="2"/>
    <s v="3"/>
    <s v="6"/>
    <n v="267000"/>
    <x v="306"/>
    <x v="1"/>
    <x v="4"/>
  </r>
  <r>
    <s v="464"/>
    <s v="2"/>
    <s v="2"/>
    <s v="1"/>
    <n v="290000"/>
    <x v="307"/>
    <x v="1"/>
    <x v="4"/>
  </r>
  <r>
    <s v="465"/>
    <s v="3"/>
    <s v="2"/>
    <s v="6"/>
    <n v="245000"/>
    <x v="307"/>
    <x v="1"/>
    <x v="4"/>
  </r>
  <r>
    <s v="466"/>
    <s v="2"/>
    <s v="7"/>
    <s v="2"/>
    <n v="232000"/>
    <x v="307"/>
    <x v="1"/>
    <x v="4"/>
  </r>
  <r>
    <s v="467"/>
    <s v="9"/>
    <s v="5"/>
    <s v="2"/>
    <n v="252000"/>
    <x v="308"/>
    <x v="1"/>
    <x v="4"/>
  </r>
  <r>
    <s v="468"/>
    <s v="6"/>
    <s v="5"/>
    <s v="1"/>
    <n v="280000"/>
    <x v="309"/>
    <x v="1"/>
    <x v="4"/>
  </r>
  <r>
    <s v="469"/>
    <s v="6"/>
    <s v="6"/>
    <s v="5"/>
    <n v="217000"/>
    <x v="310"/>
    <x v="1"/>
    <x v="4"/>
  </r>
  <r>
    <s v="470"/>
    <s v="9"/>
    <s v="4"/>
    <s v="4"/>
    <n v="198000"/>
    <x v="311"/>
    <x v="1"/>
    <x v="4"/>
  </r>
  <r>
    <s v="471"/>
    <s v="4"/>
    <s v="7"/>
    <s v="1"/>
    <n v="278000"/>
    <x v="311"/>
    <x v="1"/>
    <x v="4"/>
  </r>
  <r>
    <s v="472"/>
    <s v="2"/>
    <s v="5"/>
    <s v="4"/>
    <n v="100000"/>
    <x v="312"/>
    <x v="1"/>
    <x v="4"/>
  </r>
  <r>
    <s v="473"/>
    <s v="3"/>
    <s v="4"/>
    <s v="3"/>
    <n v="34000"/>
    <x v="312"/>
    <x v="1"/>
    <x v="4"/>
  </r>
  <r>
    <s v="474"/>
    <s v="6"/>
    <s v="2"/>
    <s v="2"/>
    <n v="85000"/>
    <x v="313"/>
    <x v="1"/>
    <x v="4"/>
  </r>
  <r>
    <s v="475"/>
    <s v="1"/>
    <s v="3"/>
    <s v="3"/>
    <n v="247000"/>
    <x v="313"/>
    <x v="1"/>
    <x v="4"/>
  </r>
  <r>
    <s v="476"/>
    <s v="5"/>
    <s v="4"/>
    <s v="5"/>
    <n v="233000"/>
    <x v="313"/>
    <x v="1"/>
    <x v="4"/>
  </r>
  <r>
    <s v="477"/>
    <s v="4"/>
    <s v="4"/>
    <s v="4"/>
    <n v="122000"/>
    <x v="314"/>
    <x v="1"/>
    <x v="4"/>
  </r>
  <r>
    <s v="478"/>
    <s v="7"/>
    <s v="4"/>
    <s v="2"/>
    <n v="88000"/>
    <x v="315"/>
    <x v="1"/>
    <x v="4"/>
  </r>
  <r>
    <s v="479"/>
    <s v="3"/>
    <s v="4"/>
    <s v="3"/>
    <n v="137000"/>
    <x v="316"/>
    <x v="1"/>
    <x v="4"/>
  </r>
  <r>
    <s v="480"/>
    <s v="9"/>
    <s v="3"/>
    <s v="5"/>
    <n v="109000"/>
    <x v="317"/>
    <x v="1"/>
    <x v="4"/>
  </r>
  <r>
    <s v="481"/>
    <s v="8"/>
    <s v="2"/>
    <s v="2"/>
    <n v="241000"/>
    <x v="317"/>
    <x v="1"/>
    <x v="4"/>
  </r>
  <r>
    <s v="482"/>
    <s v="7"/>
    <s v="6"/>
    <s v="3"/>
    <n v="286000"/>
    <x v="318"/>
    <x v="1"/>
    <x v="4"/>
  </r>
  <r>
    <s v="483"/>
    <s v="3"/>
    <s v="7"/>
    <s v="6"/>
    <n v="276000"/>
    <x v="318"/>
    <x v="1"/>
    <x v="4"/>
  </r>
  <r>
    <s v="484"/>
    <s v="1"/>
    <s v="1"/>
    <s v="4"/>
    <n v="267000"/>
    <x v="319"/>
    <x v="1"/>
    <x v="4"/>
  </r>
  <r>
    <s v="485"/>
    <s v="9"/>
    <s v="2"/>
    <s v="6"/>
    <n v="144000"/>
    <x v="320"/>
    <x v="1"/>
    <x v="5"/>
  </r>
  <r>
    <s v="486"/>
    <s v="1"/>
    <s v="1"/>
    <s v="2"/>
    <n v="145000"/>
    <x v="321"/>
    <x v="1"/>
    <x v="5"/>
  </r>
  <r>
    <s v="487"/>
    <s v="7"/>
    <s v="2"/>
    <s v="4"/>
    <n v="148000"/>
    <x v="322"/>
    <x v="1"/>
    <x v="5"/>
  </r>
  <r>
    <s v="488"/>
    <s v="8"/>
    <s v="1"/>
    <s v="1"/>
    <n v="78000"/>
    <x v="323"/>
    <x v="1"/>
    <x v="5"/>
  </r>
  <r>
    <s v="489"/>
    <s v="7"/>
    <s v="7"/>
    <s v="1"/>
    <n v="135000"/>
    <x v="324"/>
    <x v="1"/>
    <x v="5"/>
  </r>
  <r>
    <s v="490"/>
    <s v="3"/>
    <s v="7"/>
    <s v="4"/>
    <n v="253000"/>
    <x v="325"/>
    <x v="1"/>
    <x v="5"/>
  </r>
  <r>
    <s v="491"/>
    <s v="6"/>
    <s v="7"/>
    <s v="4"/>
    <n v="78000"/>
    <x v="326"/>
    <x v="1"/>
    <x v="5"/>
  </r>
  <r>
    <s v="492"/>
    <s v="3"/>
    <s v="2"/>
    <s v="1"/>
    <n v="33000"/>
    <x v="327"/>
    <x v="1"/>
    <x v="5"/>
  </r>
  <r>
    <s v="493"/>
    <s v="4"/>
    <s v="5"/>
    <s v="4"/>
    <n v="208000"/>
    <x v="328"/>
    <x v="1"/>
    <x v="5"/>
  </r>
  <r>
    <s v="494"/>
    <s v="2"/>
    <s v="7"/>
    <s v="3"/>
    <n v="152000"/>
    <x v="328"/>
    <x v="1"/>
    <x v="5"/>
  </r>
  <r>
    <s v="495"/>
    <s v="5"/>
    <s v="4"/>
    <s v="4"/>
    <n v="235000"/>
    <x v="329"/>
    <x v="1"/>
    <x v="5"/>
  </r>
  <r>
    <s v="496"/>
    <s v="5"/>
    <s v="1"/>
    <s v="1"/>
    <n v="42000"/>
    <x v="330"/>
    <x v="1"/>
    <x v="5"/>
  </r>
  <r>
    <s v="497"/>
    <s v="6"/>
    <s v="1"/>
    <s v="1"/>
    <n v="31000"/>
    <x v="331"/>
    <x v="1"/>
    <x v="5"/>
  </r>
  <r>
    <s v="498"/>
    <s v="3"/>
    <s v="6"/>
    <s v="5"/>
    <n v="240000"/>
    <x v="332"/>
    <x v="1"/>
    <x v="5"/>
  </r>
  <r>
    <s v="499"/>
    <s v="3"/>
    <s v="4"/>
    <s v="5"/>
    <n v="295000"/>
    <x v="333"/>
    <x v="1"/>
    <x v="5"/>
  </r>
  <r>
    <s v="500"/>
    <s v="5"/>
    <s v="2"/>
    <s v="6"/>
    <n v="31000"/>
    <x v="333"/>
    <x v="1"/>
    <x v="5"/>
  </r>
  <r>
    <s v="501"/>
    <s v="9"/>
    <s v="7"/>
    <s v="6"/>
    <n v="278000"/>
    <x v="334"/>
    <x v="1"/>
    <x v="5"/>
  </r>
  <r>
    <s v="502"/>
    <s v="4"/>
    <s v="1"/>
    <s v="1"/>
    <n v="218000"/>
    <x v="334"/>
    <x v="1"/>
    <x v="5"/>
  </r>
  <r>
    <s v="503"/>
    <s v="5"/>
    <s v="4"/>
    <s v="5"/>
    <n v="297000"/>
    <x v="334"/>
    <x v="1"/>
    <x v="5"/>
  </r>
  <r>
    <s v="504"/>
    <s v="6"/>
    <s v="6"/>
    <s v="6"/>
    <n v="241000"/>
    <x v="334"/>
    <x v="1"/>
    <x v="5"/>
  </r>
  <r>
    <s v="505"/>
    <s v="5"/>
    <s v="6"/>
    <s v="4"/>
    <n v="108000"/>
    <x v="335"/>
    <x v="1"/>
    <x v="5"/>
  </r>
  <r>
    <s v="506"/>
    <s v="5"/>
    <s v="7"/>
    <s v="6"/>
    <n v="108000"/>
    <x v="336"/>
    <x v="1"/>
    <x v="5"/>
  </r>
  <r>
    <s v="507"/>
    <s v="6"/>
    <s v="4"/>
    <s v="2"/>
    <n v="170000"/>
    <x v="337"/>
    <x v="1"/>
    <x v="5"/>
  </r>
  <r>
    <s v="508"/>
    <s v="8"/>
    <s v="5"/>
    <s v="4"/>
    <n v="211000"/>
    <x v="338"/>
    <x v="1"/>
    <x v="6"/>
  </r>
  <r>
    <s v="509"/>
    <s v="4"/>
    <s v="4"/>
    <s v="5"/>
    <n v="110000"/>
    <x v="339"/>
    <x v="1"/>
    <x v="6"/>
  </r>
  <r>
    <s v="510"/>
    <s v="4"/>
    <s v="2"/>
    <s v="1"/>
    <n v="254000"/>
    <x v="340"/>
    <x v="1"/>
    <x v="6"/>
  </r>
  <r>
    <s v="511"/>
    <s v="9"/>
    <s v="6"/>
    <s v="1"/>
    <n v="64000"/>
    <x v="340"/>
    <x v="1"/>
    <x v="6"/>
  </r>
  <r>
    <s v="512"/>
    <s v="5"/>
    <s v="3"/>
    <s v="2"/>
    <n v="133000"/>
    <x v="340"/>
    <x v="1"/>
    <x v="6"/>
  </r>
  <r>
    <s v="513"/>
    <s v="4"/>
    <s v="1"/>
    <s v="1"/>
    <n v="194000"/>
    <x v="341"/>
    <x v="1"/>
    <x v="6"/>
  </r>
  <r>
    <s v="514"/>
    <s v="5"/>
    <s v="4"/>
    <s v="6"/>
    <n v="108000"/>
    <x v="342"/>
    <x v="1"/>
    <x v="6"/>
  </r>
  <r>
    <s v="515"/>
    <s v="2"/>
    <s v="6"/>
    <s v="1"/>
    <n v="135000"/>
    <x v="343"/>
    <x v="1"/>
    <x v="6"/>
  </r>
  <r>
    <s v="516"/>
    <s v="3"/>
    <s v="1"/>
    <s v="5"/>
    <n v="129000"/>
    <x v="344"/>
    <x v="1"/>
    <x v="6"/>
  </r>
  <r>
    <s v="517"/>
    <s v="5"/>
    <s v="1"/>
    <s v="6"/>
    <n v="142000"/>
    <x v="345"/>
    <x v="1"/>
    <x v="6"/>
  </r>
  <r>
    <s v="518"/>
    <s v="7"/>
    <s v="4"/>
    <s v="5"/>
    <n v="253000"/>
    <x v="346"/>
    <x v="1"/>
    <x v="6"/>
  </r>
  <r>
    <s v="519"/>
    <s v="8"/>
    <s v="4"/>
    <s v="1"/>
    <n v="187000"/>
    <x v="347"/>
    <x v="1"/>
    <x v="6"/>
  </r>
  <r>
    <s v="520"/>
    <s v="6"/>
    <s v="7"/>
    <s v="1"/>
    <n v="243000"/>
    <x v="348"/>
    <x v="1"/>
    <x v="6"/>
  </r>
  <r>
    <s v="521"/>
    <s v="2"/>
    <s v="4"/>
    <s v="5"/>
    <n v="268000"/>
    <x v="348"/>
    <x v="1"/>
    <x v="6"/>
  </r>
  <r>
    <s v="522"/>
    <s v="3"/>
    <s v="3"/>
    <s v="1"/>
    <n v="68000"/>
    <x v="349"/>
    <x v="1"/>
    <x v="6"/>
  </r>
  <r>
    <s v="523"/>
    <s v="1"/>
    <s v="6"/>
    <s v="6"/>
    <n v="278000"/>
    <x v="350"/>
    <x v="1"/>
    <x v="6"/>
  </r>
  <r>
    <s v="524"/>
    <s v="5"/>
    <s v="6"/>
    <s v="3"/>
    <n v="198000"/>
    <x v="350"/>
    <x v="1"/>
    <x v="6"/>
  </r>
  <r>
    <s v="525"/>
    <s v="3"/>
    <s v="3"/>
    <s v="2"/>
    <n v="83000"/>
    <x v="351"/>
    <x v="1"/>
    <x v="6"/>
  </r>
  <r>
    <s v="526"/>
    <s v="4"/>
    <s v="7"/>
    <s v="5"/>
    <n v="92000"/>
    <x v="352"/>
    <x v="1"/>
    <x v="6"/>
  </r>
  <r>
    <s v="527"/>
    <s v="5"/>
    <s v="2"/>
    <s v="6"/>
    <n v="145000"/>
    <x v="352"/>
    <x v="1"/>
    <x v="6"/>
  </r>
  <r>
    <s v="528"/>
    <s v="8"/>
    <s v="6"/>
    <s v="4"/>
    <n v="218000"/>
    <x v="353"/>
    <x v="1"/>
    <x v="6"/>
  </r>
  <r>
    <s v="529"/>
    <s v="7"/>
    <s v="3"/>
    <s v="1"/>
    <n v="224000"/>
    <x v="353"/>
    <x v="1"/>
    <x v="6"/>
  </r>
  <r>
    <s v="530"/>
    <s v="4"/>
    <s v="1"/>
    <s v="1"/>
    <n v="179000"/>
    <x v="354"/>
    <x v="1"/>
    <x v="6"/>
  </r>
  <r>
    <s v="531"/>
    <s v="4"/>
    <s v="5"/>
    <s v="3"/>
    <n v="278000"/>
    <x v="354"/>
    <x v="1"/>
    <x v="6"/>
  </r>
  <r>
    <s v="532"/>
    <s v="8"/>
    <s v="1"/>
    <s v="1"/>
    <n v="224000"/>
    <x v="355"/>
    <x v="1"/>
    <x v="6"/>
  </r>
  <r>
    <s v="533"/>
    <s v="7"/>
    <s v="7"/>
    <s v="2"/>
    <n v="213000"/>
    <x v="355"/>
    <x v="1"/>
    <x v="6"/>
  </r>
  <r>
    <s v="534"/>
    <s v="5"/>
    <s v="5"/>
    <s v="2"/>
    <n v="80000"/>
    <x v="355"/>
    <x v="1"/>
    <x v="6"/>
  </r>
  <r>
    <s v="535"/>
    <s v="4"/>
    <s v="7"/>
    <s v="2"/>
    <n v="31000"/>
    <x v="356"/>
    <x v="1"/>
    <x v="6"/>
  </r>
  <r>
    <s v="536"/>
    <s v="5"/>
    <s v="3"/>
    <s v="1"/>
    <n v="212000"/>
    <x v="356"/>
    <x v="1"/>
    <x v="6"/>
  </r>
  <r>
    <s v="537"/>
    <s v="3"/>
    <s v="2"/>
    <s v="4"/>
    <n v="109000"/>
    <x v="357"/>
    <x v="1"/>
    <x v="6"/>
  </r>
  <r>
    <s v="538"/>
    <s v="6"/>
    <s v="5"/>
    <s v="1"/>
    <n v="233000"/>
    <x v="358"/>
    <x v="1"/>
    <x v="6"/>
  </r>
  <r>
    <s v="539"/>
    <s v="5"/>
    <s v="7"/>
    <s v="6"/>
    <n v="77000"/>
    <x v="358"/>
    <x v="1"/>
    <x v="6"/>
  </r>
  <r>
    <s v="540"/>
    <s v="2"/>
    <s v="4"/>
    <s v="3"/>
    <n v="267000"/>
    <x v="358"/>
    <x v="1"/>
    <x v="6"/>
  </r>
  <r>
    <s v="541"/>
    <s v="3"/>
    <s v="1"/>
    <s v="1"/>
    <n v="183000"/>
    <x v="359"/>
    <x v="1"/>
    <x v="6"/>
  </r>
  <r>
    <s v="542"/>
    <s v="4"/>
    <s v="6"/>
    <s v="4"/>
    <n v="184000"/>
    <x v="360"/>
    <x v="1"/>
    <x v="6"/>
  </r>
  <r>
    <s v="543"/>
    <s v="4"/>
    <s v="4"/>
    <s v="5"/>
    <n v="33000"/>
    <x v="361"/>
    <x v="1"/>
    <x v="7"/>
  </r>
  <r>
    <s v="544"/>
    <s v="8"/>
    <s v="6"/>
    <s v="4"/>
    <n v="198000"/>
    <x v="361"/>
    <x v="1"/>
    <x v="7"/>
  </r>
  <r>
    <s v="545"/>
    <s v="5"/>
    <s v="3"/>
    <s v="2"/>
    <n v="132000"/>
    <x v="362"/>
    <x v="1"/>
    <x v="7"/>
  </r>
  <r>
    <s v="546"/>
    <s v="7"/>
    <s v="3"/>
    <s v="4"/>
    <n v="40000"/>
    <x v="363"/>
    <x v="1"/>
    <x v="7"/>
  </r>
  <r>
    <s v="547"/>
    <s v="4"/>
    <s v="1"/>
    <s v="2"/>
    <n v="40000"/>
    <x v="363"/>
    <x v="1"/>
    <x v="7"/>
  </r>
  <r>
    <s v="548"/>
    <s v="2"/>
    <s v="3"/>
    <s v="4"/>
    <n v="160000"/>
    <x v="363"/>
    <x v="1"/>
    <x v="7"/>
  </r>
  <r>
    <s v="549"/>
    <s v="2"/>
    <s v="4"/>
    <s v="2"/>
    <n v="290000"/>
    <x v="364"/>
    <x v="1"/>
    <x v="7"/>
  </r>
  <r>
    <s v="550"/>
    <s v="1"/>
    <s v="2"/>
    <s v="4"/>
    <n v="99000"/>
    <x v="364"/>
    <x v="1"/>
    <x v="7"/>
  </r>
  <r>
    <s v="551"/>
    <s v="5"/>
    <s v="2"/>
    <s v="3"/>
    <n v="161000"/>
    <x v="365"/>
    <x v="1"/>
    <x v="7"/>
  </r>
  <r>
    <s v="552"/>
    <s v="3"/>
    <s v="2"/>
    <s v="1"/>
    <n v="281000"/>
    <x v="366"/>
    <x v="1"/>
    <x v="7"/>
  </r>
  <r>
    <s v="553"/>
    <s v="6"/>
    <s v="3"/>
    <s v="6"/>
    <n v="253000"/>
    <x v="367"/>
    <x v="1"/>
    <x v="7"/>
  </r>
  <r>
    <s v="554"/>
    <s v="4"/>
    <s v="2"/>
    <s v="3"/>
    <n v="225000"/>
    <x v="367"/>
    <x v="1"/>
    <x v="7"/>
  </r>
  <r>
    <s v="555"/>
    <s v="5"/>
    <s v="1"/>
    <s v="3"/>
    <n v="86000"/>
    <x v="368"/>
    <x v="1"/>
    <x v="7"/>
  </r>
  <r>
    <s v="556"/>
    <s v="8"/>
    <s v="4"/>
    <s v="6"/>
    <n v="214000"/>
    <x v="369"/>
    <x v="1"/>
    <x v="7"/>
  </r>
  <r>
    <s v="557"/>
    <s v="5"/>
    <s v="6"/>
    <s v="4"/>
    <n v="139000"/>
    <x v="369"/>
    <x v="1"/>
    <x v="7"/>
  </r>
  <r>
    <s v="558"/>
    <s v="5"/>
    <s v="4"/>
    <s v="3"/>
    <n v="176000"/>
    <x v="369"/>
    <x v="1"/>
    <x v="7"/>
  </r>
  <r>
    <s v="559"/>
    <s v="1"/>
    <s v="5"/>
    <s v="6"/>
    <n v="263000"/>
    <x v="370"/>
    <x v="1"/>
    <x v="7"/>
  </r>
  <r>
    <s v="560"/>
    <s v="3"/>
    <s v="1"/>
    <s v="4"/>
    <n v="252000"/>
    <x v="370"/>
    <x v="1"/>
    <x v="7"/>
  </r>
  <r>
    <s v="561"/>
    <s v="2"/>
    <s v="5"/>
    <s v="4"/>
    <n v="188000"/>
    <x v="371"/>
    <x v="1"/>
    <x v="7"/>
  </r>
  <r>
    <s v="562"/>
    <s v="3"/>
    <s v="7"/>
    <s v="2"/>
    <n v="51000"/>
    <x v="372"/>
    <x v="1"/>
    <x v="7"/>
  </r>
  <r>
    <s v="563"/>
    <s v="4"/>
    <s v="3"/>
    <s v="3"/>
    <n v="204000"/>
    <x v="372"/>
    <x v="1"/>
    <x v="7"/>
  </r>
  <r>
    <s v="564"/>
    <s v="2"/>
    <s v="3"/>
    <s v="3"/>
    <n v="245000"/>
    <x v="372"/>
    <x v="1"/>
    <x v="7"/>
  </r>
  <r>
    <s v="565"/>
    <s v="7"/>
    <s v="3"/>
    <s v="3"/>
    <n v="31000"/>
    <x v="373"/>
    <x v="1"/>
    <x v="7"/>
  </r>
  <r>
    <s v="566"/>
    <s v="1"/>
    <s v="4"/>
    <s v="6"/>
    <n v="121000"/>
    <x v="373"/>
    <x v="1"/>
    <x v="7"/>
  </r>
  <r>
    <s v="567"/>
    <s v="8"/>
    <s v="6"/>
    <s v="1"/>
    <n v="57000"/>
    <x v="374"/>
    <x v="1"/>
    <x v="7"/>
  </r>
  <r>
    <s v="568"/>
    <s v="3"/>
    <s v="1"/>
    <s v="3"/>
    <n v="194000"/>
    <x v="374"/>
    <x v="1"/>
    <x v="7"/>
  </r>
  <r>
    <s v="569"/>
    <s v="2"/>
    <s v="3"/>
    <s v="5"/>
    <n v="135000"/>
    <x v="375"/>
    <x v="1"/>
    <x v="7"/>
  </r>
  <r>
    <s v="570"/>
    <s v="4"/>
    <s v="4"/>
    <s v="5"/>
    <n v="102000"/>
    <x v="376"/>
    <x v="1"/>
    <x v="7"/>
  </r>
  <r>
    <s v="571"/>
    <s v="6"/>
    <s v="1"/>
    <s v="5"/>
    <n v="150000"/>
    <x v="377"/>
    <x v="1"/>
    <x v="7"/>
  </r>
  <r>
    <s v="572"/>
    <s v="8"/>
    <s v="7"/>
    <s v="2"/>
    <n v="107000"/>
    <x v="378"/>
    <x v="1"/>
    <x v="7"/>
  </r>
  <r>
    <s v="573"/>
    <s v="1"/>
    <s v="7"/>
    <s v="4"/>
    <n v="109000"/>
    <x v="379"/>
    <x v="1"/>
    <x v="7"/>
  </r>
  <r>
    <s v="574"/>
    <s v="3"/>
    <s v="7"/>
    <s v="3"/>
    <n v="55000"/>
    <x v="380"/>
    <x v="1"/>
    <x v="7"/>
  </r>
  <r>
    <s v="575"/>
    <s v="1"/>
    <s v="2"/>
    <s v="6"/>
    <n v="247000"/>
    <x v="381"/>
    <x v="1"/>
    <x v="8"/>
  </r>
  <r>
    <s v="576"/>
    <s v="8"/>
    <s v="6"/>
    <s v="1"/>
    <n v="85000"/>
    <x v="382"/>
    <x v="1"/>
    <x v="8"/>
  </r>
  <r>
    <s v="577"/>
    <s v="7"/>
    <s v="7"/>
    <s v="3"/>
    <n v="191000"/>
    <x v="383"/>
    <x v="1"/>
    <x v="8"/>
  </r>
  <r>
    <s v="578"/>
    <s v="5"/>
    <s v="2"/>
    <s v="4"/>
    <n v="137000"/>
    <x v="384"/>
    <x v="1"/>
    <x v="8"/>
  </r>
  <r>
    <s v="579"/>
    <s v="3"/>
    <s v="7"/>
    <s v="4"/>
    <n v="245000"/>
    <x v="384"/>
    <x v="1"/>
    <x v="8"/>
  </r>
  <r>
    <s v="580"/>
    <s v="3"/>
    <s v="2"/>
    <s v="1"/>
    <n v="299000"/>
    <x v="385"/>
    <x v="1"/>
    <x v="8"/>
  </r>
  <r>
    <s v="581"/>
    <s v="3"/>
    <s v="2"/>
    <s v="3"/>
    <n v="134000"/>
    <x v="385"/>
    <x v="1"/>
    <x v="8"/>
  </r>
  <r>
    <s v="582"/>
    <s v="6"/>
    <s v="4"/>
    <s v="1"/>
    <n v="170000"/>
    <x v="386"/>
    <x v="1"/>
    <x v="8"/>
  </r>
  <r>
    <s v="583"/>
    <s v="8"/>
    <s v="1"/>
    <s v="2"/>
    <n v="224000"/>
    <x v="386"/>
    <x v="1"/>
    <x v="8"/>
  </r>
  <r>
    <s v="584"/>
    <s v="2"/>
    <s v="5"/>
    <s v="2"/>
    <n v="162000"/>
    <x v="387"/>
    <x v="1"/>
    <x v="8"/>
  </r>
  <r>
    <s v="585"/>
    <s v="6"/>
    <s v="5"/>
    <s v="6"/>
    <n v="163000"/>
    <x v="388"/>
    <x v="1"/>
    <x v="8"/>
  </r>
  <r>
    <s v="586"/>
    <s v="5"/>
    <s v="4"/>
    <s v="3"/>
    <n v="119000"/>
    <x v="388"/>
    <x v="1"/>
    <x v="8"/>
  </r>
  <r>
    <s v="587"/>
    <s v="4"/>
    <s v="6"/>
    <s v="5"/>
    <n v="99000"/>
    <x v="389"/>
    <x v="1"/>
    <x v="8"/>
  </r>
  <r>
    <s v="588"/>
    <s v="5"/>
    <s v="3"/>
    <s v="3"/>
    <n v="164000"/>
    <x v="390"/>
    <x v="1"/>
    <x v="8"/>
  </r>
  <r>
    <s v="589"/>
    <s v="8"/>
    <s v="4"/>
    <s v="3"/>
    <n v="58000"/>
    <x v="391"/>
    <x v="1"/>
    <x v="8"/>
  </r>
  <r>
    <s v="590"/>
    <s v="7"/>
    <s v="4"/>
    <s v="2"/>
    <n v="41000"/>
    <x v="392"/>
    <x v="1"/>
    <x v="8"/>
  </r>
  <r>
    <s v="591"/>
    <s v="5"/>
    <s v="3"/>
    <s v="4"/>
    <n v="87000"/>
    <x v="393"/>
    <x v="1"/>
    <x v="8"/>
  </r>
  <r>
    <s v="592"/>
    <s v="2"/>
    <s v="2"/>
    <s v="3"/>
    <n v="279000"/>
    <x v="394"/>
    <x v="1"/>
    <x v="8"/>
  </r>
  <r>
    <s v="593"/>
    <s v="4"/>
    <s v="4"/>
    <s v="5"/>
    <n v="168000"/>
    <x v="394"/>
    <x v="1"/>
    <x v="8"/>
  </r>
  <r>
    <s v="594"/>
    <s v="8"/>
    <s v="7"/>
    <s v="1"/>
    <n v="48000"/>
    <x v="395"/>
    <x v="1"/>
    <x v="8"/>
  </r>
  <r>
    <s v="595"/>
    <s v="1"/>
    <s v="1"/>
    <s v="1"/>
    <n v="101000"/>
    <x v="396"/>
    <x v="1"/>
    <x v="8"/>
  </r>
  <r>
    <s v="596"/>
    <s v="8"/>
    <s v="3"/>
    <s v="3"/>
    <n v="287000"/>
    <x v="396"/>
    <x v="1"/>
    <x v="8"/>
  </r>
  <r>
    <s v="597"/>
    <s v="1"/>
    <s v="4"/>
    <s v="1"/>
    <n v="173000"/>
    <x v="397"/>
    <x v="1"/>
    <x v="9"/>
  </r>
  <r>
    <s v="598"/>
    <s v="7"/>
    <s v="3"/>
    <s v="3"/>
    <n v="290000"/>
    <x v="398"/>
    <x v="1"/>
    <x v="9"/>
  </r>
  <r>
    <s v="599"/>
    <s v="6"/>
    <s v="6"/>
    <s v="5"/>
    <n v="299000"/>
    <x v="398"/>
    <x v="1"/>
    <x v="9"/>
  </r>
  <r>
    <s v="600"/>
    <s v="1"/>
    <s v="1"/>
    <s v="1"/>
    <n v="163000"/>
    <x v="399"/>
    <x v="1"/>
    <x v="9"/>
  </r>
  <r>
    <s v="601"/>
    <s v="1"/>
    <s v="3"/>
    <s v="4"/>
    <n v="199000"/>
    <x v="399"/>
    <x v="1"/>
    <x v="9"/>
  </r>
  <r>
    <s v="602"/>
    <s v="2"/>
    <s v="1"/>
    <s v="2"/>
    <n v="251000"/>
    <x v="400"/>
    <x v="1"/>
    <x v="9"/>
  </r>
  <r>
    <s v="603"/>
    <s v="4"/>
    <s v="3"/>
    <s v="6"/>
    <n v="187000"/>
    <x v="401"/>
    <x v="1"/>
    <x v="9"/>
  </r>
  <r>
    <s v="604"/>
    <s v="1"/>
    <s v="3"/>
    <s v="5"/>
    <n v="33000"/>
    <x v="402"/>
    <x v="1"/>
    <x v="9"/>
  </r>
  <r>
    <s v="605"/>
    <s v="2"/>
    <s v="3"/>
    <s v="3"/>
    <n v="176000"/>
    <x v="403"/>
    <x v="1"/>
    <x v="9"/>
  </r>
  <r>
    <s v="606"/>
    <s v="7"/>
    <s v="5"/>
    <s v="3"/>
    <n v="220000"/>
    <x v="404"/>
    <x v="1"/>
    <x v="9"/>
  </r>
  <r>
    <s v="607"/>
    <s v="4"/>
    <s v="1"/>
    <s v="5"/>
    <n v="76000"/>
    <x v="404"/>
    <x v="1"/>
    <x v="9"/>
  </r>
  <r>
    <s v="608"/>
    <s v="4"/>
    <s v="2"/>
    <s v="2"/>
    <n v="187000"/>
    <x v="404"/>
    <x v="1"/>
    <x v="9"/>
  </r>
  <r>
    <s v="609"/>
    <s v="3"/>
    <s v="1"/>
    <s v="2"/>
    <n v="225000"/>
    <x v="405"/>
    <x v="1"/>
    <x v="9"/>
  </r>
  <r>
    <s v="610"/>
    <s v="4"/>
    <s v="3"/>
    <s v="6"/>
    <n v="283000"/>
    <x v="406"/>
    <x v="1"/>
    <x v="9"/>
  </r>
  <r>
    <s v="611"/>
    <s v="5"/>
    <s v="6"/>
    <s v="4"/>
    <n v="225000"/>
    <x v="407"/>
    <x v="1"/>
    <x v="9"/>
  </r>
  <r>
    <s v="612"/>
    <s v="1"/>
    <s v="3"/>
    <s v="4"/>
    <n v="44000"/>
    <x v="408"/>
    <x v="1"/>
    <x v="9"/>
  </r>
  <r>
    <s v="613"/>
    <s v="9"/>
    <s v="3"/>
    <s v="1"/>
    <n v="132000"/>
    <x v="408"/>
    <x v="1"/>
    <x v="9"/>
  </r>
  <r>
    <s v="614"/>
    <s v="4"/>
    <s v="1"/>
    <s v="3"/>
    <n v="202000"/>
    <x v="408"/>
    <x v="1"/>
    <x v="9"/>
  </r>
  <r>
    <s v="615"/>
    <s v="8"/>
    <s v="2"/>
    <s v="3"/>
    <n v="261000"/>
    <x v="409"/>
    <x v="1"/>
    <x v="9"/>
  </r>
  <r>
    <s v="616"/>
    <s v="3"/>
    <s v="6"/>
    <s v="6"/>
    <n v="213000"/>
    <x v="410"/>
    <x v="1"/>
    <x v="9"/>
  </r>
  <r>
    <s v="617"/>
    <s v="9"/>
    <s v="7"/>
    <s v="2"/>
    <n v="296000"/>
    <x v="411"/>
    <x v="1"/>
    <x v="9"/>
  </r>
  <r>
    <s v="618"/>
    <s v="1"/>
    <s v="2"/>
    <s v="6"/>
    <n v="169000"/>
    <x v="411"/>
    <x v="1"/>
    <x v="9"/>
  </r>
  <r>
    <s v="619"/>
    <s v="1"/>
    <s v="5"/>
    <s v="3"/>
    <n v="64000"/>
    <x v="411"/>
    <x v="1"/>
    <x v="9"/>
  </r>
  <r>
    <s v="620"/>
    <s v="3"/>
    <s v="5"/>
    <s v="6"/>
    <n v="101000"/>
    <x v="412"/>
    <x v="1"/>
    <x v="9"/>
  </r>
  <r>
    <s v="621"/>
    <s v="4"/>
    <s v="6"/>
    <s v="1"/>
    <n v="87000"/>
    <x v="413"/>
    <x v="1"/>
    <x v="9"/>
  </r>
  <r>
    <s v="622"/>
    <s v="1"/>
    <s v="2"/>
    <s v="3"/>
    <n v="195000"/>
    <x v="414"/>
    <x v="1"/>
    <x v="9"/>
  </r>
  <r>
    <s v="623"/>
    <s v="3"/>
    <s v="3"/>
    <s v="3"/>
    <n v="103000"/>
    <x v="415"/>
    <x v="1"/>
    <x v="10"/>
  </r>
  <r>
    <s v="624"/>
    <s v="1"/>
    <s v="1"/>
    <s v="1"/>
    <n v="262000"/>
    <x v="415"/>
    <x v="1"/>
    <x v="10"/>
  </r>
  <r>
    <s v="625"/>
    <s v="2"/>
    <s v="2"/>
    <s v="6"/>
    <n v="91000"/>
    <x v="415"/>
    <x v="1"/>
    <x v="10"/>
  </r>
  <r>
    <s v="626"/>
    <s v="4"/>
    <s v="5"/>
    <s v="4"/>
    <n v="78000"/>
    <x v="416"/>
    <x v="1"/>
    <x v="10"/>
  </r>
  <r>
    <s v="627"/>
    <s v="7"/>
    <s v="2"/>
    <s v="1"/>
    <n v="232000"/>
    <x v="416"/>
    <x v="1"/>
    <x v="10"/>
  </r>
  <r>
    <s v="628"/>
    <s v="6"/>
    <s v="4"/>
    <s v="6"/>
    <n v="288000"/>
    <x v="417"/>
    <x v="1"/>
    <x v="10"/>
  </r>
  <r>
    <s v="629"/>
    <s v="7"/>
    <s v="7"/>
    <s v="6"/>
    <n v="58000"/>
    <x v="418"/>
    <x v="1"/>
    <x v="10"/>
  </r>
  <r>
    <s v="630"/>
    <s v="2"/>
    <s v="3"/>
    <s v="2"/>
    <n v="55000"/>
    <x v="419"/>
    <x v="1"/>
    <x v="10"/>
  </r>
  <r>
    <s v="631"/>
    <s v="6"/>
    <s v="6"/>
    <s v="5"/>
    <n v="61000"/>
    <x v="420"/>
    <x v="1"/>
    <x v="10"/>
  </r>
  <r>
    <s v="632"/>
    <s v="3"/>
    <s v="2"/>
    <s v="1"/>
    <n v="211000"/>
    <x v="421"/>
    <x v="1"/>
    <x v="10"/>
  </r>
  <r>
    <s v="633"/>
    <s v="8"/>
    <s v="6"/>
    <s v="4"/>
    <n v="197000"/>
    <x v="422"/>
    <x v="1"/>
    <x v="10"/>
  </r>
  <r>
    <s v="634"/>
    <s v="7"/>
    <s v="2"/>
    <s v="5"/>
    <n v="69000"/>
    <x v="423"/>
    <x v="1"/>
    <x v="10"/>
  </r>
  <r>
    <s v="635"/>
    <s v="7"/>
    <s v="6"/>
    <s v="2"/>
    <n v="123000"/>
    <x v="424"/>
    <x v="1"/>
    <x v="10"/>
  </r>
  <r>
    <s v="636"/>
    <s v="4"/>
    <s v="1"/>
    <s v="2"/>
    <n v="157000"/>
    <x v="425"/>
    <x v="1"/>
    <x v="10"/>
  </r>
  <r>
    <s v="637"/>
    <s v="6"/>
    <s v="7"/>
    <s v="3"/>
    <n v="110000"/>
    <x v="426"/>
    <x v="1"/>
    <x v="10"/>
  </r>
  <r>
    <s v="638"/>
    <s v="7"/>
    <s v="6"/>
    <s v="3"/>
    <n v="167000"/>
    <x v="427"/>
    <x v="1"/>
    <x v="10"/>
  </r>
  <r>
    <s v="639"/>
    <s v="5"/>
    <s v="7"/>
    <s v="6"/>
    <n v="161000"/>
    <x v="427"/>
    <x v="1"/>
    <x v="10"/>
  </r>
  <r>
    <s v="640"/>
    <s v="3"/>
    <s v="1"/>
    <s v="6"/>
    <n v="241000"/>
    <x v="428"/>
    <x v="1"/>
    <x v="10"/>
  </r>
  <r>
    <s v="641"/>
    <s v="5"/>
    <s v="3"/>
    <s v="6"/>
    <n v="216000"/>
    <x v="428"/>
    <x v="1"/>
    <x v="10"/>
  </r>
  <r>
    <s v="642"/>
    <s v="6"/>
    <s v="2"/>
    <s v="1"/>
    <n v="39000"/>
    <x v="429"/>
    <x v="1"/>
    <x v="10"/>
  </r>
  <r>
    <s v="643"/>
    <s v="7"/>
    <s v="4"/>
    <s v="2"/>
    <n v="152000"/>
    <x v="430"/>
    <x v="1"/>
    <x v="10"/>
  </r>
  <r>
    <s v="644"/>
    <s v="3"/>
    <s v="6"/>
    <s v="6"/>
    <n v="61000"/>
    <x v="431"/>
    <x v="1"/>
    <x v="11"/>
  </r>
  <r>
    <s v="645"/>
    <s v="8"/>
    <s v="1"/>
    <s v="3"/>
    <n v="41000"/>
    <x v="431"/>
    <x v="1"/>
    <x v="11"/>
  </r>
  <r>
    <s v="646"/>
    <s v="4"/>
    <s v="3"/>
    <s v="5"/>
    <n v="102000"/>
    <x v="432"/>
    <x v="1"/>
    <x v="11"/>
  </r>
  <r>
    <s v="647"/>
    <s v="2"/>
    <s v="2"/>
    <s v="4"/>
    <n v="79000"/>
    <x v="433"/>
    <x v="1"/>
    <x v="11"/>
  </r>
  <r>
    <s v="648"/>
    <s v="8"/>
    <s v="1"/>
    <s v="1"/>
    <n v="47000"/>
    <x v="433"/>
    <x v="1"/>
    <x v="11"/>
  </r>
  <r>
    <s v="649"/>
    <s v="5"/>
    <s v="4"/>
    <s v="5"/>
    <n v="91000"/>
    <x v="434"/>
    <x v="1"/>
    <x v="11"/>
  </r>
  <r>
    <s v="650"/>
    <s v="7"/>
    <s v="6"/>
    <s v="5"/>
    <n v="65000"/>
    <x v="435"/>
    <x v="1"/>
    <x v="11"/>
  </r>
  <r>
    <s v="651"/>
    <s v="7"/>
    <s v="5"/>
    <s v="3"/>
    <n v="125000"/>
    <x v="436"/>
    <x v="1"/>
    <x v="11"/>
  </r>
  <r>
    <s v="652"/>
    <s v="3"/>
    <s v="5"/>
    <s v="3"/>
    <n v="198000"/>
    <x v="437"/>
    <x v="1"/>
    <x v="11"/>
  </r>
  <r>
    <s v="653"/>
    <s v="4"/>
    <s v="6"/>
    <s v="6"/>
    <n v="116000"/>
    <x v="438"/>
    <x v="1"/>
    <x v="11"/>
  </r>
  <r>
    <s v="654"/>
    <s v="4"/>
    <s v="3"/>
    <s v="4"/>
    <n v="255000"/>
    <x v="438"/>
    <x v="1"/>
    <x v="11"/>
  </r>
  <r>
    <s v="655"/>
    <s v="7"/>
    <s v="7"/>
    <s v="5"/>
    <n v="120000"/>
    <x v="439"/>
    <x v="1"/>
    <x v="11"/>
  </r>
  <r>
    <s v="656"/>
    <s v="3"/>
    <s v="1"/>
    <s v="2"/>
    <n v="68000"/>
    <x v="440"/>
    <x v="1"/>
    <x v="11"/>
  </r>
  <r>
    <s v="657"/>
    <s v="6"/>
    <s v="4"/>
    <s v="4"/>
    <n v="67000"/>
    <x v="440"/>
    <x v="1"/>
    <x v="11"/>
  </r>
  <r>
    <s v="658"/>
    <s v="3"/>
    <s v="1"/>
    <s v="6"/>
    <n v="173000"/>
    <x v="441"/>
    <x v="1"/>
    <x v="11"/>
  </r>
  <r>
    <s v="659"/>
    <s v="2"/>
    <s v="5"/>
    <s v="5"/>
    <n v="178000"/>
    <x v="441"/>
    <x v="1"/>
    <x v="11"/>
  </r>
  <r>
    <s v="660"/>
    <s v="9"/>
    <s v="6"/>
    <s v="5"/>
    <n v="252000"/>
    <x v="442"/>
    <x v="1"/>
    <x v="11"/>
  </r>
  <r>
    <s v="661"/>
    <s v="7"/>
    <s v="2"/>
    <s v="1"/>
    <n v="217000"/>
    <x v="443"/>
    <x v="1"/>
    <x v="11"/>
  </r>
  <r>
    <s v="662"/>
    <s v="3"/>
    <s v="1"/>
    <s v="6"/>
    <n v="224000"/>
    <x v="444"/>
    <x v="1"/>
    <x v="11"/>
  </r>
  <r>
    <s v="663"/>
    <s v="5"/>
    <s v="1"/>
    <s v="6"/>
    <n v="252000"/>
    <x v="445"/>
    <x v="1"/>
    <x v="11"/>
  </r>
  <r>
    <s v="664"/>
    <s v="6"/>
    <s v="2"/>
    <s v="2"/>
    <n v="130000"/>
    <x v="445"/>
    <x v="1"/>
    <x v="11"/>
  </r>
  <r>
    <s v="665"/>
    <s v="2"/>
    <s v="6"/>
    <s v="2"/>
    <n v="297000"/>
    <x v="446"/>
    <x v="1"/>
    <x v="11"/>
  </r>
  <r>
    <s v="666"/>
    <s v="5"/>
    <s v="4"/>
    <s v="2"/>
    <n v="179000"/>
    <x v="447"/>
    <x v="1"/>
    <x v="11"/>
  </r>
  <r>
    <s v="667"/>
    <s v="9"/>
    <s v="5"/>
    <s v="6"/>
    <n v="264000"/>
    <x v="447"/>
    <x v="1"/>
    <x v="11"/>
  </r>
  <r>
    <s v="668"/>
    <s v="5"/>
    <s v="4"/>
    <s v="6"/>
    <n v="212000"/>
    <x v="448"/>
    <x v="1"/>
    <x v="11"/>
  </r>
  <r>
    <s v="669"/>
    <s v="4"/>
    <s v="3"/>
    <s v="4"/>
    <n v="153000"/>
    <x v="449"/>
    <x v="1"/>
    <x v="11"/>
  </r>
  <r>
    <s v="670"/>
    <s v="9"/>
    <s v="1"/>
    <s v="6"/>
    <n v="176000"/>
    <x v="449"/>
    <x v="1"/>
    <x v="11"/>
  </r>
  <r>
    <s v="671"/>
    <s v="1"/>
    <s v="5"/>
    <s v="6"/>
    <n v="38000"/>
    <x v="450"/>
    <x v="1"/>
    <x v="11"/>
  </r>
  <r>
    <s v="672"/>
    <s v="9"/>
    <s v="5"/>
    <s v="2"/>
    <n v="153000"/>
    <x v="450"/>
    <x v="1"/>
    <x v="11"/>
  </r>
  <r>
    <s v="673"/>
    <s v="6"/>
    <s v="3"/>
    <s v="2"/>
    <n v="166000"/>
    <x v="451"/>
    <x v="2"/>
    <x v="0"/>
  </r>
  <r>
    <s v="674"/>
    <s v="3"/>
    <s v="4"/>
    <s v="6"/>
    <n v="269000"/>
    <x v="452"/>
    <x v="2"/>
    <x v="0"/>
  </r>
  <r>
    <s v="675"/>
    <s v="7"/>
    <s v="2"/>
    <s v="3"/>
    <n v="69000"/>
    <x v="452"/>
    <x v="2"/>
    <x v="0"/>
  </r>
  <r>
    <s v="676"/>
    <s v="3"/>
    <s v="3"/>
    <s v="4"/>
    <n v="276000"/>
    <x v="453"/>
    <x v="2"/>
    <x v="0"/>
  </r>
  <r>
    <s v="677"/>
    <s v="2"/>
    <s v="3"/>
    <s v="5"/>
    <n v="50000"/>
    <x v="453"/>
    <x v="2"/>
    <x v="0"/>
  </r>
  <r>
    <s v="678"/>
    <s v="3"/>
    <s v="4"/>
    <s v="4"/>
    <n v="79000"/>
    <x v="454"/>
    <x v="2"/>
    <x v="0"/>
  </r>
  <r>
    <s v="679"/>
    <s v="6"/>
    <s v="3"/>
    <s v="6"/>
    <n v="266000"/>
    <x v="455"/>
    <x v="2"/>
    <x v="0"/>
  </r>
  <r>
    <s v="680"/>
    <s v="7"/>
    <s v="3"/>
    <s v="2"/>
    <n v="249000"/>
    <x v="455"/>
    <x v="2"/>
    <x v="0"/>
  </r>
  <r>
    <s v="681"/>
    <s v="6"/>
    <s v="3"/>
    <s v="6"/>
    <n v="98000"/>
    <x v="455"/>
    <x v="2"/>
    <x v="0"/>
  </r>
  <r>
    <s v="682"/>
    <s v="3"/>
    <s v="3"/>
    <s v="6"/>
    <n v="161000"/>
    <x v="455"/>
    <x v="2"/>
    <x v="0"/>
  </r>
  <r>
    <s v="683"/>
    <s v="3"/>
    <s v="1"/>
    <s v="1"/>
    <n v="175000"/>
    <x v="456"/>
    <x v="2"/>
    <x v="0"/>
  </r>
  <r>
    <s v="684"/>
    <s v="2"/>
    <s v="1"/>
    <s v="5"/>
    <n v="249000"/>
    <x v="456"/>
    <x v="2"/>
    <x v="0"/>
  </r>
  <r>
    <s v="685"/>
    <s v="3"/>
    <s v="2"/>
    <s v="2"/>
    <n v="182000"/>
    <x v="457"/>
    <x v="2"/>
    <x v="0"/>
  </r>
  <r>
    <s v="686"/>
    <s v="8"/>
    <s v="1"/>
    <s v="2"/>
    <n v="251000"/>
    <x v="457"/>
    <x v="2"/>
    <x v="0"/>
  </r>
  <r>
    <s v="687"/>
    <s v="9"/>
    <s v="2"/>
    <s v="5"/>
    <n v="133000"/>
    <x v="458"/>
    <x v="2"/>
    <x v="0"/>
  </r>
  <r>
    <s v="688"/>
    <s v="3"/>
    <s v="2"/>
    <s v="1"/>
    <n v="179000"/>
    <x v="459"/>
    <x v="2"/>
    <x v="0"/>
  </r>
  <r>
    <s v="689"/>
    <s v="7"/>
    <s v="7"/>
    <s v="1"/>
    <n v="149000"/>
    <x v="459"/>
    <x v="2"/>
    <x v="0"/>
  </r>
  <r>
    <s v="690"/>
    <s v="8"/>
    <s v="4"/>
    <s v="3"/>
    <n v="247000"/>
    <x v="460"/>
    <x v="2"/>
    <x v="0"/>
  </r>
  <r>
    <s v="691"/>
    <s v="3"/>
    <s v="6"/>
    <s v="6"/>
    <n v="272000"/>
    <x v="461"/>
    <x v="2"/>
    <x v="0"/>
  </r>
  <r>
    <s v="692"/>
    <s v="5"/>
    <s v="5"/>
    <s v="3"/>
    <n v="107000"/>
    <x v="462"/>
    <x v="2"/>
    <x v="0"/>
  </r>
  <r>
    <s v="693"/>
    <s v="9"/>
    <s v="7"/>
    <s v="1"/>
    <n v="289000"/>
    <x v="463"/>
    <x v="2"/>
    <x v="0"/>
  </r>
  <r>
    <s v="694"/>
    <s v="8"/>
    <s v="6"/>
    <s v="2"/>
    <n v="214000"/>
    <x v="464"/>
    <x v="2"/>
    <x v="0"/>
  </r>
  <r>
    <s v="695"/>
    <s v="4"/>
    <s v="2"/>
    <s v="5"/>
    <n v="195000"/>
    <x v="465"/>
    <x v="2"/>
    <x v="0"/>
  </r>
  <r>
    <s v="696"/>
    <s v="3"/>
    <s v="3"/>
    <s v="4"/>
    <n v="264000"/>
    <x v="465"/>
    <x v="2"/>
    <x v="0"/>
  </r>
  <r>
    <s v="697"/>
    <s v="1"/>
    <s v="1"/>
    <s v="3"/>
    <n v="242000"/>
    <x v="466"/>
    <x v="2"/>
    <x v="0"/>
  </r>
  <r>
    <s v="698"/>
    <s v="1"/>
    <s v="4"/>
    <s v="3"/>
    <n v="252000"/>
    <x v="466"/>
    <x v="2"/>
    <x v="0"/>
  </r>
  <r>
    <s v="699"/>
    <s v="6"/>
    <s v="7"/>
    <s v="1"/>
    <n v="200000"/>
    <x v="467"/>
    <x v="2"/>
    <x v="1"/>
  </r>
  <r>
    <s v="700"/>
    <s v="3"/>
    <s v="1"/>
    <s v="2"/>
    <n v="90000"/>
    <x v="468"/>
    <x v="2"/>
    <x v="1"/>
  </r>
  <r>
    <s v="701"/>
    <s v="9"/>
    <s v="7"/>
    <s v="3"/>
    <n v="266000"/>
    <x v="468"/>
    <x v="2"/>
    <x v="1"/>
  </r>
  <r>
    <s v="702"/>
    <s v="6"/>
    <s v="4"/>
    <s v="3"/>
    <n v="73000"/>
    <x v="469"/>
    <x v="2"/>
    <x v="1"/>
  </r>
  <r>
    <s v="703"/>
    <s v="4"/>
    <s v="3"/>
    <s v="2"/>
    <n v="84000"/>
    <x v="470"/>
    <x v="2"/>
    <x v="1"/>
  </r>
  <r>
    <s v="704"/>
    <s v="6"/>
    <s v="6"/>
    <s v="3"/>
    <n v="261000"/>
    <x v="470"/>
    <x v="2"/>
    <x v="1"/>
  </r>
  <r>
    <s v="705"/>
    <s v="3"/>
    <s v="1"/>
    <s v="2"/>
    <n v="69000"/>
    <x v="471"/>
    <x v="2"/>
    <x v="1"/>
  </r>
  <r>
    <s v="706"/>
    <s v="9"/>
    <s v="2"/>
    <s v="6"/>
    <n v="175000"/>
    <x v="472"/>
    <x v="2"/>
    <x v="1"/>
  </r>
  <r>
    <s v="707"/>
    <s v="4"/>
    <s v="2"/>
    <s v="2"/>
    <n v="39000"/>
    <x v="473"/>
    <x v="2"/>
    <x v="1"/>
  </r>
  <r>
    <s v="708"/>
    <s v="5"/>
    <s v="4"/>
    <s v="4"/>
    <n v="185000"/>
    <x v="474"/>
    <x v="2"/>
    <x v="1"/>
  </r>
  <r>
    <s v="709"/>
    <s v="8"/>
    <s v="7"/>
    <s v="4"/>
    <n v="240000"/>
    <x v="474"/>
    <x v="2"/>
    <x v="1"/>
  </r>
  <r>
    <s v="710"/>
    <s v="4"/>
    <s v="7"/>
    <s v="5"/>
    <n v="211000"/>
    <x v="475"/>
    <x v="2"/>
    <x v="1"/>
  </r>
  <r>
    <s v="711"/>
    <s v="5"/>
    <s v="1"/>
    <s v="4"/>
    <n v="291000"/>
    <x v="476"/>
    <x v="2"/>
    <x v="1"/>
  </r>
  <r>
    <s v="712"/>
    <s v="2"/>
    <s v="3"/>
    <s v="3"/>
    <n v="201000"/>
    <x v="476"/>
    <x v="2"/>
    <x v="1"/>
  </r>
  <r>
    <s v="713"/>
    <s v="4"/>
    <s v="6"/>
    <s v="2"/>
    <n v="120000"/>
    <x v="477"/>
    <x v="2"/>
    <x v="1"/>
  </r>
  <r>
    <s v="714"/>
    <s v="6"/>
    <s v="2"/>
    <s v="4"/>
    <n v="45000"/>
    <x v="477"/>
    <x v="2"/>
    <x v="1"/>
  </r>
  <r>
    <s v="715"/>
    <s v="3"/>
    <s v="1"/>
    <s v="2"/>
    <n v="135000"/>
    <x v="478"/>
    <x v="2"/>
    <x v="1"/>
  </r>
  <r>
    <s v="716"/>
    <s v="2"/>
    <s v="7"/>
    <s v="2"/>
    <n v="211000"/>
    <x v="479"/>
    <x v="2"/>
    <x v="1"/>
  </r>
  <r>
    <s v="717"/>
    <s v="5"/>
    <s v="3"/>
    <s v="2"/>
    <n v="230000"/>
    <x v="480"/>
    <x v="2"/>
    <x v="1"/>
  </r>
  <r>
    <s v="718"/>
    <s v="5"/>
    <s v="6"/>
    <s v="4"/>
    <n v="249000"/>
    <x v="480"/>
    <x v="2"/>
    <x v="1"/>
  </r>
  <r>
    <s v="719"/>
    <s v="2"/>
    <s v="1"/>
    <s v="6"/>
    <n v="200000"/>
    <x v="480"/>
    <x v="2"/>
    <x v="1"/>
  </r>
  <r>
    <s v="720"/>
    <s v="8"/>
    <s v="3"/>
    <s v="6"/>
    <n v="270000"/>
    <x v="481"/>
    <x v="2"/>
    <x v="1"/>
  </r>
  <r>
    <s v="721"/>
    <s v="9"/>
    <s v="2"/>
    <s v="5"/>
    <n v="169000"/>
    <x v="482"/>
    <x v="2"/>
    <x v="2"/>
  </r>
  <r>
    <s v="722"/>
    <s v="6"/>
    <s v="4"/>
    <s v="1"/>
    <n v="99000"/>
    <x v="483"/>
    <x v="2"/>
    <x v="2"/>
  </r>
  <r>
    <s v="723"/>
    <s v="3"/>
    <s v="1"/>
    <s v="5"/>
    <n v="60000"/>
    <x v="484"/>
    <x v="2"/>
    <x v="2"/>
  </r>
  <r>
    <s v="724"/>
    <s v="8"/>
    <s v="7"/>
    <s v="2"/>
    <n v="248000"/>
    <x v="484"/>
    <x v="2"/>
    <x v="2"/>
  </r>
  <r>
    <s v="725"/>
    <s v="3"/>
    <s v="2"/>
    <s v="6"/>
    <n v="36000"/>
    <x v="484"/>
    <x v="2"/>
    <x v="2"/>
  </r>
  <r>
    <s v="726"/>
    <s v="1"/>
    <s v="2"/>
    <s v="4"/>
    <n v="55000"/>
    <x v="484"/>
    <x v="2"/>
    <x v="2"/>
  </r>
  <r>
    <s v="727"/>
    <s v="7"/>
    <s v="4"/>
    <s v="4"/>
    <n v="139000"/>
    <x v="485"/>
    <x v="2"/>
    <x v="2"/>
  </r>
  <r>
    <s v="728"/>
    <s v="6"/>
    <s v="3"/>
    <s v="6"/>
    <n v="291000"/>
    <x v="486"/>
    <x v="2"/>
    <x v="2"/>
  </r>
  <r>
    <s v="729"/>
    <s v="3"/>
    <s v="5"/>
    <s v="6"/>
    <n v="102000"/>
    <x v="487"/>
    <x v="2"/>
    <x v="2"/>
  </r>
  <r>
    <s v="730"/>
    <s v="1"/>
    <s v="3"/>
    <s v="6"/>
    <n v="131000"/>
    <x v="488"/>
    <x v="2"/>
    <x v="2"/>
  </r>
  <r>
    <s v="731"/>
    <s v="9"/>
    <s v="5"/>
    <s v="6"/>
    <n v="282000"/>
    <x v="489"/>
    <x v="2"/>
    <x v="2"/>
  </r>
  <r>
    <s v="732"/>
    <s v="2"/>
    <s v="5"/>
    <s v="4"/>
    <n v="291000"/>
    <x v="490"/>
    <x v="2"/>
    <x v="2"/>
  </r>
  <r>
    <s v="733"/>
    <s v="4"/>
    <s v="3"/>
    <s v="5"/>
    <n v="77000"/>
    <x v="490"/>
    <x v="2"/>
    <x v="2"/>
  </r>
  <r>
    <s v="734"/>
    <s v="1"/>
    <s v="1"/>
    <s v="5"/>
    <n v="119000"/>
    <x v="491"/>
    <x v="2"/>
    <x v="2"/>
  </r>
  <r>
    <s v="735"/>
    <s v="9"/>
    <s v="5"/>
    <s v="1"/>
    <n v="274000"/>
    <x v="492"/>
    <x v="2"/>
    <x v="2"/>
  </r>
  <r>
    <s v="736"/>
    <s v="8"/>
    <s v="3"/>
    <s v="4"/>
    <n v="238000"/>
    <x v="493"/>
    <x v="2"/>
    <x v="2"/>
  </r>
  <r>
    <s v="737"/>
    <s v="7"/>
    <s v="5"/>
    <s v="2"/>
    <n v="158000"/>
    <x v="493"/>
    <x v="2"/>
    <x v="2"/>
  </r>
  <r>
    <s v="738"/>
    <s v="9"/>
    <s v="4"/>
    <s v="3"/>
    <n v="259000"/>
    <x v="494"/>
    <x v="2"/>
    <x v="2"/>
  </r>
  <r>
    <s v="739"/>
    <s v="7"/>
    <s v="3"/>
    <s v="5"/>
    <n v="40000"/>
    <x v="495"/>
    <x v="2"/>
    <x v="2"/>
  </r>
  <r>
    <s v="740"/>
    <s v="6"/>
    <s v="1"/>
    <s v="6"/>
    <n v="141000"/>
    <x v="496"/>
    <x v="2"/>
    <x v="2"/>
  </r>
  <r>
    <s v="741"/>
    <s v="6"/>
    <s v="1"/>
    <s v="2"/>
    <n v="237000"/>
    <x v="497"/>
    <x v="2"/>
    <x v="2"/>
  </r>
  <r>
    <s v="742"/>
    <s v="1"/>
    <s v="4"/>
    <s v="2"/>
    <n v="172000"/>
    <x v="498"/>
    <x v="2"/>
    <x v="2"/>
  </r>
  <r>
    <s v="743"/>
    <s v="4"/>
    <s v="3"/>
    <s v="3"/>
    <n v="204000"/>
    <x v="498"/>
    <x v="2"/>
    <x v="2"/>
  </r>
  <r>
    <s v="744"/>
    <s v="2"/>
    <s v="7"/>
    <s v="5"/>
    <n v="158000"/>
    <x v="498"/>
    <x v="2"/>
    <x v="2"/>
  </r>
  <r>
    <s v="745"/>
    <s v="5"/>
    <s v="7"/>
    <s v="3"/>
    <n v="84000"/>
    <x v="499"/>
    <x v="2"/>
    <x v="2"/>
  </r>
  <r>
    <s v="746"/>
    <s v="4"/>
    <s v="5"/>
    <s v="5"/>
    <n v="102000"/>
    <x v="500"/>
    <x v="2"/>
    <x v="2"/>
  </r>
  <r>
    <s v="747"/>
    <s v="5"/>
    <s v="7"/>
    <s v="4"/>
    <n v="45000"/>
    <x v="501"/>
    <x v="2"/>
    <x v="3"/>
  </r>
  <r>
    <s v="748"/>
    <s v="7"/>
    <s v="3"/>
    <s v="6"/>
    <n v="181000"/>
    <x v="501"/>
    <x v="2"/>
    <x v="3"/>
  </r>
  <r>
    <s v="749"/>
    <s v="3"/>
    <s v="1"/>
    <s v="4"/>
    <n v="142000"/>
    <x v="502"/>
    <x v="2"/>
    <x v="3"/>
  </r>
  <r>
    <s v="750"/>
    <s v="7"/>
    <s v="2"/>
    <s v="4"/>
    <n v="103000"/>
    <x v="502"/>
    <x v="2"/>
    <x v="3"/>
  </r>
  <r>
    <s v="751"/>
    <s v="9"/>
    <s v="2"/>
    <s v="5"/>
    <n v="276000"/>
    <x v="502"/>
    <x v="2"/>
    <x v="3"/>
  </r>
  <r>
    <s v="752"/>
    <s v="2"/>
    <s v="6"/>
    <s v="5"/>
    <n v="148000"/>
    <x v="503"/>
    <x v="2"/>
    <x v="3"/>
  </r>
  <r>
    <s v="753"/>
    <s v="3"/>
    <s v="1"/>
    <s v="2"/>
    <n v="160000"/>
    <x v="504"/>
    <x v="2"/>
    <x v="3"/>
  </r>
  <r>
    <s v="754"/>
    <s v="3"/>
    <s v="1"/>
    <s v="2"/>
    <n v="108000"/>
    <x v="505"/>
    <x v="2"/>
    <x v="3"/>
  </r>
  <r>
    <s v="755"/>
    <s v="6"/>
    <s v="1"/>
    <s v="1"/>
    <n v="177000"/>
    <x v="506"/>
    <x v="2"/>
    <x v="3"/>
  </r>
  <r>
    <s v="756"/>
    <s v="7"/>
    <s v="7"/>
    <s v="5"/>
    <n v="39000"/>
    <x v="506"/>
    <x v="2"/>
    <x v="3"/>
  </r>
  <r>
    <s v="757"/>
    <s v="3"/>
    <s v="2"/>
    <s v="2"/>
    <n v="246000"/>
    <x v="507"/>
    <x v="2"/>
    <x v="3"/>
  </r>
  <r>
    <s v="758"/>
    <s v="9"/>
    <s v="2"/>
    <s v="2"/>
    <n v="152000"/>
    <x v="508"/>
    <x v="2"/>
    <x v="3"/>
  </r>
  <r>
    <s v="759"/>
    <s v="4"/>
    <s v="1"/>
    <s v="4"/>
    <n v="123000"/>
    <x v="509"/>
    <x v="2"/>
    <x v="3"/>
  </r>
  <r>
    <s v="760"/>
    <s v="7"/>
    <s v="5"/>
    <s v="1"/>
    <n v="263000"/>
    <x v="509"/>
    <x v="2"/>
    <x v="3"/>
  </r>
  <r>
    <s v="761"/>
    <s v="9"/>
    <s v="7"/>
    <s v="1"/>
    <n v="210000"/>
    <x v="510"/>
    <x v="2"/>
    <x v="3"/>
  </r>
  <r>
    <s v="762"/>
    <s v="5"/>
    <s v="3"/>
    <s v="6"/>
    <n v="197000"/>
    <x v="511"/>
    <x v="2"/>
    <x v="3"/>
  </r>
  <r>
    <s v="763"/>
    <s v="3"/>
    <s v="3"/>
    <s v="2"/>
    <n v="43000"/>
    <x v="511"/>
    <x v="2"/>
    <x v="3"/>
  </r>
  <r>
    <s v="764"/>
    <s v="5"/>
    <s v="6"/>
    <s v="3"/>
    <n v="222000"/>
    <x v="512"/>
    <x v="2"/>
    <x v="3"/>
  </r>
  <r>
    <s v="765"/>
    <s v="1"/>
    <s v="5"/>
    <s v="3"/>
    <n v="203000"/>
    <x v="512"/>
    <x v="2"/>
    <x v="3"/>
  </r>
  <r>
    <s v="766"/>
    <s v="3"/>
    <s v="5"/>
    <s v="5"/>
    <n v="94000"/>
    <x v="512"/>
    <x v="2"/>
    <x v="3"/>
  </r>
  <r>
    <s v="767"/>
    <s v="1"/>
    <s v="1"/>
    <s v="3"/>
    <n v="159000"/>
    <x v="512"/>
    <x v="2"/>
    <x v="3"/>
  </r>
  <r>
    <s v="768"/>
    <s v="1"/>
    <s v="4"/>
    <s v="5"/>
    <n v="300000"/>
    <x v="512"/>
    <x v="2"/>
    <x v="3"/>
  </r>
  <r>
    <s v="769"/>
    <s v="3"/>
    <s v="5"/>
    <s v="5"/>
    <n v="101000"/>
    <x v="513"/>
    <x v="2"/>
    <x v="3"/>
  </r>
  <r>
    <s v="770"/>
    <s v="5"/>
    <s v="6"/>
    <s v="5"/>
    <n v="287000"/>
    <x v="514"/>
    <x v="2"/>
    <x v="3"/>
  </r>
  <r>
    <s v="771"/>
    <s v="7"/>
    <s v="4"/>
    <s v="2"/>
    <n v="103000"/>
    <x v="515"/>
    <x v="2"/>
    <x v="3"/>
  </r>
  <r>
    <s v="772"/>
    <s v="9"/>
    <s v="6"/>
    <s v="3"/>
    <n v="58000"/>
    <x v="516"/>
    <x v="2"/>
    <x v="3"/>
  </r>
  <r>
    <s v="773"/>
    <s v="1"/>
    <s v="2"/>
    <s v="1"/>
    <n v="145000"/>
    <x v="516"/>
    <x v="2"/>
    <x v="3"/>
  </r>
  <r>
    <s v="774"/>
    <s v="3"/>
    <s v="7"/>
    <s v="3"/>
    <n v="278000"/>
    <x v="516"/>
    <x v="2"/>
    <x v="3"/>
  </r>
  <r>
    <s v="775"/>
    <s v="4"/>
    <s v="6"/>
    <s v="6"/>
    <n v="176000"/>
    <x v="517"/>
    <x v="2"/>
    <x v="4"/>
  </r>
  <r>
    <s v="776"/>
    <s v="3"/>
    <s v="4"/>
    <s v="2"/>
    <n v="100000"/>
    <x v="517"/>
    <x v="2"/>
    <x v="4"/>
  </r>
  <r>
    <s v="777"/>
    <s v="4"/>
    <s v="4"/>
    <s v="6"/>
    <n v="148000"/>
    <x v="518"/>
    <x v="2"/>
    <x v="4"/>
  </r>
  <r>
    <s v="778"/>
    <s v="9"/>
    <s v="7"/>
    <s v="1"/>
    <n v="151000"/>
    <x v="518"/>
    <x v="2"/>
    <x v="4"/>
  </r>
  <r>
    <s v="779"/>
    <s v="2"/>
    <s v="1"/>
    <s v="2"/>
    <n v="63000"/>
    <x v="518"/>
    <x v="2"/>
    <x v="4"/>
  </r>
  <r>
    <s v="780"/>
    <s v="4"/>
    <s v="4"/>
    <s v="2"/>
    <n v="94000"/>
    <x v="518"/>
    <x v="2"/>
    <x v="4"/>
  </r>
  <r>
    <s v="781"/>
    <s v="1"/>
    <s v="6"/>
    <s v="4"/>
    <n v="274000"/>
    <x v="518"/>
    <x v="2"/>
    <x v="4"/>
  </r>
  <r>
    <s v="782"/>
    <s v="2"/>
    <s v="1"/>
    <s v="3"/>
    <n v="219000"/>
    <x v="519"/>
    <x v="2"/>
    <x v="4"/>
  </r>
  <r>
    <s v="783"/>
    <s v="2"/>
    <s v="3"/>
    <s v="6"/>
    <n v="230000"/>
    <x v="519"/>
    <x v="2"/>
    <x v="4"/>
  </r>
  <r>
    <s v="784"/>
    <s v="7"/>
    <s v="4"/>
    <s v="1"/>
    <n v="215000"/>
    <x v="520"/>
    <x v="2"/>
    <x v="4"/>
  </r>
  <r>
    <s v="785"/>
    <s v="8"/>
    <s v="2"/>
    <s v="3"/>
    <n v="281000"/>
    <x v="520"/>
    <x v="2"/>
    <x v="4"/>
  </r>
  <r>
    <s v="786"/>
    <s v="8"/>
    <s v="1"/>
    <s v="4"/>
    <n v="281000"/>
    <x v="520"/>
    <x v="2"/>
    <x v="4"/>
  </r>
  <r>
    <s v="787"/>
    <s v="1"/>
    <s v="1"/>
    <s v="3"/>
    <n v="173000"/>
    <x v="521"/>
    <x v="2"/>
    <x v="4"/>
  </r>
  <r>
    <s v="788"/>
    <s v="9"/>
    <s v="1"/>
    <s v="3"/>
    <n v="35000"/>
    <x v="522"/>
    <x v="2"/>
    <x v="4"/>
  </r>
  <r>
    <s v="789"/>
    <s v="9"/>
    <s v="2"/>
    <s v="3"/>
    <n v="76000"/>
    <x v="523"/>
    <x v="2"/>
    <x v="4"/>
  </r>
  <r>
    <s v="790"/>
    <s v="3"/>
    <s v="7"/>
    <s v="3"/>
    <n v="260000"/>
    <x v="524"/>
    <x v="2"/>
    <x v="4"/>
  </r>
  <r>
    <s v="791"/>
    <s v="6"/>
    <s v="4"/>
    <s v="1"/>
    <n v="108000"/>
    <x v="524"/>
    <x v="2"/>
    <x v="4"/>
  </r>
  <r>
    <s v="792"/>
    <s v="8"/>
    <s v="3"/>
    <s v="2"/>
    <n v="71000"/>
    <x v="525"/>
    <x v="2"/>
    <x v="4"/>
  </r>
  <r>
    <s v="793"/>
    <s v="7"/>
    <s v="7"/>
    <s v="5"/>
    <n v="187000"/>
    <x v="526"/>
    <x v="2"/>
    <x v="4"/>
  </r>
  <r>
    <s v="794"/>
    <s v="4"/>
    <s v="1"/>
    <s v="1"/>
    <n v="178000"/>
    <x v="527"/>
    <x v="2"/>
    <x v="4"/>
  </r>
  <r>
    <s v="795"/>
    <s v="5"/>
    <s v="5"/>
    <s v="3"/>
    <n v="205000"/>
    <x v="528"/>
    <x v="2"/>
    <x v="4"/>
  </r>
  <r>
    <s v="796"/>
    <s v="4"/>
    <s v="6"/>
    <s v="1"/>
    <n v="69000"/>
    <x v="529"/>
    <x v="2"/>
    <x v="4"/>
  </r>
  <r>
    <s v="797"/>
    <s v="3"/>
    <s v="1"/>
    <s v="2"/>
    <n v="136000"/>
    <x v="530"/>
    <x v="2"/>
    <x v="4"/>
  </r>
  <r>
    <s v="798"/>
    <s v="5"/>
    <s v="6"/>
    <s v="2"/>
    <n v="91000"/>
    <x v="531"/>
    <x v="2"/>
    <x v="4"/>
  </r>
  <r>
    <s v="799"/>
    <s v="3"/>
    <s v="4"/>
    <s v="2"/>
    <n v="245000"/>
    <x v="531"/>
    <x v="2"/>
    <x v="4"/>
  </r>
  <r>
    <s v="800"/>
    <s v="2"/>
    <s v="3"/>
    <s v="1"/>
    <n v="249000"/>
    <x v="532"/>
    <x v="2"/>
    <x v="4"/>
  </r>
  <r>
    <s v="801"/>
    <s v="3"/>
    <s v="2"/>
    <s v="3"/>
    <n v="43000"/>
    <x v="532"/>
    <x v="2"/>
    <x v="4"/>
  </r>
  <r>
    <s v="802"/>
    <s v="8"/>
    <s v="3"/>
    <s v="2"/>
    <n v="142000"/>
    <x v="533"/>
    <x v="2"/>
    <x v="4"/>
  </r>
  <r>
    <s v="803"/>
    <s v="2"/>
    <s v="2"/>
    <s v="2"/>
    <n v="32000"/>
    <x v="533"/>
    <x v="2"/>
    <x v="4"/>
  </r>
  <r>
    <s v="804"/>
    <s v="2"/>
    <s v="3"/>
    <s v="1"/>
    <n v="97000"/>
    <x v="534"/>
    <x v="2"/>
    <x v="4"/>
  </r>
  <r>
    <s v="805"/>
    <s v="2"/>
    <s v="4"/>
    <s v="2"/>
    <n v="215000"/>
    <x v="535"/>
    <x v="2"/>
    <x v="4"/>
  </r>
  <r>
    <s v="806"/>
    <s v="3"/>
    <s v="3"/>
    <s v="6"/>
    <n v="269000"/>
    <x v="536"/>
    <x v="2"/>
    <x v="4"/>
  </r>
  <r>
    <s v="807"/>
    <s v="5"/>
    <s v="2"/>
    <s v="4"/>
    <n v="145000"/>
    <x v="537"/>
    <x v="2"/>
    <x v="4"/>
  </r>
  <r>
    <s v="808"/>
    <s v="5"/>
    <s v="2"/>
    <s v="3"/>
    <n v="180000"/>
    <x v="537"/>
    <x v="2"/>
    <x v="4"/>
  </r>
  <r>
    <s v="809"/>
    <s v="6"/>
    <s v="3"/>
    <s v="3"/>
    <n v="257000"/>
    <x v="538"/>
    <x v="2"/>
    <x v="4"/>
  </r>
  <r>
    <s v="810"/>
    <s v="4"/>
    <s v="1"/>
    <s v="1"/>
    <n v="43000"/>
    <x v="539"/>
    <x v="2"/>
    <x v="4"/>
  </r>
  <r>
    <s v="811"/>
    <s v="5"/>
    <s v="7"/>
    <s v="1"/>
    <n v="254000"/>
    <x v="540"/>
    <x v="2"/>
    <x v="5"/>
  </r>
  <r>
    <s v="812"/>
    <s v="3"/>
    <s v="3"/>
    <s v="5"/>
    <n v="237000"/>
    <x v="540"/>
    <x v="2"/>
    <x v="5"/>
  </r>
  <r>
    <s v="813"/>
    <s v="9"/>
    <s v="3"/>
    <s v="3"/>
    <n v="152000"/>
    <x v="540"/>
    <x v="2"/>
    <x v="5"/>
  </r>
  <r>
    <s v="814"/>
    <s v="9"/>
    <s v="2"/>
    <s v="6"/>
    <n v="299000"/>
    <x v="541"/>
    <x v="2"/>
    <x v="5"/>
  </r>
  <r>
    <s v="815"/>
    <s v="5"/>
    <s v="1"/>
    <s v="1"/>
    <n v="35000"/>
    <x v="541"/>
    <x v="2"/>
    <x v="5"/>
  </r>
  <r>
    <s v="816"/>
    <s v="4"/>
    <s v="5"/>
    <s v="4"/>
    <n v="45000"/>
    <x v="542"/>
    <x v="2"/>
    <x v="5"/>
  </r>
  <r>
    <s v="817"/>
    <s v="7"/>
    <s v="6"/>
    <s v="4"/>
    <n v="132000"/>
    <x v="542"/>
    <x v="2"/>
    <x v="5"/>
  </r>
  <r>
    <s v="818"/>
    <s v="6"/>
    <s v="2"/>
    <s v="3"/>
    <n v="83000"/>
    <x v="542"/>
    <x v="2"/>
    <x v="5"/>
  </r>
  <r>
    <s v="819"/>
    <s v="8"/>
    <s v="7"/>
    <s v="6"/>
    <n v="184000"/>
    <x v="543"/>
    <x v="2"/>
    <x v="5"/>
  </r>
  <r>
    <s v="820"/>
    <s v="1"/>
    <s v="7"/>
    <s v="4"/>
    <n v="43000"/>
    <x v="544"/>
    <x v="2"/>
    <x v="5"/>
  </r>
  <r>
    <s v="821"/>
    <s v="9"/>
    <s v="4"/>
    <s v="4"/>
    <n v="84000"/>
    <x v="544"/>
    <x v="2"/>
    <x v="5"/>
  </r>
  <r>
    <s v="822"/>
    <s v="3"/>
    <s v="5"/>
    <s v="6"/>
    <n v="54000"/>
    <x v="545"/>
    <x v="2"/>
    <x v="5"/>
  </r>
  <r>
    <s v="823"/>
    <s v="2"/>
    <s v="6"/>
    <s v="5"/>
    <n v="211000"/>
    <x v="546"/>
    <x v="2"/>
    <x v="5"/>
  </r>
  <r>
    <s v="824"/>
    <s v="9"/>
    <s v="3"/>
    <s v="5"/>
    <n v="56000"/>
    <x v="547"/>
    <x v="2"/>
    <x v="5"/>
  </r>
  <r>
    <s v="825"/>
    <s v="1"/>
    <s v="1"/>
    <s v="5"/>
    <n v="243000"/>
    <x v="547"/>
    <x v="2"/>
    <x v="5"/>
  </r>
  <r>
    <s v="826"/>
    <s v="4"/>
    <s v="2"/>
    <s v="3"/>
    <n v="90000"/>
    <x v="548"/>
    <x v="2"/>
    <x v="5"/>
  </r>
  <r>
    <s v="827"/>
    <s v="8"/>
    <s v="2"/>
    <s v="4"/>
    <n v="119000"/>
    <x v="548"/>
    <x v="2"/>
    <x v="5"/>
  </r>
  <r>
    <s v="828"/>
    <s v="1"/>
    <s v="1"/>
    <s v="1"/>
    <n v="242000"/>
    <x v="549"/>
    <x v="2"/>
    <x v="5"/>
  </r>
  <r>
    <s v="829"/>
    <s v="4"/>
    <s v="4"/>
    <s v="6"/>
    <n v="115000"/>
    <x v="550"/>
    <x v="2"/>
    <x v="5"/>
  </r>
  <r>
    <s v="830"/>
    <s v="1"/>
    <s v="3"/>
    <s v="5"/>
    <n v="64000"/>
    <x v="551"/>
    <x v="2"/>
    <x v="5"/>
  </r>
  <r>
    <s v="831"/>
    <s v="9"/>
    <s v="6"/>
    <s v="5"/>
    <n v="247000"/>
    <x v="552"/>
    <x v="2"/>
    <x v="5"/>
  </r>
  <r>
    <s v="832"/>
    <s v="4"/>
    <s v="2"/>
    <s v="1"/>
    <n v="221000"/>
    <x v="553"/>
    <x v="2"/>
    <x v="5"/>
  </r>
  <r>
    <s v="833"/>
    <s v="3"/>
    <s v="2"/>
    <s v="1"/>
    <n v="161000"/>
    <x v="554"/>
    <x v="2"/>
    <x v="5"/>
  </r>
  <r>
    <s v="834"/>
    <s v="9"/>
    <s v="6"/>
    <s v="2"/>
    <n v="133000"/>
    <x v="555"/>
    <x v="2"/>
    <x v="5"/>
  </r>
  <r>
    <s v="835"/>
    <s v="3"/>
    <s v="2"/>
    <s v="3"/>
    <n v="155000"/>
    <x v="555"/>
    <x v="2"/>
    <x v="5"/>
  </r>
  <r>
    <s v="836"/>
    <s v="8"/>
    <s v="3"/>
    <s v="6"/>
    <n v="225000"/>
    <x v="556"/>
    <x v="2"/>
    <x v="5"/>
  </r>
  <r>
    <s v="837"/>
    <s v="8"/>
    <s v="4"/>
    <s v="1"/>
    <n v="159000"/>
    <x v="556"/>
    <x v="2"/>
    <x v="5"/>
  </r>
  <r>
    <s v="838"/>
    <s v="3"/>
    <s v="3"/>
    <s v="6"/>
    <n v="295000"/>
    <x v="557"/>
    <x v="2"/>
    <x v="5"/>
  </r>
  <r>
    <s v="839"/>
    <s v="7"/>
    <s v="2"/>
    <s v="6"/>
    <n v="49000"/>
    <x v="558"/>
    <x v="2"/>
    <x v="5"/>
  </r>
  <r>
    <s v="840"/>
    <s v="9"/>
    <s v="7"/>
    <s v="4"/>
    <n v="217000"/>
    <x v="558"/>
    <x v="2"/>
    <x v="5"/>
  </r>
  <r>
    <s v="841"/>
    <s v="8"/>
    <s v="3"/>
    <s v="3"/>
    <n v="92000"/>
    <x v="558"/>
    <x v="2"/>
    <x v="5"/>
  </r>
  <r>
    <s v="842"/>
    <s v="4"/>
    <s v="1"/>
    <s v="2"/>
    <n v="118000"/>
    <x v="559"/>
    <x v="2"/>
    <x v="5"/>
  </r>
  <r>
    <s v="843"/>
    <s v="7"/>
    <s v="4"/>
    <s v="2"/>
    <n v="36000"/>
    <x v="560"/>
    <x v="2"/>
    <x v="6"/>
  </r>
  <r>
    <s v="844"/>
    <s v="6"/>
    <s v="2"/>
    <s v="2"/>
    <n v="92000"/>
    <x v="561"/>
    <x v="2"/>
    <x v="6"/>
  </r>
  <r>
    <s v="845"/>
    <s v="7"/>
    <s v="3"/>
    <s v="6"/>
    <n v="148000"/>
    <x v="562"/>
    <x v="2"/>
    <x v="6"/>
  </r>
  <r>
    <s v="846"/>
    <s v="9"/>
    <s v="1"/>
    <s v="5"/>
    <n v="199000"/>
    <x v="562"/>
    <x v="2"/>
    <x v="6"/>
  </r>
  <r>
    <s v="847"/>
    <s v="8"/>
    <s v="6"/>
    <s v="1"/>
    <n v="101000"/>
    <x v="563"/>
    <x v="2"/>
    <x v="6"/>
  </r>
  <r>
    <s v="848"/>
    <s v="9"/>
    <s v="3"/>
    <s v="4"/>
    <n v="55000"/>
    <x v="564"/>
    <x v="2"/>
    <x v="6"/>
  </r>
  <r>
    <s v="849"/>
    <s v="8"/>
    <s v="2"/>
    <s v="2"/>
    <n v="273000"/>
    <x v="565"/>
    <x v="2"/>
    <x v="6"/>
  </r>
  <r>
    <s v="850"/>
    <s v="9"/>
    <s v="4"/>
    <s v="2"/>
    <n v="57000"/>
    <x v="566"/>
    <x v="2"/>
    <x v="6"/>
  </r>
  <r>
    <s v="851"/>
    <s v="1"/>
    <s v="7"/>
    <s v="4"/>
    <n v="52000"/>
    <x v="567"/>
    <x v="2"/>
    <x v="6"/>
  </r>
  <r>
    <s v="852"/>
    <s v="3"/>
    <s v="1"/>
    <s v="6"/>
    <n v="204000"/>
    <x v="568"/>
    <x v="2"/>
    <x v="6"/>
  </r>
  <r>
    <s v="853"/>
    <s v="4"/>
    <s v="5"/>
    <s v="3"/>
    <n v="281000"/>
    <x v="569"/>
    <x v="2"/>
    <x v="6"/>
  </r>
  <r>
    <s v="854"/>
    <s v="6"/>
    <s v="5"/>
    <s v="6"/>
    <n v="131000"/>
    <x v="569"/>
    <x v="2"/>
    <x v="6"/>
  </r>
  <r>
    <s v="855"/>
    <s v="1"/>
    <s v="2"/>
    <s v="1"/>
    <n v="260000"/>
    <x v="569"/>
    <x v="2"/>
    <x v="6"/>
  </r>
  <r>
    <s v="856"/>
    <s v="6"/>
    <s v="3"/>
    <s v="3"/>
    <n v="162000"/>
    <x v="570"/>
    <x v="2"/>
    <x v="6"/>
  </r>
  <r>
    <s v="857"/>
    <s v="3"/>
    <s v="6"/>
    <s v="1"/>
    <n v="243000"/>
    <x v="570"/>
    <x v="2"/>
    <x v="6"/>
  </r>
  <r>
    <s v="858"/>
    <s v="5"/>
    <s v="3"/>
    <s v="2"/>
    <n v="219000"/>
    <x v="571"/>
    <x v="2"/>
    <x v="6"/>
  </r>
  <r>
    <s v="859"/>
    <s v="1"/>
    <s v="3"/>
    <s v="4"/>
    <n v="99000"/>
    <x v="572"/>
    <x v="2"/>
    <x v="6"/>
  </r>
  <r>
    <s v="860"/>
    <s v="8"/>
    <s v="3"/>
    <s v="6"/>
    <n v="299000"/>
    <x v="572"/>
    <x v="2"/>
    <x v="6"/>
  </r>
  <r>
    <s v="861"/>
    <s v="9"/>
    <s v="3"/>
    <s v="6"/>
    <n v="292000"/>
    <x v="572"/>
    <x v="2"/>
    <x v="6"/>
  </r>
  <r>
    <s v="862"/>
    <s v="4"/>
    <s v="2"/>
    <s v="3"/>
    <n v="163000"/>
    <x v="573"/>
    <x v="2"/>
    <x v="6"/>
  </r>
  <r>
    <s v="863"/>
    <s v="5"/>
    <s v="4"/>
    <s v="1"/>
    <n v="240000"/>
    <x v="574"/>
    <x v="2"/>
    <x v="6"/>
  </r>
  <r>
    <s v="864"/>
    <s v="3"/>
    <s v="4"/>
    <s v="5"/>
    <n v="232000"/>
    <x v="575"/>
    <x v="2"/>
    <x v="6"/>
  </r>
  <r>
    <s v="865"/>
    <s v="5"/>
    <s v="7"/>
    <s v="5"/>
    <n v="187000"/>
    <x v="576"/>
    <x v="2"/>
    <x v="7"/>
  </r>
  <r>
    <s v="866"/>
    <s v="6"/>
    <s v="5"/>
    <s v="4"/>
    <n v="40000"/>
    <x v="576"/>
    <x v="2"/>
    <x v="7"/>
  </r>
  <r>
    <s v="867"/>
    <s v="3"/>
    <s v="5"/>
    <s v="2"/>
    <n v="57000"/>
    <x v="577"/>
    <x v="2"/>
    <x v="7"/>
  </r>
  <r>
    <s v="868"/>
    <s v="9"/>
    <s v="7"/>
    <s v="2"/>
    <n v="63000"/>
    <x v="577"/>
    <x v="2"/>
    <x v="7"/>
  </r>
  <r>
    <s v="869"/>
    <s v="5"/>
    <s v="3"/>
    <s v="6"/>
    <n v="212000"/>
    <x v="578"/>
    <x v="2"/>
    <x v="7"/>
  </r>
  <r>
    <s v="870"/>
    <s v="8"/>
    <s v="2"/>
    <s v="3"/>
    <n v="37000"/>
    <x v="579"/>
    <x v="2"/>
    <x v="7"/>
  </r>
  <r>
    <s v="871"/>
    <s v="4"/>
    <s v="4"/>
    <s v="3"/>
    <n v="53000"/>
    <x v="580"/>
    <x v="2"/>
    <x v="7"/>
  </r>
  <r>
    <s v="872"/>
    <s v="3"/>
    <s v="5"/>
    <s v="2"/>
    <n v="32000"/>
    <x v="580"/>
    <x v="2"/>
    <x v="7"/>
  </r>
  <r>
    <s v="873"/>
    <s v="8"/>
    <s v="5"/>
    <s v="6"/>
    <n v="109000"/>
    <x v="581"/>
    <x v="2"/>
    <x v="7"/>
  </r>
  <r>
    <s v="874"/>
    <s v="5"/>
    <s v="6"/>
    <s v="4"/>
    <n v="292000"/>
    <x v="581"/>
    <x v="2"/>
    <x v="7"/>
  </r>
  <r>
    <s v="875"/>
    <s v="7"/>
    <s v="6"/>
    <s v="5"/>
    <n v="202000"/>
    <x v="581"/>
    <x v="2"/>
    <x v="7"/>
  </r>
  <r>
    <s v="876"/>
    <s v="5"/>
    <s v="2"/>
    <s v="3"/>
    <n v="101000"/>
    <x v="582"/>
    <x v="2"/>
    <x v="7"/>
  </r>
  <r>
    <s v="877"/>
    <s v="9"/>
    <s v="4"/>
    <s v="1"/>
    <n v="114000"/>
    <x v="583"/>
    <x v="2"/>
    <x v="7"/>
  </r>
  <r>
    <s v="878"/>
    <s v="3"/>
    <s v="6"/>
    <s v="1"/>
    <n v="205000"/>
    <x v="584"/>
    <x v="2"/>
    <x v="7"/>
  </r>
  <r>
    <s v="879"/>
    <s v="4"/>
    <s v="1"/>
    <s v="5"/>
    <n v="279000"/>
    <x v="585"/>
    <x v="2"/>
    <x v="7"/>
  </r>
  <r>
    <s v="880"/>
    <s v="3"/>
    <s v="5"/>
    <s v="1"/>
    <n v="231000"/>
    <x v="586"/>
    <x v="2"/>
    <x v="7"/>
  </r>
  <r>
    <s v="881"/>
    <s v="9"/>
    <s v="2"/>
    <s v="2"/>
    <n v="299000"/>
    <x v="586"/>
    <x v="2"/>
    <x v="7"/>
  </r>
  <r>
    <s v="882"/>
    <s v="8"/>
    <s v="6"/>
    <s v="5"/>
    <n v="290000"/>
    <x v="586"/>
    <x v="2"/>
    <x v="7"/>
  </r>
  <r>
    <s v="883"/>
    <s v="7"/>
    <s v="6"/>
    <s v="1"/>
    <n v="36000"/>
    <x v="587"/>
    <x v="2"/>
    <x v="7"/>
  </r>
  <r>
    <s v="884"/>
    <s v="3"/>
    <s v="5"/>
    <s v="2"/>
    <n v="185000"/>
    <x v="587"/>
    <x v="2"/>
    <x v="7"/>
  </r>
  <r>
    <s v="885"/>
    <s v="7"/>
    <s v="1"/>
    <s v="6"/>
    <n v="227000"/>
    <x v="588"/>
    <x v="2"/>
    <x v="7"/>
  </r>
  <r>
    <s v="886"/>
    <s v="6"/>
    <s v="5"/>
    <s v="1"/>
    <n v="237000"/>
    <x v="588"/>
    <x v="2"/>
    <x v="7"/>
  </r>
  <r>
    <s v="887"/>
    <s v="6"/>
    <s v="6"/>
    <s v="3"/>
    <n v="119000"/>
    <x v="588"/>
    <x v="2"/>
    <x v="7"/>
  </r>
  <r>
    <s v="888"/>
    <s v="7"/>
    <s v="7"/>
    <s v="6"/>
    <n v="220000"/>
    <x v="589"/>
    <x v="2"/>
    <x v="7"/>
  </r>
  <r>
    <s v="889"/>
    <s v="7"/>
    <s v="1"/>
    <s v="3"/>
    <n v="207000"/>
    <x v="590"/>
    <x v="2"/>
    <x v="7"/>
  </r>
  <r>
    <s v="890"/>
    <s v="1"/>
    <s v="6"/>
    <s v="6"/>
    <n v="109000"/>
    <x v="590"/>
    <x v="2"/>
    <x v="7"/>
  </r>
  <r>
    <s v="891"/>
    <s v="2"/>
    <s v="1"/>
    <s v="4"/>
    <n v="79000"/>
    <x v="591"/>
    <x v="2"/>
    <x v="7"/>
  </r>
  <r>
    <s v="892"/>
    <s v="4"/>
    <s v="2"/>
    <s v="5"/>
    <n v="49000"/>
    <x v="591"/>
    <x v="2"/>
    <x v="7"/>
  </r>
  <r>
    <s v="893"/>
    <s v="6"/>
    <s v="5"/>
    <s v="3"/>
    <n v="139000"/>
    <x v="591"/>
    <x v="2"/>
    <x v="7"/>
  </r>
  <r>
    <s v="894"/>
    <s v="1"/>
    <s v="5"/>
    <s v="2"/>
    <n v="241000"/>
    <x v="592"/>
    <x v="2"/>
    <x v="7"/>
  </r>
  <r>
    <s v="895"/>
    <s v="4"/>
    <s v="4"/>
    <s v="1"/>
    <n v="68000"/>
    <x v="592"/>
    <x v="2"/>
    <x v="7"/>
  </r>
  <r>
    <s v="896"/>
    <s v="5"/>
    <s v="5"/>
    <s v="4"/>
    <n v="193000"/>
    <x v="592"/>
    <x v="2"/>
    <x v="7"/>
  </r>
  <r>
    <s v="897"/>
    <s v="3"/>
    <s v="1"/>
    <s v="5"/>
    <n v="96000"/>
    <x v="593"/>
    <x v="2"/>
    <x v="7"/>
  </r>
  <r>
    <s v="898"/>
    <s v="6"/>
    <s v="4"/>
    <s v="5"/>
    <n v="252000"/>
    <x v="593"/>
    <x v="2"/>
    <x v="7"/>
  </r>
  <r>
    <s v="899"/>
    <s v="5"/>
    <s v="4"/>
    <s v="3"/>
    <n v="108000"/>
    <x v="593"/>
    <x v="2"/>
    <x v="7"/>
  </r>
  <r>
    <s v="900"/>
    <s v="8"/>
    <s v="3"/>
    <s v="1"/>
    <n v="274000"/>
    <x v="594"/>
    <x v="2"/>
    <x v="7"/>
  </r>
  <r>
    <s v="901"/>
    <s v="8"/>
    <s v="1"/>
    <s v="4"/>
    <n v="184000"/>
    <x v="595"/>
    <x v="2"/>
    <x v="7"/>
  </r>
  <r>
    <s v="902"/>
    <s v="9"/>
    <s v="1"/>
    <s v="1"/>
    <n v="193000"/>
    <x v="595"/>
    <x v="2"/>
    <x v="7"/>
  </r>
  <r>
    <s v="903"/>
    <s v="6"/>
    <s v="4"/>
    <s v="5"/>
    <n v="240000"/>
    <x v="596"/>
    <x v="2"/>
    <x v="7"/>
  </r>
  <r>
    <s v="904"/>
    <s v="8"/>
    <s v="2"/>
    <s v="2"/>
    <n v="213000"/>
    <x v="597"/>
    <x v="2"/>
    <x v="7"/>
  </r>
  <r>
    <s v="905"/>
    <s v="7"/>
    <s v="2"/>
    <s v="5"/>
    <n v="237000"/>
    <x v="598"/>
    <x v="2"/>
    <x v="7"/>
  </r>
  <r>
    <s v="906"/>
    <s v="2"/>
    <s v="4"/>
    <s v="4"/>
    <n v="189000"/>
    <x v="599"/>
    <x v="2"/>
    <x v="8"/>
  </r>
  <r>
    <s v="907"/>
    <s v="8"/>
    <s v="3"/>
    <s v="3"/>
    <n v="232000"/>
    <x v="600"/>
    <x v="2"/>
    <x v="8"/>
  </r>
  <r>
    <s v="908"/>
    <s v="8"/>
    <s v="3"/>
    <s v="6"/>
    <n v="82000"/>
    <x v="600"/>
    <x v="2"/>
    <x v="8"/>
  </r>
  <r>
    <s v="909"/>
    <s v="2"/>
    <s v="7"/>
    <s v="3"/>
    <n v="300000"/>
    <x v="600"/>
    <x v="2"/>
    <x v="8"/>
  </r>
  <r>
    <s v="910"/>
    <s v="2"/>
    <s v="3"/>
    <s v="1"/>
    <n v="73000"/>
    <x v="600"/>
    <x v="2"/>
    <x v="8"/>
  </r>
  <r>
    <s v="911"/>
    <s v="2"/>
    <s v="3"/>
    <s v="2"/>
    <n v="175000"/>
    <x v="601"/>
    <x v="2"/>
    <x v="8"/>
  </r>
  <r>
    <s v="912"/>
    <s v="8"/>
    <s v="5"/>
    <s v="4"/>
    <n v="223000"/>
    <x v="602"/>
    <x v="2"/>
    <x v="8"/>
  </r>
  <r>
    <s v="913"/>
    <s v="3"/>
    <s v="4"/>
    <s v="1"/>
    <n v="81000"/>
    <x v="603"/>
    <x v="2"/>
    <x v="8"/>
  </r>
  <r>
    <s v="914"/>
    <s v="6"/>
    <s v="3"/>
    <s v="3"/>
    <n v="277000"/>
    <x v="604"/>
    <x v="2"/>
    <x v="8"/>
  </r>
  <r>
    <s v="915"/>
    <s v="7"/>
    <s v="2"/>
    <s v="4"/>
    <n v="277000"/>
    <x v="605"/>
    <x v="2"/>
    <x v="8"/>
  </r>
  <r>
    <s v="916"/>
    <s v="2"/>
    <s v="2"/>
    <s v="5"/>
    <n v="90000"/>
    <x v="605"/>
    <x v="2"/>
    <x v="8"/>
  </r>
  <r>
    <s v="917"/>
    <s v="6"/>
    <s v="7"/>
    <s v="4"/>
    <n v="38000"/>
    <x v="605"/>
    <x v="2"/>
    <x v="8"/>
  </r>
  <r>
    <s v="918"/>
    <s v="1"/>
    <s v="2"/>
    <s v="6"/>
    <n v="292000"/>
    <x v="606"/>
    <x v="2"/>
    <x v="8"/>
  </r>
  <r>
    <s v="919"/>
    <s v="6"/>
    <s v="5"/>
    <s v="6"/>
    <n v="88000"/>
    <x v="607"/>
    <x v="2"/>
    <x v="8"/>
  </r>
  <r>
    <s v="920"/>
    <s v="6"/>
    <s v="4"/>
    <s v="1"/>
    <n v="292000"/>
    <x v="608"/>
    <x v="2"/>
    <x v="8"/>
  </r>
  <r>
    <s v="921"/>
    <s v="2"/>
    <s v="3"/>
    <s v="2"/>
    <n v="69000"/>
    <x v="608"/>
    <x v="2"/>
    <x v="8"/>
  </r>
  <r>
    <s v="922"/>
    <s v="1"/>
    <s v="4"/>
    <s v="5"/>
    <n v="83000"/>
    <x v="609"/>
    <x v="2"/>
    <x v="8"/>
  </r>
  <r>
    <s v="923"/>
    <s v="7"/>
    <s v="6"/>
    <s v="3"/>
    <n v="42000"/>
    <x v="610"/>
    <x v="2"/>
    <x v="8"/>
  </r>
  <r>
    <s v="924"/>
    <s v="6"/>
    <s v="2"/>
    <s v="6"/>
    <n v="144000"/>
    <x v="611"/>
    <x v="2"/>
    <x v="8"/>
  </r>
  <r>
    <s v="925"/>
    <s v="8"/>
    <s v="3"/>
    <s v="2"/>
    <n v="88000"/>
    <x v="612"/>
    <x v="2"/>
    <x v="8"/>
  </r>
  <r>
    <s v="926"/>
    <s v="1"/>
    <s v="5"/>
    <s v="2"/>
    <n v="217000"/>
    <x v="612"/>
    <x v="2"/>
    <x v="8"/>
  </r>
  <r>
    <s v="927"/>
    <s v="8"/>
    <s v="6"/>
    <s v="4"/>
    <n v="30000"/>
    <x v="613"/>
    <x v="2"/>
    <x v="8"/>
  </r>
  <r>
    <s v="928"/>
    <s v="6"/>
    <s v="3"/>
    <s v="3"/>
    <n v="143000"/>
    <x v="614"/>
    <x v="2"/>
    <x v="9"/>
  </r>
  <r>
    <s v="929"/>
    <s v="1"/>
    <s v="6"/>
    <s v="3"/>
    <n v="163000"/>
    <x v="615"/>
    <x v="2"/>
    <x v="9"/>
  </r>
  <r>
    <s v="930"/>
    <s v="6"/>
    <s v="4"/>
    <s v="5"/>
    <n v="124000"/>
    <x v="616"/>
    <x v="2"/>
    <x v="9"/>
  </r>
  <r>
    <s v="931"/>
    <s v="9"/>
    <s v="2"/>
    <s v="6"/>
    <n v="184000"/>
    <x v="617"/>
    <x v="2"/>
    <x v="9"/>
  </r>
  <r>
    <s v="932"/>
    <s v="2"/>
    <s v="5"/>
    <s v="5"/>
    <n v="111000"/>
    <x v="618"/>
    <x v="2"/>
    <x v="9"/>
  </r>
  <r>
    <s v="933"/>
    <s v="6"/>
    <s v="2"/>
    <s v="3"/>
    <n v="297000"/>
    <x v="619"/>
    <x v="2"/>
    <x v="9"/>
  </r>
  <r>
    <s v="934"/>
    <s v="5"/>
    <s v="7"/>
    <s v="3"/>
    <n v="139000"/>
    <x v="620"/>
    <x v="2"/>
    <x v="9"/>
  </r>
  <r>
    <s v="935"/>
    <s v="4"/>
    <s v="2"/>
    <s v="1"/>
    <n v="252000"/>
    <x v="620"/>
    <x v="2"/>
    <x v="9"/>
  </r>
  <r>
    <s v="936"/>
    <s v="6"/>
    <s v="5"/>
    <s v="3"/>
    <n v="69000"/>
    <x v="621"/>
    <x v="2"/>
    <x v="9"/>
  </r>
  <r>
    <s v="937"/>
    <s v="6"/>
    <s v="5"/>
    <s v="4"/>
    <n v="64000"/>
    <x v="621"/>
    <x v="2"/>
    <x v="9"/>
  </r>
  <r>
    <s v="938"/>
    <s v="5"/>
    <s v="7"/>
    <s v="5"/>
    <n v="86000"/>
    <x v="621"/>
    <x v="2"/>
    <x v="9"/>
  </r>
  <r>
    <s v="939"/>
    <s v="2"/>
    <s v="3"/>
    <s v="2"/>
    <n v="113000"/>
    <x v="622"/>
    <x v="2"/>
    <x v="9"/>
  </r>
  <r>
    <s v="940"/>
    <s v="7"/>
    <s v="1"/>
    <s v="1"/>
    <n v="257000"/>
    <x v="623"/>
    <x v="2"/>
    <x v="9"/>
  </r>
  <r>
    <s v="941"/>
    <s v="1"/>
    <s v="7"/>
    <s v="1"/>
    <n v="200000"/>
    <x v="624"/>
    <x v="2"/>
    <x v="9"/>
  </r>
  <r>
    <s v="942"/>
    <s v="2"/>
    <s v="3"/>
    <s v="2"/>
    <n v="71000"/>
    <x v="624"/>
    <x v="2"/>
    <x v="9"/>
  </r>
  <r>
    <s v="943"/>
    <s v="6"/>
    <s v="4"/>
    <s v="4"/>
    <n v="32000"/>
    <x v="625"/>
    <x v="2"/>
    <x v="9"/>
  </r>
  <r>
    <s v="944"/>
    <s v="9"/>
    <s v="7"/>
    <s v="2"/>
    <n v="154000"/>
    <x v="625"/>
    <x v="2"/>
    <x v="9"/>
  </r>
  <r>
    <s v="945"/>
    <s v="6"/>
    <s v="4"/>
    <s v="2"/>
    <n v="106000"/>
    <x v="625"/>
    <x v="2"/>
    <x v="9"/>
  </r>
  <r>
    <s v="946"/>
    <s v="1"/>
    <s v="6"/>
    <s v="4"/>
    <n v="298000"/>
    <x v="626"/>
    <x v="2"/>
    <x v="9"/>
  </r>
  <r>
    <s v="947"/>
    <s v="2"/>
    <s v="1"/>
    <s v="5"/>
    <n v="72000"/>
    <x v="627"/>
    <x v="2"/>
    <x v="9"/>
  </r>
  <r>
    <s v="948"/>
    <s v="4"/>
    <s v="1"/>
    <s v="1"/>
    <n v="98000"/>
    <x v="628"/>
    <x v="2"/>
    <x v="9"/>
  </r>
  <r>
    <s v="949"/>
    <s v="9"/>
    <s v="4"/>
    <s v="5"/>
    <n v="41000"/>
    <x v="629"/>
    <x v="2"/>
    <x v="9"/>
  </r>
  <r>
    <s v="950"/>
    <s v="9"/>
    <s v="7"/>
    <s v="5"/>
    <n v="260000"/>
    <x v="630"/>
    <x v="2"/>
    <x v="9"/>
  </r>
  <r>
    <s v="951"/>
    <s v="4"/>
    <s v="2"/>
    <s v="4"/>
    <n v="230000"/>
    <x v="631"/>
    <x v="2"/>
    <x v="10"/>
  </r>
  <r>
    <s v="952"/>
    <s v="1"/>
    <s v="1"/>
    <s v="2"/>
    <n v="95000"/>
    <x v="632"/>
    <x v="2"/>
    <x v="10"/>
  </r>
  <r>
    <s v="953"/>
    <s v="2"/>
    <s v="5"/>
    <s v="1"/>
    <n v="285000"/>
    <x v="633"/>
    <x v="2"/>
    <x v="10"/>
  </r>
  <r>
    <s v="954"/>
    <s v="7"/>
    <s v="4"/>
    <s v="4"/>
    <n v="115000"/>
    <x v="634"/>
    <x v="2"/>
    <x v="10"/>
  </r>
  <r>
    <s v="955"/>
    <s v="7"/>
    <s v="7"/>
    <s v="4"/>
    <n v="232000"/>
    <x v="635"/>
    <x v="2"/>
    <x v="10"/>
  </r>
  <r>
    <s v="956"/>
    <s v="3"/>
    <s v="7"/>
    <s v="4"/>
    <n v="279000"/>
    <x v="636"/>
    <x v="2"/>
    <x v="10"/>
  </r>
  <r>
    <s v="957"/>
    <s v="4"/>
    <s v="1"/>
    <s v="3"/>
    <n v="275000"/>
    <x v="636"/>
    <x v="2"/>
    <x v="10"/>
  </r>
  <r>
    <s v="958"/>
    <s v="9"/>
    <s v="3"/>
    <s v="3"/>
    <n v="181000"/>
    <x v="636"/>
    <x v="2"/>
    <x v="10"/>
  </r>
  <r>
    <s v="959"/>
    <s v="4"/>
    <s v="2"/>
    <s v="6"/>
    <n v="257000"/>
    <x v="637"/>
    <x v="2"/>
    <x v="10"/>
  </r>
  <r>
    <s v="960"/>
    <s v="2"/>
    <s v="7"/>
    <s v="4"/>
    <n v="178000"/>
    <x v="638"/>
    <x v="2"/>
    <x v="10"/>
  </r>
  <r>
    <s v="961"/>
    <s v="4"/>
    <s v="5"/>
    <s v="2"/>
    <n v="271000"/>
    <x v="639"/>
    <x v="2"/>
    <x v="10"/>
  </r>
  <r>
    <s v="962"/>
    <s v="6"/>
    <s v="1"/>
    <s v="5"/>
    <n v="299000"/>
    <x v="640"/>
    <x v="2"/>
    <x v="10"/>
  </r>
  <r>
    <s v="963"/>
    <s v="4"/>
    <s v="1"/>
    <s v="2"/>
    <n v="110000"/>
    <x v="640"/>
    <x v="2"/>
    <x v="10"/>
  </r>
  <r>
    <s v="964"/>
    <s v="6"/>
    <s v="1"/>
    <s v="4"/>
    <n v="276000"/>
    <x v="641"/>
    <x v="2"/>
    <x v="10"/>
  </r>
  <r>
    <s v="965"/>
    <s v="9"/>
    <s v="2"/>
    <s v="5"/>
    <n v="268000"/>
    <x v="641"/>
    <x v="2"/>
    <x v="10"/>
  </r>
  <r>
    <s v="966"/>
    <s v="7"/>
    <s v="5"/>
    <s v="1"/>
    <n v="210000"/>
    <x v="642"/>
    <x v="2"/>
    <x v="10"/>
  </r>
  <r>
    <s v="967"/>
    <s v="2"/>
    <s v="6"/>
    <s v="6"/>
    <n v="169000"/>
    <x v="643"/>
    <x v="2"/>
    <x v="10"/>
  </r>
  <r>
    <s v="968"/>
    <s v="9"/>
    <s v="4"/>
    <s v="5"/>
    <n v="284000"/>
    <x v="643"/>
    <x v="2"/>
    <x v="10"/>
  </r>
  <r>
    <s v="969"/>
    <s v="5"/>
    <s v="1"/>
    <s v="2"/>
    <n v="160000"/>
    <x v="643"/>
    <x v="2"/>
    <x v="10"/>
  </r>
  <r>
    <s v="970"/>
    <s v="4"/>
    <s v="6"/>
    <s v="6"/>
    <n v="288000"/>
    <x v="644"/>
    <x v="2"/>
    <x v="10"/>
  </r>
  <r>
    <s v="971"/>
    <s v="7"/>
    <s v="1"/>
    <s v="2"/>
    <n v="92000"/>
    <x v="645"/>
    <x v="2"/>
    <x v="10"/>
  </r>
  <r>
    <s v="972"/>
    <s v="2"/>
    <s v="4"/>
    <s v="1"/>
    <n v="61000"/>
    <x v="646"/>
    <x v="2"/>
    <x v="10"/>
  </r>
  <r>
    <s v="973"/>
    <s v="5"/>
    <s v="1"/>
    <s v="2"/>
    <n v="137000"/>
    <x v="647"/>
    <x v="2"/>
    <x v="10"/>
  </r>
  <r>
    <s v="974"/>
    <s v="2"/>
    <s v="4"/>
    <s v="1"/>
    <n v="263000"/>
    <x v="648"/>
    <x v="2"/>
    <x v="10"/>
  </r>
  <r>
    <s v="975"/>
    <s v="1"/>
    <s v="6"/>
    <s v="6"/>
    <n v="234000"/>
    <x v="649"/>
    <x v="2"/>
    <x v="10"/>
  </r>
  <r>
    <s v="976"/>
    <s v="3"/>
    <s v="4"/>
    <s v="1"/>
    <n v="270000"/>
    <x v="650"/>
    <x v="2"/>
    <x v="10"/>
  </r>
  <r>
    <s v="977"/>
    <s v="1"/>
    <s v="4"/>
    <s v="6"/>
    <n v="114000"/>
    <x v="650"/>
    <x v="2"/>
    <x v="10"/>
  </r>
  <r>
    <s v="978"/>
    <s v="8"/>
    <s v="3"/>
    <s v="6"/>
    <n v="224000"/>
    <x v="651"/>
    <x v="2"/>
    <x v="10"/>
  </r>
  <r>
    <s v="979"/>
    <s v="5"/>
    <s v="5"/>
    <s v="2"/>
    <n v="207000"/>
    <x v="651"/>
    <x v="2"/>
    <x v="10"/>
  </r>
  <r>
    <s v="980"/>
    <s v="8"/>
    <s v="3"/>
    <s v="4"/>
    <n v="137000"/>
    <x v="652"/>
    <x v="2"/>
    <x v="10"/>
  </r>
  <r>
    <s v="981"/>
    <s v="3"/>
    <s v="3"/>
    <s v="3"/>
    <n v="257000"/>
    <x v="653"/>
    <x v="2"/>
    <x v="11"/>
  </r>
  <r>
    <s v="982"/>
    <s v="6"/>
    <s v="4"/>
    <s v="1"/>
    <n v="46000"/>
    <x v="654"/>
    <x v="2"/>
    <x v="11"/>
  </r>
  <r>
    <s v="983"/>
    <s v="4"/>
    <s v="2"/>
    <s v="6"/>
    <n v="155000"/>
    <x v="655"/>
    <x v="2"/>
    <x v="11"/>
  </r>
  <r>
    <s v="984"/>
    <s v="4"/>
    <s v="2"/>
    <s v="1"/>
    <n v="121000"/>
    <x v="656"/>
    <x v="2"/>
    <x v="11"/>
  </r>
  <r>
    <s v="985"/>
    <s v="2"/>
    <s v="2"/>
    <s v="4"/>
    <n v="283000"/>
    <x v="656"/>
    <x v="2"/>
    <x v="11"/>
  </r>
  <r>
    <s v="986"/>
    <s v="1"/>
    <s v="6"/>
    <s v="4"/>
    <n v="289000"/>
    <x v="657"/>
    <x v="2"/>
    <x v="11"/>
  </r>
  <r>
    <s v="987"/>
    <s v="8"/>
    <s v="2"/>
    <s v="4"/>
    <n v="120000"/>
    <x v="658"/>
    <x v="2"/>
    <x v="11"/>
  </r>
  <r>
    <s v="988"/>
    <s v="7"/>
    <s v="4"/>
    <s v="5"/>
    <n v="236000"/>
    <x v="658"/>
    <x v="2"/>
    <x v="11"/>
  </r>
  <r>
    <s v="989"/>
    <s v="8"/>
    <s v="7"/>
    <s v="1"/>
    <n v="227000"/>
    <x v="659"/>
    <x v="2"/>
    <x v="11"/>
  </r>
  <r>
    <s v="990"/>
    <s v="3"/>
    <s v="1"/>
    <s v="3"/>
    <n v="278000"/>
    <x v="659"/>
    <x v="2"/>
    <x v="11"/>
  </r>
  <r>
    <s v="991"/>
    <s v="5"/>
    <s v="2"/>
    <s v="5"/>
    <n v="126000"/>
    <x v="660"/>
    <x v="2"/>
    <x v="11"/>
  </r>
  <r>
    <s v="992"/>
    <s v="9"/>
    <s v="5"/>
    <s v="6"/>
    <n v="96000"/>
    <x v="661"/>
    <x v="2"/>
    <x v="11"/>
  </r>
  <r>
    <s v="993"/>
    <s v="4"/>
    <s v="1"/>
    <s v="3"/>
    <n v="291000"/>
    <x v="662"/>
    <x v="2"/>
    <x v="11"/>
  </r>
  <r>
    <s v="994"/>
    <s v="6"/>
    <s v="6"/>
    <s v="2"/>
    <n v="106000"/>
    <x v="663"/>
    <x v="2"/>
    <x v="11"/>
  </r>
  <r>
    <s v="995"/>
    <s v="5"/>
    <s v="4"/>
    <s v="1"/>
    <n v="126000"/>
    <x v="664"/>
    <x v="2"/>
    <x v="11"/>
  </r>
  <r>
    <s v="996"/>
    <s v="8"/>
    <s v="3"/>
    <s v="3"/>
    <n v="279000"/>
    <x v="665"/>
    <x v="2"/>
    <x v="11"/>
  </r>
  <r>
    <s v="997"/>
    <s v="6"/>
    <s v="7"/>
    <s v="4"/>
    <n v="277000"/>
    <x v="666"/>
    <x v="2"/>
    <x v="11"/>
  </r>
  <r>
    <s v="998"/>
    <s v="1"/>
    <s v="5"/>
    <s v="3"/>
    <n v="248000"/>
    <x v="667"/>
    <x v="2"/>
    <x v="11"/>
  </r>
  <r>
    <s v="999"/>
    <s v="5"/>
    <s v="1"/>
    <s v="4"/>
    <n v="183000"/>
    <x v="668"/>
    <x v="2"/>
    <x v="11"/>
  </r>
  <r>
    <s v="1000"/>
    <s v="6"/>
    <s v="7"/>
    <s v="5"/>
    <n v="77000"/>
    <x v="669"/>
    <x v="2"/>
    <x v="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1"/>
    <s v="布林食品公司"/>
    <n v="41000"/>
    <s v="2019-01-02"/>
    <s v="蘋果"/>
    <x v="0"/>
  </r>
  <r>
    <s v="2"/>
    <s v="品國水果行"/>
    <n v="230000"/>
    <s v="2019-01-03"/>
    <s v="香蕉"/>
    <x v="1"/>
  </r>
  <r>
    <s v="3"/>
    <s v="69小華超商"/>
    <n v="154000"/>
    <s v="2019-01-04"/>
    <s v="柚子"/>
    <x v="2"/>
  </r>
  <r>
    <s v="4"/>
    <s v="愉悅水果運銷"/>
    <n v="170000"/>
    <s v="2019-01-05"/>
    <s v="柚子"/>
    <x v="3"/>
  </r>
  <r>
    <s v="5"/>
    <s v="松壽生鮮食超商"/>
    <n v="100000"/>
    <s v="2019-01-05"/>
    <s v="芒果"/>
    <x v="4"/>
  </r>
  <r>
    <s v="6"/>
    <s v="樂活超市"/>
    <n v="139000"/>
    <s v="2019-01-06"/>
    <s v="香蕉"/>
    <x v="5"/>
  </r>
  <r>
    <s v="7"/>
    <s v="69小華超商"/>
    <n v="93000"/>
    <s v="2019-01-07"/>
    <s v="西瓜"/>
    <x v="6"/>
  </r>
  <r>
    <s v="8"/>
    <s v="69小華超商"/>
    <n v="247000"/>
    <s v="2019-01-09"/>
    <s v="柚子"/>
    <x v="0"/>
  </r>
  <r>
    <s v="9"/>
    <s v="愉悅水果運銷"/>
    <n v="58000"/>
    <s v="2019-01-10"/>
    <s v="鳳梨"/>
    <x v="1"/>
  </r>
  <r>
    <s v="10"/>
    <s v="愉悅水果運銷"/>
    <n v="231000"/>
    <s v="2019-01-10"/>
    <s v="西瓜"/>
    <x v="2"/>
  </r>
  <r>
    <s v="11"/>
    <s v="品國水果行"/>
    <n v="183000"/>
    <s v="2019-01-10"/>
    <s v="蘋果"/>
    <x v="3"/>
  </r>
  <r>
    <s v="12"/>
    <s v="樂活超市"/>
    <n v="156000"/>
    <s v="2019-01-12"/>
    <s v="柚子"/>
    <x v="3"/>
  </r>
  <r>
    <s v="13"/>
    <s v="布林食品公司"/>
    <n v="66000"/>
    <s v="2019-01-12"/>
    <s v="柚子"/>
    <x v="6"/>
  </r>
  <r>
    <s v="14"/>
    <s v="松壽生鮮食超商"/>
    <n v="80000"/>
    <s v="2019-01-15"/>
    <s v="芒果"/>
    <x v="2"/>
  </r>
  <r>
    <s v="15"/>
    <s v="品國水果行"/>
    <n v="31000"/>
    <s v="2019-01-15"/>
    <s v="香蕉"/>
    <x v="7"/>
  </r>
  <r>
    <s v="16"/>
    <s v="樂活超市"/>
    <n v="217000"/>
    <s v="2019-01-15"/>
    <s v="鳳梨"/>
    <x v="0"/>
  </r>
  <r>
    <s v="17"/>
    <s v="愉悅水果運銷"/>
    <n v="239000"/>
    <s v="2019-01-15"/>
    <s v="西瓜"/>
    <x v="0"/>
  </r>
  <r>
    <s v="18"/>
    <s v="品國水果行"/>
    <n v="120000"/>
    <s v="2019-01-16"/>
    <s v="香蕉"/>
    <x v="2"/>
  </r>
  <r>
    <s v="19"/>
    <s v="品國水果行"/>
    <n v="246000"/>
    <s v="2019-01-16"/>
    <s v="西瓜"/>
    <x v="2"/>
  </r>
  <r>
    <s v="20"/>
    <s v="樂活超市"/>
    <n v="79000"/>
    <s v="2019-01-17"/>
    <s v="鳳梨"/>
    <x v="1"/>
  </r>
  <r>
    <s v="21"/>
    <s v="愉悅水果運銷"/>
    <n v="167000"/>
    <s v="2019-01-17"/>
    <s v="香蕉"/>
    <x v="2"/>
  </r>
  <r>
    <s v="22"/>
    <s v="品國水果行"/>
    <n v="111000"/>
    <s v="2019-01-18"/>
    <s v="蘋果"/>
    <x v="1"/>
  </r>
  <r>
    <s v="23"/>
    <s v="樂活超市"/>
    <n v="215000"/>
    <s v="2019-01-18"/>
    <s v="鳳梨"/>
    <x v="7"/>
  </r>
  <r>
    <s v="24"/>
    <s v="布林食品公司"/>
    <n v="84000"/>
    <s v="2019-01-18"/>
    <s v="芒果"/>
    <x v="8"/>
  </r>
  <r>
    <s v="25"/>
    <s v="愉悅水果運銷"/>
    <n v="275000"/>
    <s v="2019-01-18"/>
    <s v="西瓜"/>
    <x v="2"/>
  </r>
  <r>
    <s v="26"/>
    <s v="樂活超市"/>
    <n v="119000"/>
    <s v="2019-01-19"/>
    <s v="芒果"/>
    <x v="1"/>
  </r>
  <r>
    <s v="27"/>
    <s v="品國水果行"/>
    <n v="88000"/>
    <s v="2019-01-20"/>
    <s v="芒果"/>
    <x v="8"/>
  </r>
  <r>
    <s v="28"/>
    <s v="69小華超商"/>
    <n v="199000"/>
    <s v="2019-01-21"/>
    <s v="柚子"/>
    <x v="2"/>
  </r>
  <r>
    <s v="29"/>
    <s v="松壽生鮮食超商"/>
    <n v="47000"/>
    <s v="2019-01-21"/>
    <s v="柚子"/>
    <x v="7"/>
  </r>
  <r>
    <s v="30"/>
    <s v="樂活超市"/>
    <n v="52000"/>
    <s v="2019-01-22"/>
    <s v="西瓜"/>
    <x v="2"/>
  </r>
  <r>
    <s v="31"/>
    <s v="清泉水果產銷"/>
    <n v="141000"/>
    <s v="2019-01-23"/>
    <s v="柚子"/>
    <x v="4"/>
  </r>
  <r>
    <s v="32"/>
    <s v="品國水果行"/>
    <n v="273000"/>
    <s v="2019-01-23"/>
    <s v="芒果"/>
    <x v="8"/>
  </r>
  <r>
    <s v="33"/>
    <s v="品國水果行"/>
    <n v="268000"/>
    <s v="2019-01-25"/>
    <s v="鳳梨"/>
    <x v="3"/>
  </r>
  <r>
    <s v="34"/>
    <s v="69小華超商"/>
    <n v="255000"/>
    <s v="2019-01-25"/>
    <s v="鳳梨"/>
    <x v="4"/>
  </r>
  <r>
    <s v="35"/>
    <s v="清泉水果產銷"/>
    <n v="105000"/>
    <s v="2019-01-28"/>
    <s v="蘋果"/>
    <x v="2"/>
  </r>
  <r>
    <s v="36"/>
    <s v="樂活超市"/>
    <n v="238000"/>
    <s v="2019-01-29"/>
    <s v="蘋果"/>
    <x v="0"/>
  </r>
  <r>
    <s v="37"/>
    <s v="布林食品公司"/>
    <n v="222000"/>
    <s v="2019-01-29"/>
    <s v="柚子"/>
    <x v="5"/>
  </r>
  <r>
    <s v="38"/>
    <s v="愉悅水果運銷"/>
    <n v="270000"/>
    <s v="2019-01-31"/>
    <s v="芒果"/>
    <x v="1"/>
  </r>
  <r>
    <s v="39"/>
    <s v="樂活超市"/>
    <n v="244000"/>
    <s v="2019-01-31"/>
    <s v="蘋果"/>
    <x v="7"/>
  </r>
  <r>
    <s v="40"/>
    <s v="布林食品公司"/>
    <n v="64000"/>
    <s v="2019-02-01"/>
    <s v="蘋果"/>
    <x v="3"/>
  </r>
  <r>
    <s v="41"/>
    <s v="69小華超商"/>
    <n v="130000"/>
    <s v="2019-02-02"/>
    <s v="蘋果"/>
    <x v="3"/>
  </r>
  <r>
    <s v="42"/>
    <s v="69小華超商"/>
    <n v="296000"/>
    <s v="2019-02-03"/>
    <s v="西瓜"/>
    <x v="5"/>
  </r>
  <r>
    <s v="43"/>
    <s v="品國水果行"/>
    <n v="173000"/>
    <s v="2019-02-06"/>
    <s v="鳳梨"/>
    <x v="2"/>
  </r>
  <r>
    <s v="44"/>
    <s v="松壽生鮮食超商"/>
    <n v="108000"/>
    <s v="2019-02-07"/>
    <s v="蘋果"/>
    <x v="7"/>
  </r>
  <r>
    <s v="45"/>
    <s v="品國水果行"/>
    <n v="138000"/>
    <s v="2019-02-08"/>
    <s v="柚子"/>
    <x v="3"/>
  </r>
  <r>
    <s v="46"/>
    <s v="69小華超商"/>
    <n v="228000"/>
    <s v="2019-02-08"/>
    <s v="西瓜"/>
    <x v="0"/>
  </r>
  <r>
    <s v="47"/>
    <s v="松壽生鮮食超商"/>
    <n v="60000"/>
    <s v="2019-02-09"/>
    <s v="鳳梨"/>
    <x v="5"/>
  </r>
  <r>
    <s v="48"/>
    <s v="69小華超商"/>
    <n v="98000"/>
    <s v="2019-02-10"/>
    <s v="蘋果"/>
    <x v="6"/>
  </r>
  <r>
    <s v="49"/>
    <s v="松壽生鮮食超商"/>
    <n v="251000"/>
    <s v="2019-02-11"/>
    <s v="鳳梨"/>
    <x v="8"/>
  </r>
  <r>
    <s v="50"/>
    <s v="松壽生鮮食超商"/>
    <n v="256000"/>
    <s v="2019-02-13"/>
    <s v="芒果"/>
    <x v="0"/>
  </r>
  <r>
    <s v="51"/>
    <s v="愉悅水果運銷"/>
    <n v="120000"/>
    <s v="2019-02-16"/>
    <s v="芒果"/>
    <x v="5"/>
  </r>
  <r>
    <s v="52"/>
    <s v="樂活超市"/>
    <n v="70000"/>
    <s v="2019-02-17"/>
    <s v="芒果"/>
    <x v="8"/>
  </r>
  <r>
    <s v="53"/>
    <s v="品國水果行"/>
    <n v="33000"/>
    <s v="2019-02-17"/>
    <s v="西瓜"/>
    <x v="8"/>
  </r>
  <r>
    <s v="54"/>
    <s v="布林食品公司"/>
    <n v="186000"/>
    <s v="2019-02-18"/>
    <s v="芒果"/>
    <x v="4"/>
  </r>
  <r>
    <s v="55"/>
    <s v="松壽生鮮食超商"/>
    <n v="204000"/>
    <s v="2019-02-19"/>
    <s v="芒果"/>
    <x v="5"/>
  </r>
  <r>
    <s v="56"/>
    <s v="69小華超商"/>
    <n v="239000"/>
    <s v="2019-02-19"/>
    <s v="鳳梨"/>
    <x v="4"/>
  </r>
  <r>
    <s v="57"/>
    <s v="清泉水果產銷"/>
    <n v="258000"/>
    <s v="2019-02-21"/>
    <s v="蘋果"/>
    <x v="0"/>
  </r>
  <r>
    <s v="58"/>
    <s v="樂活超市"/>
    <n v="264000"/>
    <s v="2019-02-22"/>
    <s v="蘋果"/>
    <x v="3"/>
  </r>
  <r>
    <s v="59"/>
    <s v="愉悅水果運銷"/>
    <n v="287000"/>
    <s v="2019-02-22"/>
    <s v="西瓜"/>
    <x v="1"/>
  </r>
  <r>
    <s v="60"/>
    <s v="樂活超市"/>
    <n v="226000"/>
    <s v="2019-02-22"/>
    <s v="柚子"/>
    <x v="3"/>
  </r>
  <r>
    <s v="61"/>
    <s v="清泉水果產銷"/>
    <n v="246000"/>
    <s v="2019-02-22"/>
    <s v="西瓜"/>
    <x v="2"/>
  </r>
  <r>
    <s v="62"/>
    <s v="愉悅水果運銷"/>
    <n v="213000"/>
    <s v="2019-02-23"/>
    <s v="香蕉"/>
    <x v="0"/>
  </r>
  <r>
    <s v="63"/>
    <s v="愉悅水果運銷"/>
    <n v="249000"/>
    <s v="2019-02-25"/>
    <s v="柚子"/>
    <x v="2"/>
  </r>
  <r>
    <s v="64"/>
    <s v="布林食品公司"/>
    <n v="297000"/>
    <s v="2019-02-25"/>
    <s v="鳳梨"/>
    <x v="1"/>
  </r>
  <r>
    <s v="65"/>
    <s v="愉悅水果運銷"/>
    <n v="180000"/>
    <s v="2019-02-26"/>
    <s v="芒果"/>
    <x v="6"/>
  </r>
  <r>
    <s v="66"/>
    <s v="松壽生鮮食超商"/>
    <n v="30000"/>
    <s v="2019-02-27"/>
    <s v="芒果"/>
    <x v="3"/>
  </r>
  <r>
    <s v="67"/>
    <s v="樂活超市"/>
    <n v="106000"/>
    <s v="2019-03-01"/>
    <s v="蘋果"/>
    <x v="1"/>
  </r>
  <r>
    <s v="68"/>
    <s v="松壽生鮮食超商"/>
    <n v="281000"/>
    <s v="2019-03-02"/>
    <s v="柚子"/>
    <x v="2"/>
  </r>
  <r>
    <s v="69"/>
    <s v="布林食品公司"/>
    <n v="92000"/>
    <s v="2019-03-02"/>
    <s v="鳳梨"/>
    <x v="0"/>
  </r>
  <r>
    <s v="70"/>
    <s v="愉悅水果運銷"/>
    <n v="78000"/>
    <s v="2019-03-03"/>
    <s v="香蕉"/>
    <x v="2"/>
  </r>
  <r>
    <s v="71"/>
    <s v="布林食品公司"/>
    <n v="192000"/>
    <s v="2019-03-03"/>
    <s v="蘋果"/>
    <x v="8"/>
  </r>
  <r>
    <s v="72"/>
    <s v="樂活超市"/>
    <n v="126000"/>
    <s v="2019-03-04"/>
    <s v="芒果"/>
    <x v="7"/>
  </r>
  <r>
    <s v="73"/>
    <s v="樂活超市"/>
    <n v="115000"/>
    <s v="2019-03-04"/>
    <s v="蘋果"/>
    <x v="3"/>
  </r>
  <r>
    <s v="74"/>
    <s v="松壽生鮮食超商"/>
    <n v="191000"/>
    <s v="2019-03-05"/>
    <s v="西瓜"/>
    <x v="1"/>
  </r>
  <r>
    <s v="75"/>
    <s v="布林食品公司"/>
    <n v="289000"/>
    <s v="2019-03-06"/>
    <s v="香蕉"/>
    <x v="7"/>
  </r>
  <r>
    <s v="76"/>
    <s v="松壽生鮮食超商"/>
    <n v="127000"/>
    <s v="2019-03-06"/>
    <s v="蘋果"/>
    <x v="5"/>
  </r>
  <r>
    <s v="77"/>
    <s v="樂活超市"/>
    <n v="207000"/>
    <s v="2019-03-06"/>
    <s v="鳳梨"/>
    <x v="2"/>
  </r>
  <r>
    <s v="78"/>
    <s v="布林食品公司"/>
    <n v="152000"/>
    <s v="2019-03-07"/>
    <s v="香蕉"/>
    <x v="2"/>
  </r>
  <r>
    <s v="79"/>
    <s v="品國水果行"/>
    <n v="113000"/>
    <s v="2019-03-09"/>
    <s v="香蕉"/>
    <x v="6"/>
  </r>
  <r>
    <s v="80"/>
    <s v="愉悅水果運銷"/>
    <n v="112000"/>
    <s v="2019-03-11"/>
    <s v="香蕉"/>
    <x v="5"/>
  </r>
  <r>
    <s v="81"/>
    <s v="清泉水果產銷"/>
    <n v="256000"/>
    <s v="2019-03-15"/>
    <s v="香蕉"/>
    <x v="1"/>
  </r>
  <r>
    <s v="82"/>
    <s v="樂活超市"/>
    <n v="202000"/>
    <s v="2019-03-20"/>
    <s v="蘋果"/>
    <x v="8"/>
  </r>
  <r>
    <s v="83"/>
    <s v="布林食品公司"/>
    <n v="163000"/>
    <s v="2019-03-20"/>
    <s v="香蕉"/>
    <x v="4"/>
  </r>
  <r>
    <s v="84"/>
    <s v="品國水果行"/>
    <n v="188000"/>
    <s v="2019-03-21"/>
    <s v="芒果"/>
    <x v="0"/>
  </r>
  <r>
    <s v="85"/>
    <s v="清泉水果產銷"/>
    <n v="199000"/>
    <s v="2019-03-21"/>
    <s v="芒果"/>
    <x v="4"/>
  </r>
  <r>
    <s v="86"/>
    <s v="清泉水果產銷"/>
    <n v="174000"/>
    <s v="2019-03-21"/>
    <s v="芒果"/>
    <x v="6"/>
  </r>
  <r>
    <s v="87"/>
    <s v="清泉水果產銷"/>
    <n v="55000"/>
    <s v="2019-03-23"/>
    <s v="西瓜"/>
    <x v="5"/>
  </r>
  <r>
    <s v="88"/>
    <s v="布林食品公司"/>
    <n v="147000"/>
    <s v="2019-03-23"/>
    <s v="芒果"/>
    <x v="6"/>
  </r>
  <r>
    <s v="89"/>
    <s v="樂活超市"/>
    <n v="54000"/>
    <s v="2019-03-24"/>
    <s v="蘋果"/>
    <x v="1"/>
  </r>
  <r>
    <s v="90"/>
    <s v="清泉水果產銷"/>
    <n v="100000"/>
    <s v="2019-03-24"/>
    <s v="鳳梨"/>
    <x v="5"/>
  </r>
  <r>
    <s v="91"/>
    <s v="品國水果行"/>
    <n v="51000"/>
    <s v="2019-03-24"/>
    <s v="西瓜"/>
    <x v="8"/>
  </r>
  <r>
    <s v="92"/>
    <s v="清泉水果產銷"/>
    <n v="116000"/>
    <s v="2019-03-25"/>
    <s v="西瓜"/>
    <x v="8"/>
  </r>
  <r>
    <s v="93"/>
    <s v="樂活超市"/>
    <n v="125000"/>
    <s v="2019-03-29"/>
    <s v="西瓜"/>
    <x v="8"/>
  </r>
  <r>
    <s v="94"/>
    <s v="松壽生鮮食超商"/>
    <n v="196000"/>
    <s v="2019-03-30"/>
    <s v="蘋果"/>
    <x v="2"/>
  </r>
  <r>
    <s v="95"/>
    <s v="樂活超市"/>
    <n v="138000"/>
    <s v="2019-03-30"/>
    <s v="芒果"/>
    <x v="6"/>
  </r>
  <r>
    <s v="96"/>
    <s v="樂活超市"/>
    <n v="69000"/>
    <s v="2019-03-31"/>
    <s v="蘋果"/>
    <x v="2"/>
  </r>
  <r>
    <s v="97"/>
    <s v="松壽生鮮食超商"/>
    <n v="60000"/>
    <s v="2019-04-03"/>
    <s v="香蕉"/>
    <x v="1"/>
  </r>
  <r>
    <s v="98"/>
    <s v="愉悅水果運銷"/>
    <n v="216000"/>
    <s v="2019-04-04"/>
    <s v="蘋果"/>
    <x v="4"/>
  </r>
  <r>
    <s v="99"/>
    <s v="品國水果行"/>
    <n v="193000"/>
    <s v="2019-04-05"/>
    <s v="柚子"/>
    <x v="6"/>
  </r>
  <r>
    <s v="100"/>
    <s v="愉悅水果運銷"/>
    <n v="88000"/>
    <s v="2019-04-06"/>
    <s v="蘋果"/>
    <x v="3"/>
  </r>
  <r>
    <s v="101"/>
    <s v="清泉水果產銷"/>
    <n v="239000"/>
    <s v="2019-04-07"/>
    <s v="芒果"/>
    <x v="5"/>
  </r>
  <r>
    <s v="102"/>
    <s v="69小華超商"/>
    <n v="41000"/>
    <s v="2019-04-09"/>
    <s v="柚子"/>
    <x v="7"/>
  </r>
  <r>
    <s v="103"/>
    <s v="樂活超市"/>
    <n v="155000"/>
    <s v="2019-04-09"/>
    <s v="香蕉"/>
    <x v="2"/>
  </r>
  <r>
    <s v="104"/>
    <s v="樂活超市"/>
    <n v="51000"/>
    <s v="2019-04-11"/>
    <s v="香蕉"/>
    <x v="7"/>
  </r>
  <r>
    <s v="105"/>
    <s v="69小華超商"/>
    <n v="99000"/>
    <s v="2019-04-13"/>
    <s v="柚子"/>
    <x v="4"/>
  </r>
  <r>
    <s v="106"/>
    <s v="品國水果行"/>
    <n v="213000"/>
    <s v="2019-04-15"/>
    <s v="西瓜"/>
    <x v="2"/>
  </r>
  <r>
    <s v="107"/>
    <s v="樂活超市"/>
    <n v="91000"/>
    <s v="2019-04-16"/>
    <s v="芒果"/>
    <x v="1"/>
  </r>
  <r>
    <s v="108"/>
    <s v="品國水果行"/>
    <n v="155000"/>
    <s v="2019-04-17"/>
    <s v="芒果"/>
    <x v="4"/>
  </r>
  <r>
    <s v="109"/>
    <s v="清泉水果產銷"/>
    <n v="124000"/>
    <s v="2019-04-17"/>
    <s v="西瓜"/>
    <x v="7"/>
  </r>
  <r>
    <s v="110"/>
    <s v="樂活超市"/>
    <n v="198000"/>
    <s v="2019-04-19"/>
    <s v="蘋果"/>
    <x v="2"/>
  </r>
  <r>
    <s v="111"/>
    <s v="布林食品公司"/>
    <n v="279000"/>
    <s v="2019-04-21"/>
    <s v="蘋果"/>
    <x v="0"/>
  </r>
  <r>
    <s v="112"/>
    <s v="樂活超市"/>
    <n v="271000"/>
    <s v="2019-04-26"/>
    <s v="柚子"/>
    <x v="8"/>
  </r>
  <r>
    <s v="113"/>
    <s v="布林食品公司"/>
    <n v="98000"/>
    <s v="2019-04-28"/>
    <s v="芒果"/>
    <x v="1"/>
  </r>
  <r>
    <s v="114"/>
    <s v="清泉水果產銷"/>
    <n v="82000"/>
    <s v="2019-04-29"/>
    <s v="鳳梨"/>
    <x v="6"/>
  </r>
  <r>
    <s v="115"/>
    <s v="松壽生鮮食超商"/>
    <n v="257000"/>
    <s v="2019-04-29"/>
    <s v="西瓜"/>
    <x v="5"/>
  </r>
  <r>
    <s v="116"/>
    <s v="69小華超商"/>
    <n v="239000"/>
    <s v="2019-05-01"/>
    <s v="蘋果"/>
    <x v="0"/>
  </r>
  <r>
    <s v="117"/>
    <s v="松壽生鮮食超商"/>
    <n v="98000"/>
    <s v="2019-05-01"/>
    <s v="西瓜"/>
    <x v="4"/>
  </r>
  <r>
    <s v="118"/>
    <s v="愉悅水果運銷"/>
    <n v="188000"/>
    <s v="2019-05-01"/>
    <s v="鳳梨"/>
    <x v="1"/>
  </r>
  <r>
    <s v="119"/>
    <s v="布林食品公司"/>
    <n v="246000"/>
    <s v="2019-05-02"/>
    <s v="蘋果"/>
    <x v="2"/>
  </r>
  <r>
    <s v="120"/>
    <s v="69小華超商"/>
    <n v="156000"/>
    <s v="2019-05-02"/>
    <s v="西瓜"/>
    <x v="0"/>
  </r>
  <r>
    <s v="121"/>
    <s v="品國水果行"/>
    <n v="252000"/>
    <s v="2019-05-02"/>
    <s v="柚子"/>
    <x v="5"/>
  </r>
  <r>
    <s v="122"/>
    <s v="品國水果行"/>
    <n v="161000"/>
    <s v="2019-05-03"/>
    <s v="鳳梨"/>
    <x v="7"/>
  </r>
  <r>
    <s v="123"/>
    <s v="愉悅水果運銷"/>
    <n v="79000"/>
    <s v="2019-05-04"/>
    <s v="蘋果"/>
    <x v="1"/>
  </r>
  <r>
    <s v="124"/>
    <s v="69小華超商"/>
    <n v="91000"/>
    <s v="2019-05-04"/>
    <s v="柚子"/>
    <x v="1"/>
  </r>
  <r>
    <s v="125"/>
    <s v="69小華超商"/>
    <n v="274000"/>
    <s v="2019-05-05"/>
    <s v="鳳梨"/>
    <x v="3"/>
  </r>
  <r>
    <s v="126"/>
    <s v="樂活超市"/>
    <n v="225000"/>
    <s v="2019-05-05"/>
    <s v="柚子"/>
    <x v="5"/>
  </r>
  <r>
    <s v="127"/>
    <s v="松壽生鮮食超商"/>
    <n v="60000"/>
    <s v="2019-05-07"/>
    <s v="香蕉"/>
    <x v="5"/>
  </r>
  <r>
    <s v="128"/>
    <s v="布林食品公司"/>
    <n v="232000"/>
    <s v="2019-05-07"/>
    <s v="鳳梨"/>
    <x v="3"/>
  </r>
  <r>
    <s v="129"/>
    <s v="69小華超商"/>
    <n v="258000"/>
    <s v="2019-05-08"/>
    <s v="芒果"/>
    <x v="5"/>
  </r>
  <r>
    <s v="130"/>
    <s v="樂活超市"/>
    <n v="214000"/>
    <s v="2019-05-10"/>
    <s v="鳳梨"/>
    <x v="2"/>
  </r>
  <r>
    <s v="131"/>
    <s v="69小華超商"/>
    <n v="160000"/>
    <s v="2019-05-10"/>
    <s v="西瓜"/>
    <x v="5"/>
  </r>
  <r>
    <s v="132"/>
    <s v="品國水果行"/>
    <n v="172000"/>
    <s v="2019-05-11"/>
    <s v="香蕉"/>
    <x v="6"/>
  </r>
  <r>
    <s v="133"/>
    <s v="布林食品公司"/>
    <n v="218000"/>
    <s v="2019-05-11"/>
    <s v="西瓜"/>
    <x v="5"/>
  </r>
  <r>
    <s v="134"/>
    <s v="樂活超市"/>
    <n v="99000"/>
    <s v="2019-05-12"/>
    <s v="西瓜"/>
    <x v="0"/>
  </r>
  <r>
    <s v="135"/>
    <s v="愉悅水果運銷"/>
    <n v="252000"/>
    <s v="2019-05-12"/>
    <s v="鳳梨"/>
    <x v="0"/>
  </r>
  <r>
    <s v="136"/>
    <s v="69小華超商"/>
    <n v="58000"/>
    <s v="2019-05-13"/>
    <s v="西瓜"/>
    <x v="7"/>
  </r>
  <r>
    <s v="137"/>
    <s v="清泉水果產銷"/>
    <n v="272000"/>
    <s v="2019-05-14"/>
    <s v="西瓜"/>
    <x v="8"/>
  </r>
  <r>
    <s v="138"/>
    <s v="布林食品公司"/>
    <n v="245000"/>
    <s v="2019-05-14"/>
    <s v="柚子"/>
    <x v="4"/>
  </r>
  <r>
    <s v="139"/>
    <s v="樂活超市"/>
    <n v="199000"/>
    <s v="2019-05-15"/>
    <s v="西瓜"/>
    <x v="6"/>
  </r>
  <r>
    <s v="140"/>
    <s v="樂活超市"/>
    <n v="55000"/>
    <s v="2019-05-16"/>
    <s v="鳳梨"/>
    <x v="0"/>
  </r>
  <r>
    <s v="141"/>
    <s v="清泉水果產銷"/>
    <n v="167000"/>
    <s v="2019-05-16"/>
    <s v="芒果"/>
    <x v="2"/>
  </r>
  <r>
    <s v="142"/>
    <s v="樂活超市"/>
    <n v="270000"/>
    <s v="2019-05-17"/>
    <s v="西瓜"/>
    <x v="4"/>
  </r>
  <r>
    <s v="143"/>
    <s v="樂活超市"/>
    <n v="208000"/>
    <s v="2019-05-17"/>
    <s v="芒果"/>
    <x v="5"/>
  </r>
  <r>
    <s v="144"/>
    <s v="樂活超市"/>
    <n v="269000"/>
    <s v="2019-05-17"/>
    <s v="西瓜"/>
    <x v="7"/>
  </r>
  <r>
    <s v="145"/>
    <s v="布林食品公司"/>
    <n v="200000"/>
    <s v="2019-05-21"/>
    <s v="鳳梨"/>
    <x v="8"/>
  </r>
  <r>
    <s v="146"/>
    <s v="品國水果行"/>
    <n v="213000"/>
    <s v="2019-05-22"/>
    <s v="柚子"/>
    <x v="0"/>
  </r>
  <r>
    <s v="147"/>
    <s v="清泉水果產銷"/>
    <n v="144000"/>
    <s v="2019-05-27"/>
    <s v="香蕉"/>
    <x v="5"/>
  </r>
  <r>
    <s v="148"/>
    <s v="69小華超商"/>
    <n v="149000"/>
    <s v="2019-05-27"/>
    <s v="蘋果"/>
    <x v="2"/>
  </r>
  <r>
    <s v="149"/>
    <s v="愉悅水果運銷"/>
    <n v="102000"/>
    <s v="2019-05-28"/>
    <s v="芒果"/>
    <x v="5"/>
  </r>
  <r>
    <s v="150"/>
    <s v="愉悅水果運銷"/>
    <n v="120000"/>
    <s v="2019-05-29"/>
    <s v="蘋果"/>
    <x v="2"/>
  </r>
  <r>
    <s v="151"/>
    <s v="布林食品公司"/>
    <n v="102000"/>
    <s v="2019-05-29"/>
    <s v="西瓜"/>
    <x v="7"/>
  </r>
  <r>
    <s v="152"/>
    <s v="松壽生鮮食超商"/>
    <n v="106000"/>
    <s v="2019-05-31"/>
    <s v="香蕉"/>
    <x v="6"/>
  </r>
  <r>
    <s v="153"/>
    <s v="布林食品公司"/>
    <n v="172000"/>
    <s v="2019-05-31"/>
    <s v="鳳梨"/>
    <x v="4"/>
  </r>
  <r>
    <s v="154"/>
    <s v="樂活超市"/>
    <n v="199000"/>
    <s v="2019-06-01"/>
    <s v="香蕉"/>
    <x v="5"/>
  </r>
  <r>
    <s v="155"/>
    <s v="松壽生鮮食超商"/>
    <n v="75000"/>
    <s v="2019-06-04"/>
    <s v="芒果"/>
    <x v="4"/>
  </r>
  <r>
    <s v="156"/>
    <s v="69小華超商"/>
    <n v="273000"/>
    <s v="2019-06-05"/>
    <s v="芒果"/>
    <x v="1"/>
  </r>
  <r>
    <s v="157"/>
    <s v="69小華超商"/>
    <n v="228000"/>
    <s v="2019-06-06"/>
    <s v="香蕉"/>
    <x v="1"/>
  </r>
  <r>
    <s v="158"/>
    <s v="松壽生鮮食超商"/>
    <n v="228000"/>
    <s v="2019-06-07"/>
    <s v="柚子"/>
    <x v="1"/>
  </r>
  <r>
    <s v="159"/>
    <s v="樂活超市"/>
    <n v="94000"/>
    <s v="2019-06-08"/>
    <s v="鳳梨"/>
    <x v="8"/>
  </r>
  <r>
    <s v="160"/>
    <s v="布林食品公司"/>
    <n v="104000"/>
    <s v="2019-06-08"/>
    <s v="芒果"/>
    <x v="5"/>
  </r>
  <r>
    <s v="161"/>
    <s v="松壽生鮮食超商"/>
    <n v="79000"/>
    <s v="2019-06-08"/>
    <s v="芒果"/>
    <x v="5"/>
  </r>
  <r>
    <s v="162"/>
    <s v="清泉水果產銷"/>
    <n v="30000"/>
    <s v="2019-06-09"/>
    <s v="芒果"/>
    <x v="7"/>
  </r>
  <r>
    <s v="163"/>
    <s v="清泉水果產銷"/>
    <n v="225000"/>
    <s v="2019-06-13"/>
    <s v="芒果"/>
    <x v="1"/>
  </r>
  <r>
    <s v="164"/>
    <s v="69小華超商"/>
    <n v="121000"/>
    <s v="2019-06-17"/>
    <s v="蘋果"/>
    <x v="7"/>
  </r>
  <r>
    <s v="165"/>
    <s v="樂活超市"/>
    <n v="286000"/>
    <s v="2019-06-17"/>
    <s v="柚子"/>
    <x v="4"/>
  </r>
  <r>
    <s v="166"/>
    <s v="清泉水果產銷"/>
    <n v="152000"/>
    <s v="2019-06-17"/>
    <s v="西瓜"/>
    <x v="1"/>
  </r>
  <r>
    <s v="167"/>
    <s v="布林食品公司"/>
    <n v="264000"/>
    <s v="2019-06-18"/>
    <s v="柚子"/>
    <x v="8"/>
  </r>
  <r>
    <s v="168"/>
    <s v="布林食品公司"/>
    <n v="172000"/>
    <s v="2019-06-18"/>
    <s v="蘋果"/>
    <x v="6"/>
  </r>
  <r>
    <s v="169"/>
    <s v="品國水果行"/>
    <n v="170000"/>
    <s v="2019-06-20"/>
    <s v="芒果"/>
    <x v="0"/>
  </r>
  <r>
    <s v="170"/>
    <s v="清泉水果產銷"/>
    <n v="111000"/>
    <s v="2019-06-21"/>
    <s v="鳳梨"/>
    <x v="5"/>
  </r>
  <r>
    <s v="171"/>
    <s v="樂活超市"/>
    <n v="153000"/>
    <s v="2019-06-21"/>
    <s v="西瓜"/>
    <x v="8"/>
  </r>
  <r>
    <s v="172"/>
    <s v="品國水果行"/>
    <n v="273000"/>
    <s v="2019-06-22"/>
    <s v="香蕉"/>
    <x v="4"/>
  </r>
  <r>
    <s v="173"/>
    <s v="松壽生鮮食超商"/>
    <n v="261000"/>
    <s v="2019-06-24"/>
    <s v="芒果"/>
    <x v="8"/>
  </r>
  <r>
    <s v="174"/>
    <s v="布林食品公司"/>
    <n v="124000"/>
    <s v="2019-06-24"/>
    <s v="香蕉"/>
    <x v="2"/>
  </r>
  <r>
    <s v="175"/>
    <s v="69小華超商"/>
    <n v="249000"/>
    <s v="2019-06-25"/>
    <s v="蘋果"/>
    <x v="4"/>
  </r>
  <r>
    <s v="176"/>
    <s v="69小華超商"/>
    <n v="30000"/>
    <s v="2019-06-26"/>
    <s v="芒果"/>
    <x v="8"/>
  </r>
  <r>
    <s v="177"/>
    <s v="布林食品公司"/>
    <n v="166000"/>
    <s v="2019-06-27"/>
    <s v="鳳梨"/>
    <x v="0"/>
  </r>
  <r>
    <s v="178"/>
    <s v="布林食品公司"/>
    <n v="71000"/>
    <s v="2019-06-28"/>
    <s v="柚子"/>
    <x v="3"/>
  </r>
  <r>
    <s v="179"/>
    <s v="松壽生鮮食超商"/>
    <n v="136000"/>
    <s v="2019-06-28"/>
    <s v="蘋果"/>
    <x v="6"/>
  </r>
  <r>
    <s v="180"/>
    <s v="清泉水果產銷"/>
    <n v="102000"/>
    <s v="2019-06-28"/>
    <s v="西瓜"/>
    <x v="0"/>
  </r>
  <r>
    <s v="181"/>
    <s v="69小華超商"/>
    <n v="238000"/>
    <s v="2019-06-28"/>
    <s v="柚子"/>
    <x v="6"/>
  </r>
  <r>
    <s v="182"/>
    <s v="布林食品公司"/>
    <n v="100000"/>
    <s v="2019-06-28"/>
    <s v="芒果"/>
    <x v="5"/>
  </r>
  <r>
    <s v="183"/>
    <s v="樂活超市"/>
    <n v="63000"/>
    <s v="2019-06-29"/>
    <s v="西瓜"/>
    <x v="1"/>
  </r>
  <r>
    <s v="184"/>
    <s v="布林食品公司"/>
    <n v="65000"/>
    <s v="2019-06-29"/>
    <s v="香蕉"/>
    <x v="3"/>
  </r>
  <r>
    <s v="185"/>
    <s v="愉悅水果運銷"/>
    <n v="266000"/>
    <s v="2019-06-30"/>
    <s v="柚子"/>
    <x v="2"/>
  </r>
  <r>
    <s v="186"/>
    <s v="清泉水果產銷"/>
    <n v="259000"/>
    <s v="2019-06-30"/>
    <s v="西瓜"/>
    <x v="0"/>
  </r>
  <r>
    <s v="187"/>
    <s v="愉悅水果運銷"/>
    <n v="216000"/>
    <s v="2019-07-01"/>
    <s v="鳳梨"/>
    <x v="3"/>
  </r>
  <r>
    <s v="188"/>
    <s v="松壽生鮮食超商"/>
    <n v="260000"/>
    <s v="2019-07-01"/>
    <s v="芒果"/>
    <x v="8"/>
  </r>
  <r>
    <s v="189"/>
    <s v="愉悅水果運銷"/>
    <n v="132000"/>
    <s v="2019-07-02"/>
    <s v="蘋果"/>
    <x v="5"/>
  </r>
  <r>
    <s v="190"/>
    <s v="樂活超市"/>
    <n v="139000"/>
    <s v="2019-07-02"/>
    <s v="鳳梨"/>
    <x v="7"/>
  </r>
  <r>
    <s v="191"/>
    <s v="69小華超商"/>
    <n v="145000"/>
    <s v="2019-07-03"/>
    <s v="芒果"/>
    <x v="2"/>
  </r>
  <r>
    <s v="192"/>
    <s v="69小華超商"/>
    <n v="92000"/>
    <s v="2019-07-04"/>
    <s v="鳳梨"/>
    <x v="3"/>
  </r>
  <r>
    <s v="193"/>
    <s v="樂活超市"/>
    <n v="197000"/>
    <s v="2019-07-06"/>
    <s v="西瓜"/>
    <x v="2"/>
  </r>
  <r>
    <s v="194"/>
    <s v="松壽生鮮食超商"/>
    <n v="234000"/>
    <s v="2019-07-06"/>
    <s v="西瓜"/>
    <x v="4"/>
  </r>
  <r>
    <s v="195"/>
    <s v="布林食品公司"/>
    <n v="142000"/>
    <s v="2019-07-07"/>
    <s v="香蕉"/>
    <x v="0"/>
  </r>
  <r>
    <s v="196"/>
    <s v="布林食品公司"/>
    <n v="84000"/>
    <s v="2019-07-10"/>
    <s v="西瓜"/>
    <x v="2"/>
  </r>
  <r>
    <s v="197"/>
    <s v="69小華超商"/>
    <n v="243000"/>
    <s v="2019-07-11"/>
    <s v="西瓜"/>
    <x v="5"/>
  </r>
  <r>
    <s v="198"/>
    <s v="清泉水果產銷"/>
    <n v="104000"/>
    <s v="2019-07-11"/>
    <s v="蘋果"/>
    <x v="1"/>
  </r>
  <r>
    <s v="199"/>
    <s v="布林食品公司"/>
    <n v="252000"/>
    <s v="2019-07-13"/>
    <s v="鳳梨"/>
    <x v="7"/>
  </r>
  <r>
    <s v="200"/>
    <s v="樂活超市"/>
    <n v="274000"/>
    <s v="2019-07-14"/>
    <s v="香蕉"/>
    <x v="3"/>
  </r>
  <r>
    <s v="201"/>
    <s v="品國水果行"/>
    <n v="46000"/>
    <s v="2019-07-14"/>
    <s v="蘋果"/>
    <x v="5"/>
  </r>
  <r>
    <s v="202"/>
    <s v="愉悅水果運銷"/>
    <n v="259000"/>
    <s v="2019-07-14"/>
    <s v="鳳梨"/>
    <x v="5"/>
  </r>
  <r>
    <s v="203"/>
    <s v="品國水果行"/>
    <n v="218000"/>
    <s v="2019-07-16"/>
    <s v="芒果"/>
    <x v="6"/>
  </r>
  <r>
    <s v="204"/>
    <s v="布林食品公司"/>
    <n v="57000"/>
    <s v="2019-07-16"/>
    <s v="柚子"/>
    <x v="4"/>
  </r>
  <r>
    <s v="205"/>
    <s v="布林食品公司"/>
    <n v="33000"/>
    <s v="2019-07-18"/>
    <s v="鳳梨"/>
    <x v="5"/>
  </r>
  <r>
    <s v="206"/>
    <s v="松壽生鮮食超商"/>
    <n v="168000"/>
    <s v="2019-07-19"/>
    <s v="芒果"/>
    <x v="2"/>
  </r>
  <r>
    <s v="207"/>
    <s v="松壽生鮮食超商"/>
    <n v="48000"/>
    <s v="2019-07-20"/>
    <s v="柚子"/>
    <x v="1"/>
  </r>
  <r>
    <s v="208"/>
    <s v="69小華超商"/>
    <n v="72000"/>
    <s v="2019-07-20"/>
    <s v="香蕉"/>
    <x v="3"/>
  </r>
  <r>
    <s v="209"/>
    <s v="松壽生鮮食超商"/>
    <n v="123000"/>
    <s v="2019-07-24"/>
    <s v="香蕉"/>
    <x v="7"/>
  </r>
  <r>
    <s v="210"/>
    <s v="樂活超市"/>
    <n v="230000"/>
    <s v="2019-07-27"/>
    <s v="西瓜"/>
    <x v="7"/>
  </r>
  <r>
    <s v="211"/>
    <s v="松壽生鮮食超商"/>
    <n v="43000"/>
    <s v="2019-07-29"/>
    <s v="芒果"/>
    <x v="0"/>
  </r>
  <r>
    <s v="212"/>
    <s v="愉悅水果運銷"/>
    <n v="273000"/>
    <s v="2019-07-31"/>
    <s v="芒果"/>
    <x v="4"/>
  </r>
  <r>
    <s v="213"/>
    <s v="松壽生鮮食超商"/>
    <n v="100000"/>
    <s v="2019-08-01"/>
    <s v="香蕉"/>
    <x v="2"/>
  </r>
  <r>
    <s v="214"/>
    <s v="布林食品公司"/>
    <n v="282000"/>
    <s v="2019-08-01"/>
    <s v="香蕉"/>
    <x v="7"/>
  </r>
  <r>
    <s v="215"/>
    <s v="愉悅水果運銷"/>
    <n v="296000"/>
    <s v="2019-08-01"/>
    <s v="鳳梨"/>
    <x v="6"/>
  </r>
  <r>
    <s v="216"/>
    <s v="69小華超商"/>
    <n v="208000"/>
    <s v="2019-08-02"/>
    <s v="芒果"/>
    <x v="1"/>
  </r>
  <r>
    <s v="217"/>
    <s v="松壽生鮮食超商"/>
    <n v="218000"/>
    <s v="2019-08-02"/>
    <s v="西瓜"/>
    <x v="6"/>
  </r>
  <r>
    <s v="218"/>
    <s v="清泉水果產銷"/>
    <n v="229000"/>
    <s v="2019-08-03"/>
    <s v="鳳梨"/>
    <x v="8"/>
  </r>
  <r>
    <s v="219"/>
    <s v="樂活超市"/>
    <n v="238000"/>
    <s v="2019-08-04"/>
    <s v="蘋果"/>
    <x v="0"/>
  </r>
  <r>
    <s v="220"/>
    <s v="布林食品公司"/>
    <n v="266000"/>
    <s v="2019-08-04"/>
    <s v="芒果"/>
    <x v="2"/>
  </r>
  <r>
    <s v="221"/>
    <s v="品國水果行"/>
    <n v="279000"/>
    <s v="2019-08-05"/>
    <s v="芒果"/>
    <x v="3"/>
  </r>
  <r>
    <s v="222"/>
    <s v="松壽生鮮食超商"/>
    <n v="251000"/>
    <s v="2019-08-06"/>
    <s v="芒果"/>
    <x v="1"/>
  </r>
  <r>
    <s v="223"/>
    <s v="愉悅水果運銷"/>
    <n v="231000"/>
    <s v="2019-08-06"/>
    <s v="鳳梨"/>
    <x v="3"/>
  </r>
  <r>
    <s v="224"/>
    <s v="布林食品公司"/>
    <n v="244000"/>
    <s v="2019-08-06"/>
    <s v="柚子"/>
    <x v="6"/>
  </r>
  <r>
    <s v="225"/>
    <s v="松壽生鮮食超商"/>
    <n v="104000"/>
    <s v="2019-08-07"/>
    <s v="鳳梨"/>
    <x v="8"/>
  </r>
  <r>
    <s v="226"/>
    <s v="松壽生鮮食超商"/>
    <n v="213000"/>
    <s v="2019-08-07"/>
    <s v="香蕉"/>
    <x v="7"/>
  </r>
  <r>
    <s v="227"/>
    <s v="松壽生鮮食超商"/>
    <n v="211000"/>
    <s v="2019-08-10"/>
    <s v="香蕉"/>
    <x v="4"/>
  </r>
  <r>
    <s v="228"/>
    <s v="愉悅水果運銷"/>
    <n v="154000"/>
    <s v="2019-08-15"/>
    <s v="蘋果"/>
    <x v="1"/>
  </r>
  <r>
    <s v="229"/>
    <s v="布林食品公司"/>
    <n v="271000"/>
    <s v="2019-08-15"/>
    <s v="蘋果"/>
    <x v="0"/>
  </r>
  <r>
    <s v="230"/>
    <s v="松壽生鮮食超商"/>
    <n v="153000"/>
    <s v="2019-08-17"/>
    <s v="西瓜"/>
    <x v="4"/>
  </r>
  <r>
    <s v="231"/>
    <s v="布林食品公司"/>
    <n v="69000"/>
    <s v="2019-08-17"/>
    <s v="芒果"/>
    <x v="5"/>
  </r>
  <r>
    <s v="232"/>
    <s v="布林食品公司"/>
    <n v="118000"/>
    <s v="2019-08-19"/>
    <s v="西瓜"/>
    <x v="7"/>
  </r>
  <r>
    <s v="233"/>
    <s v="品國水果行"/>
    <n v="249000"/>
    <s v="2019-08-20"/>
    <s v="鳳梨"/>
    <x v="6"/>
  </r>
  <r>
    <s v="234"/>
    <s v="松壽生鮮食超商"/>
    <n v="86000"/>
    <s v="2019-08-20"/>
    <s v="蘋果"/>
    <x v="1"/>
  </r>
  <r>
    <s v="235"/>
    <s v="69小華超商"/>
    <n v="173000"/>
    <s v="2019-08-22"/>
    <s v="西瓜"/>
    <x v="2"/>
  </r>
  <r>
    <s v="236"/>
    <s v="69小華超商"/>
    <n v="216000"/>
    <s v="2019-08-23"/>
    <s v="西瓜"/>
    <x v="4"/>
  </r>
  <r>
    <s v="237"/>
    <s v="品國水果行"/>
    <n v="277000"/>
    <s v="2019-08-24"/>
    <s v="柚子"/>
    <x v="4"/>
  </r>
  <r>
    <s v="238"/>
    <s v="清泉水果產銷"/>
    <n v="53000"/>
    <s v="2019-08-25"/>
    <s v="鳳梨"/>
    <x v="7"/>
  </r>
  <r>
    <s v="239"/>
    <s v="愉悅水果運銷"/>
    <n v="58000"/>
    <s v="2019-08-26"/>
    <s v="香蕉"/>
    <x v="3"/>
  </r>
  <r>
    <s v="240"/>
    <s v="布林食品公司"/>
    <n v="55000"/>
    <s v="2019-08-27"/>
    <s v="西瓜"/>
    <x v="5"/>
  </r>
  <r>
    <s v="241"/>
    <s v="清泉水果產銷"/>
    <n v="168000"/>
    <s v="2019-08-27"/>
    <s v="西瓜"/>
    <x v="7"/>
  </r>
  <r>
    <s v="242"/>
    <s v="愉悅水果運銷"/>
    <n v="189000"/>
    <s v="2019-08-28"/>
    <s v="芒果"/>
    <x v="6"/>
  </r>
  <r>
    <s v="243"/>
    <s v="69小華超商"/>
    <n v="222000"/>
    <s v="2019-08-28"/>
    <s v="芒果"/>
    <x v="7"/>
  </r>
  <r>
    <s v="244"/>
    <s v="品國水果行"/>
    <n v="196000"/>
    <s v="2019-08-29"/>
    <s v="香蕉"/>
    <x v="2"/>
  </r>
  <r>
    <s v="245"/>
    <s v="松壽生鮮食超商"/>
    <n v="282000"/>
    <s v="2019-08-29"/>
    <s v="蘋果"/>
    <x v="6"/>
  </r>
  <r>
    <s v="246"/>
    <s v="品國水果行"/>
    <n v="167000"/>
    <s v="2019-08-30"/>
    <s v="西瓜"/>
    <x v="8"/>
  </r>
  <r>
    <s v="247"/>
    <s v="清泉水果產銷"/>
    <n v="37000"/>
    <s v="2019-08-30"/>
    <s v="芒果"/>
    <x v="1"/>
  </r>
  <r>
    <s v="248"/>
    <s v="布林食品公司"/>
    <n v="260000"/>
    <s v="2019-09-01"/>
    <s v="鳳梨"/>
    <x v="7"/>
  </r>
  <r>
    <s v="249"/>
    <s v="69小華超商"/>
    <n v="110000"/>
    <s v="2019-09-01"/>
    <s v="蘋果"/>
    <x v="0"/>
  </r>
  <r>
    <s v="250"/>
    <s v="愉悅水果運銷"/>
    <n v="136000"/>
    <s v="2019-09-03"/>
    <s v="蘋果"/>
    <x v="0"/>
  </r>
  <r>
    <s v="251"/>
    <s v="樂活超市"/>
    <n v="285000"/>
    <s v="2019-09-07"/>
    <s v="柚子"/>
    <x v="4"/>
  </r>
  <r>
    <s v="252"/>
    <s v="布林食品公司"/>
    <n v="153000"/>
    <s v="2019-09-08"/>
    <s v="蘋果"/>
    <x v="2"/>
  </r>
  <r>
    <s v="253"/>
    <s v="愉悅水果運銷"/>
    <n v="97000"/>
    <s v="2019-09-11"/>
    <s v="鳳梨"/>
    <x v="8"/>
  </r>
  <r>
    <s v="254"/>
    <s v="布林食品公司"/>
    <n v="212000"/>
    <s v="2019-09-11"/>
    <s v="香蕉"/>
    <x v="5"/>
  </r>
  <r>
    <s v="255"/>
    <s v="69小華超商"/>
    <n v="168000"/>
    <s v="2019-09-11"/>
    <s v="鳳梨"/>
    <x v="8"/>
  </r>
  <r>
    <s v="256"/>
    <s v="愉悅水果運銷"/>
    <n v="227000"/>
    <s v="2019-09-11"/>
    <s v="柚子"/>
    <x v="0"/>
  </r>
  <r>
    <s v="257"/>
    <s v="69小華超商"/>
    <n v="40000"/>
    <s v="2019-09-12"/>
    <s v="西瓜"/>
    <x v="3"/>
  </r>
  <r>
    <s v="258"/>
    <s v="松壽生鮮食超商"/>
    <n v="36000"/>
    <s v="2019-09-15"/>
    <s v="西瓜"/>
    <x v="2"/>
  </r>
  <r>
    <s v="259"/>
    <s v="69小華超商"/>
    <n v="40000"/>
    <s v="2019-09-18"/>
    <s v="柚子"/>
    <x v="1"/>
  </r>
  <r>
    <s v="260"/>
    <s v="品國水果行"/>
    <n v="210000"/>
    <s v="2019-09-19"/>
    <s v="芒果"/>
    <x v="7"/>
  </r>
  <r>
    <s v="261"/>
    <s v="品國水果行"/>
    <n v="96000"/>
    <s v="2019-09-22"/>
    <s v="香蕉"/>
    <x v="7"/>
  </r>
  <r>
    <s v="262"/>
    <s v="松壽生鮮食超商"/>
    <n v="125000"/>
    <s v="2019-09-23"/>
    <s v="柚子"/>
    <x v="8"/>
  </r>
  <r>
    <s v="263"/>
    <s v="品國水果行"/>
    <n v="260000"/>
    <s v="2019-09-25"/>
    <s v="香蕉"/>
    <x v="3"/>
  </r>
  <r>
    <s v="264"/>
    <s v="69小華超商"/>
    <n v="54000"/>
    <s v="2019-09-26"/>
    <s v="蘋果"/>
    <x v="7"/>
  </r>
  <r>
    <s v="265"/>
    <s v="布林食品公司"/>
    <n v="234000"/>
    <s v="2019-09-26"/>
    <s v="西瓜"/>
    <x v="3"/>
  </r>
  <r>
    <s v="266"/>
    <s v="愉悅水果運銷"/>
    <n v="101000"/>
    <s v="2019-09-28"/>
    <s v="蘋果"/>
    <x v="8"/>
  </r>
  <r>
    <s v="267"/>
    <s v="松壽生鮮食超商"/>
    <n v="297000"/>
    <s v="2019-09-29"/>
    <s v="西瓜"/>
    <x v="3"/>
  </r>
  <r>
    <s v="268"/>
    <s v="清泉水果產銷"/>
    <n v="31000"/>
    <s v="2019-09-29"/>
    <s v="西瓜"/>
    <x v="5"/>
  </r>
  <r>
    <s v="269"/>
    <s v="品國水果行"/>
    <n v="70000"/>
    <s v="2019-09-30"/>
    <s v="香蕉"/>
    <x v="1"/>
  </r>
  <r>
    <s v="270"/>
    <s v="松壽生鮮食超商"/>
    <n v="169000"/>
    <s v="2019-10-02"/>
    <s v="香蕉"/>
    <x v="3"/>
  </r>
  <r>
    <s v="271"/>
    <s v="品國水果行"/>
    <n v="207000"/>
    <s v="2019-10-02"/>
    <s v="芒果"/>
    <x v="5"/>
  </r>
  <r>
    <s v="272"/>
    <s v="品國水果行"/>
    <n v="142000"/>
    <s v="2019-10-02"/>
    <s v="鳳梨"/>
    <x v="3"/>
  </r>
  <r>
    <s v="273"/>
    <s v="布林食品公司"/>
    <n v="290000"/>
    <s v="2019-10-04"/>
    <s v="鳳梨"/>
    <x v="5"/>
  </r>
  <r>
    <s v="274"/>
    <s v="布林食品公司"/>
    <n v="128000"/>
    <s v="2019-10-07"/>
    <s v="香蕉"/>
    <x v="4"/>
  </r>
  <r>
    <s v="275"/>
    <s v="松壽生鮮食超商"/>
    <n v="124000"/>
    <s v="2019-10-08"/>
    <s v="柚子"/>
    <x v="3"/>
  </r>
  <r>
    <s v="276"/>
    <s v="松壽生鮮食超商"/>
    <n v="284000"/>
    <s v="2019-10-13"/>
    <s v="鳳梨"/>
    <x v="0"/>
  </r>
  <r>
    <s v="277"/>
    <s v="愉悅水果運銷"/>
    <n v="191000"/>
    <s v="2019-10-14"/>
    <s v="蘋果"/>
    <x v="0"/>
  </r>
  <r>
    <s v="278"/>
    <s v="樂活超市"/>
    <n v="107000"/>
    <s v="2019-10-16"/>
    <s v="芒果"/>
    <x v="1"/>
  </r>
  <r>
    <s v="279"/>
    <s v="品國水果行"/>
    <n v="234000"/>
    <s v="2019-10-16"/>
    <s v="西瓜"/>
    <x v="7"/>
  </r>
  <r>
    <s v="280"/>
    <s v="愉悅水果運銷"/>
    <n v="214000"/>
    <s v="2019-10-18"/>
    <s v="柚子"/>
    <x v="4"/>
  </r>
  <r>
    <s v="281"/>
    <s v="品國水果行"/>
    <n v="182000"/>
    <s v="2019-10-19"/>
    <s v="西瓜"/>
    <x v="6"/>
  </r>
  <r>
    <s v="282"/>
    <s v="松壽生鮮食超商"/>
    <n v="276000"/>
    <s v="2019-10-21"/>
    <s v="香蕉"/>
    <x v="7"/>
  </r>
  <r>
    <s v="283"/>
    <s v="布林食品公司"/>
    <n v="51000"/>
    <s v="2019-10-22"/>
    <s v="蘋果"/>
    <x v="4"/>
  </r>
  <r>
    <s v="284"/>
    <s v="愉悅水果運銷"/>
    <n v="84000"/>
    <s v="2019-10-22"/>
    <s v="芒果"/>
    <x v="8"/>
  </r>
  <r>
    <s v="285"/>
    <s v="清泉水果產銷"/>
    <n v="61000"/>
    <s v="2019-10-22"/>
    <s v="柚子"/>
    <x v="5"/>
  </r>
  <r>
    <s v="286"/>
    <s v="69小華超商"/>
    <n v="187000"/>
    <s v="2019-10-22"/>
    <s v="鳳梨"/>
    <x v="2"/>
  </r>
  <r>
    <s v="287"/>
    <s v="69小華超商"/>
    <n v="126000"/>
    <s v="2019-10-23"/>
    <s v="柚子"/>
    <x v="5"/>
  </r>
  <r>
    <s v="288"/>
    <s v="清泉水果產銷"/>
    <n v="217000"/>
    <s v="2019-10-25"/>
    <s v="蘋果"/>
    <x v="3"/>
  </r>
  <r>
    <s v="289"/>
    <s v="松壽生鮮食超商"/>
    <n v="153000"/>
    <s v="2019-10-26"/>
    <s v="柚子"/>
    <x v="6"/>
  </r>
  <r>
    <s v="290"/>
    <s v="品國水果行"/>
    <n v="170000"/>
    <s v="2019-10-29"/>
    <s v="香蕉"/>
    <x v="2"/>
  </r>
  <r>
    <s v="291"/>
    <s v="愉悅水果運銷"/>
    <n v="136000"/>
    <s v="2019-10-29"/>
    <s v="香蕉"/>
    <x v="8"/>
  </r>
  <r>
    <s v="292"/>
    <s v="69小華超商"/>
    <n v="273000"/>
    <s v="2019-10-30"/>
    <s v="鳳梨"/>
    <x v="0"/>
  </r>
  <r>
    <s v="293"/>
    <s v="69小華超商"/>
    <n v="242000"/>
    <s v="2019-11-01"/>
    <s v="柚子"/>
    <x v="5"/>
  </r>
  <r>
    <s v="294"/>
    <s v="愉悅水果運銷"/>
    <n v="64000"/>
    <s v="2019-11-01"/>
    <s v="柚子"/>
    <x v="3"/>
  </r>
  <r>
    <s v="295"/>
    <s v="品國水果行"/>
    <n v="233000"/>
    <s v="2019-11-02"/>
    <s v="蘋果"/>
    <x v="2"/>
  </r>
  <r>
    <s v="296"/>
    <s v="松壽生鮮食超商"/>
    <n v="148000"/>
    <s v="2019-11-02"/>
    <s v="蘋果"/>
    <x v="0"/>
  </r>
  <r>
    <s v="297"/>
    <s v="布林食品公司"/>
    <n v="77000"/>
    <s v="2019-11-03"/>
    <s v="蘋果"/>
    <x v="4"/>
  </r>
  <r>
    <s v="298"/>
    <s v="愉悅水果運銷"/>
    <n v="179000"/>
    <s v="2019-11-03"/>
    <s v="香蕉"/>
    <x v="2"/>
  </r>
  <r>
    <s v="299"/>
    <s v="清泉水果產銷"/>
    <n v="108000"/>
    <s v="2019-11-05"/>
    <s v="鳳梨"/>
    <x v="8"/>
  </r>
  <r>
    <s v="300"/>
    <s v="愉悅水果運銷"/>
    <n v="61000"/>
    <s v="2019-11-06"/>
    <s v="芒果"/>
    <x v="5"/>
  </r>
  <r>
    <s v="301"/>
    <s v="樂活超市"/>
    <n v="291000"/>
    <s v="2019-11-06"/>
    <s v="柚子"/>
    <x v="6"/>
  </r>
  <r>
    <s v="302"/>
    <s v="清泉水果產銷"/>
    <n v="285000"/>
    <s v="2019-11-09"/>
    <s v="鳳梨"/>
    <x v="1"/>
  </r>
  <r>
    <s v="303"/>
    <s v="樂活超市"/>
    <n v="237000"/>
    <s v="2019-11-09"/>
    <s v="芒果"/>
    <x v="1"/>
  </r>
  <r>
    <s v="304"/>
    <s v="69小華超商"/>
    <n v="237000"/>
    <s v="2019-11-09"/>
    <s v="西瓜"/>
    <x v="7"/>
  </r>
  <r>
    <s v="305"/>
    <s v="愉悅水果運銷"/>
    <n v="217000"/>
    <s v="2019-11-10"/>
    <s v="蘋果"/>
    <x v="6"/>
  </r>
  <r>
    <s v="306"/>
    <s v="布林食品公司"/>
    <n v="173000"/>
    <s v="2019-11-12"/>
    <s v="香蕉"/>
    <x v="5"/>
  </r>
  <r>
    <s v="307"/>
    <s v="清泉水果產銷"/>
    <n v="185000"/>
    <s v="2019-11-14"/>
    <s v="西瓜"/>
    <x v="0"/>
  </r>
  <r>
    <s v="308"/>
    <s v="愉悅水果運銷"/>
    <n v="86000"/>
    <s v="2019-11-14"/>
    <s v="蘋果"/>
    <x v="0"/>
  </r>
  <r>
    <s v="309"/>
    <s v="品國水果行"/>
    <n v="78000"/>
    <s v="2019-11-14"/>
    <s v="蘋果"/>
    <x v="0"/>
  </r>
  <r>
    <s v="310"/>
    <s v="松壽生鮮食超商"/>
    <n v="223000"/>
    <s v="2019-11-14"/>
    <s v="香蕉"/>
    <x v="7"/>
  </r>
  <r>
    <s v="311"/>
    <s v="布林食品公司"/>
    <n v="175000"/>
    <s v="2019-11-15"/>
    <s v="香蕉"/>
    <x v="5"/>
  </r>
  <r>
    <s v="312"/>
    <s v="69小華超商"/>
    <n v="89000"/>
    <s v="2019-11-16"/>
    <s v="西瓜"/>
    <x v="8"/>
  </r>
  <r>
    <s v="313"/>
    <s v="品國水果行"/>
    <n v="206000"/>
    <s v="2019-11-17"/>
    <s v="柚子"/>
    <x v="0"/>
  </r>
  <r>
    <s v="314"/>
    <s v="樂活超市"/>
    <n v="80000"/>
    <s v="2019-11-19"/>
    <s v="西瓜"/>
    <x v="6"/>
  </r>
  <r>
    <s v="315"/>
    <s v="樂活超市"/>
    <n v="159000"/>
    <s v="2019-11-21"/>
    <s v="鳳梨"/>
    <x v="7"/>
  </r>
  <r>
    <s v="316"/>
    <s v="松壽生鮮食超商"/>
    <n v="225000"/>
    <s v="2019-11-21"/>
    <s v="鳳梨"/>
    <x v="0"/>
  </r>
  <r>
    <s v="317"/>
    <s v="樂活超市"/>
    <n v="145000"/>
    <s v="2019-11-22"/>
    <s v="鳳梨"/>
    <x v="0"/>
  </r>
  <r>
    <s v="318"/>
    <s v="清泉水果產銷"/>
    <n v="70000"/>
    <s v="2019-11-22"/>
    <s v="香蕉"/>
    <x v="5"/>
  </r>
  <r>
    <s v="319"/>
    <s v="69小華超商"/>
    <n v="288000"/>
    <s v="2019-11-23"/>
    <s v="蘋果"/>
    <x v="2"/>
  </r>
  <r>
    <s v="320"/>
    <s v="69小華超商"/>
    <n v="206000"/>
    <s v="2019-11-25"/>
    <s v="香蕉"/>
    <x v="1"/>
  </r>
  <r>
    <s v="321"/>
    <s v="布林食品公司"/>
    <n v="284000"/>
    <s v="2019-11-26"/>
    <s v="芒果"/>
    <x v="8"/>
  </r>
  <r>
    <s v="322"/>
    <s v="布林食品公司"/>
    <n v="209000"/>
    <s v="2019-11-26"/>
    <s v="西瓜"/>
    <x v="8"/>
  </r>
  <r>
    <s v="323"/>
    <s v="愉悅水果運銷"/>
    <n v="290000"/>
    <s v="2019-12-03"/>
    <s v="香蕉"/>
    <x v="3"/>
  </r>
  <r>
    <s v="324"/>
    <s v="品國水果行"/>
    <n v="263000"/>
    <s v="2019-12-04"/>
    <s v="柚子"/>
    <x v="1"/>
  </r>
  <r>
    <s v="325"/>
    <s v="品國水果行"/>
    <n v="236000"/>
    <s v="2019-12-06"/>
    <s v="蘋果"/>
    <x v="6"/>
  </r>
  <r>
    <s v="326"/>
    <s v="布林食品公司"/>
    <n v="114000"/>
    <s v="2019-12-10"/>
    <s v="西瓜"/>
    <x v="6"/>
  </r>
  <r>
    <s v="327"/>
    <s v="布林食品公司"/>
    <n v="178000"/>
    <s v="2019-12-12"/>
    <s v="香蕉"/>
    <x v="6"/>
  </r>
  <r>
    <s v="328"/>
    <s v="69小華超商"/>
    <n v="105000"/>
    <s v="2019-12-12"/>
    <s v="芒果"/>
    <x v="6"/>
  </r>
  <r>
    <s v="329"/>
    <s v="愉悅水果運銷"/>
    <n v="221000"/>
    <s v="2019-12-15"/>
    <s v="芒果"/>
    <x v="4"/>
  </r>
  <r>
    <s v="330"/>
    <s v="品國水果行"/>
    <n v="53000"/>
    <s v="2019-12-16"/>
    <s v="芒果"/>
    <x v="4"/>
  </r>
  <r>
    <s v="331"/>
    <s v="愉悅水果運銷"/>
    <n v="202000"/>
    <s v="2019-12-18"/>
    <s v="鳳梨"/>
    <x v="7"/>
  </r>
  <r>
    <s v="332"/>
    <s v="布林食品公司"/>
    <n v="270000"/>
    <s v="2019-12-18"/>
    <s v="鳳梨"/>
    <x v="6"/>
  </r>
  <r>
    <s v="333"/>
    <s v="布林食品公司"/>
    <n v="140000"/>
    <s v="2019-12-18"/>
    <s v="蘋果"/>
    <x v="1"/>
  </r>
  <r>
    <s v="334"/>
    <s v="布林食品公司"/>
    <n v="85000"/>
    <s v="2019-12-19"/>
    <s v="西瓜"/>
    <x v="6"/>
  </r>
  <r>
    <s v="335"/>
    <s v="布林食品公司"/>
    <n v="88000"/>
    <s v="2019-12-19"/>
    <s v="蘋果"/>
    <x v="4"/>
  </r>
  <r>
    <s v="336"/>
    <s v="松壽生鮮食超商"/>
    <n v="103000"/>
    <s v="2019-12-20"/>
    <s v="西瓜"/>
    <x v="0"/>
  </r>
  <r>
    <s v="337"/>
    <s v="69小華超商"/>
    <n v="227000"/>
    <s v="2019-12-24"/>
    <s v="西瓜"/>
    <x v="8"/>
  </r>
  <r>
    <s v="338"/>
    <s v="松壽生鮮食超商"/>
    <n v="280000"/>
    <s v="2019-12-24"/>
    <s v="芒果"/>
    <x v="1"/>
  </r>
  <r>
    <s v="339"/>
    <s v="布林食品公司"/>
    <n v="112000"/>
    <s v="2019-12-26"/>
    <s v="西瓜"/>
    <x v="1"/>
  </r>
  <r>
    <s v="340"/>
    <s v="清泉水果產銷"/>
    <n v="159000"/>
    <s v="2019-12-26"/>
    <s v="蘋果"/>
    <x v="0"/>
  </r>
  <r>
    <s v="341"/>
    <s v="69小華超商"/>
    <n v="272000"/>
    <s v="2019-12-29"/>
    <s v="香蕉"/>
    <x v="8"/>
  </r>
  <r>
    <s v="342"/>
    <s v="愉悅水果運銷"/>
    <n v="284000"/>
    <s v="2019-12-30"/>
    <s v="柚子"/>
    <x v="6"/>
  </r>
  <r>
    <s v="343"/>
    <s v="樂活超市"/>
    <n v="120000"/>
    <s v="2019-12-30"/>
    <s v="柚子"/>
    <x v="2"/>
  </r>
  <r>
    <s v="344"/>
    <s v="69小華超商"/>
    <n v="81000"/>
    <s v="2019-12-31"/>
    <s v="香蕉"/>
    <x v="1"/>
  </r>
  <r>
    <s v="345"/>
    <s v="樂活超市"/>
    <n v="272000"/>
    <s v="2019-12-31"/>
    <s v="蘋果"/>
    <x v="6"/>
  </r>
  <r>
    <s v="346"/>
    <s v="樂活超市"/>
    <n v="294000"/>
    <s v="2020-01-02"/>
    <s v="西瓜"/>
    <x v="5"/>
  </r>
  <r>
    <s v="347"/>
    <s v="布林食品公司"/>
    <n v="234000"/>
    <s v="2020-01-02"/>
    <s v="香蕉"/>
    <x v="4"/>
  </r>
  <r>
    <s v="348"/>
    <s v="愉悅水果運銷"/>
    <n v="110000"/>
    <s v="2020-01-03"/>
    <s v="西瓜"/>
    <x v="8"/>
  </r>
  <r>
    <s v="349"/>
    <s v="布林食品公司"/>
    <n v="137000"/>
    <s v="2020-01-04"/>
    <s v="蘋果"/>
    <x v="4"/>
  </r>
  <r>
    <s v="350"/>
    <s v="布林食品公司"/>
    <n v="273000"/>
    <s v="2020-01-05"/>
    <s v="鳳梨"/>
    <x v="3"/>
  </r>
  <r>
    <s v="351"/>
    <s v="清泉水果產銷"/>
    <n v="157000"/>
    <s v="2020-01-06"/>
    <s v="芒果"/>
    <x v="4"/>
  </r>
  <r>
    <s v="352"/>
    <s v="松壽生鮮食超商"/>
    <n v="212000"/>
    <s v="2020-01-08"/>
    <s v="柚子"/>
    <x v="7"/>
  </r>
  <r>
    <s v="353"/>
    <s v="樂活超市"/>
    <n v="281000"/>
    <s v="2020-01-08"/>
    <s v="鳳梨"/>
    <x v="7"/>
  </r>
  <r>
    <s v="354"/>
    <s v="松壽生鮮食超商"/>
    <n v="91000"/>
    <s v="2020-01-08"/>
    <s v="芒果"/>
    <x v="4"/>
  </r>
  <r>
    <s v="355"/>
    <s v="品國水果行"/>
    <n v="85000"/>
    <s v="2020-01-09"/>
    <s v="西瓜"/>
    <x v="1"/>
  </r>
  <r>
    <s v="356"/>
    <s v="品國水果行"/>
    <n v="170000"/>
    <s v="2020-01-09"/>
    <s v="柚子"/>
    <x v="2"/>
  </r>
  <r>
    <s v="357"/>
    <s v="品國水果行"/>
    <n v="213000"/>
    <s v="2020-01-10"/>
    <s v="芒果"/>
    <x v="6"/>
  </r>
  <r>
    <s v="358"/>
    <s v="品國水果行"/>
    <n v="107000"/>
    <s v="2020-01-10"/>
    <s v="西瓜"/>
    <x v="6"/>
  </r>
  <r>
    <s v="359"/>
    <s v="品國水果行"/>
    <n v="216000"/>
    <s v="2020-01-12"/>
    <s v="蘋果"/>
    <x v="6"/>
  </r>
  <r>
    <s v="360"/>
    <s v="松壽生鮮食超商"/>
    <n v="117000"/>
    <s v="2020-01-13"/>
    <s v="蘋果"/>
    <x v="4"/>
  </r>
  <r>
    <s v="361"/>
    <s v="69小華超商"/>
    <n v="238000"/>
    <s v="2020-01-15"/>
    <s v="西瓜"/>
    <x v="3"/>
  </r>
  <r>
    <s v="362"/>
    <s v="松壽生鮮食超商"/>
    <n v="274000"/>
    <s v="2020-01-15"/>
    <s v="鳳梨"/>
    <x v="4"/>
  </r>
  <r>
    <s v="363"/>
    <s v="清泉水果產銷"/>
    <n v="197000"/>
    <s v="2020-01-18"/>
    <s v="芒果"/>
    <x v="1"/>
  </r>
  <r>
    <s v="364"/>
    <s v="69小華超商"/>
    <n v="124000"/>
    <s v="2020-01-21"/>
    <s v="芒果"/>
    <x v="6"/>
  </r>
  <r>
    <s v="365"/>
    <s v="樂活超市"/>
    <n v="42000"/>
    <s v="2020-01-22"/>
    <s v="芒果"/>
    <x v="6"/>
  </r>
  <r>
    <s v="366"/>
    <s v="樂活超市"/>
    <n v="68000"/>
    <s v="2020-01-22"/>
    <s v="柚子"/>
    <x v="0"/>
  </r>
  <r>
    <s v="367"/>
    <s v="布林食品公司"/>
    <n v="152000"/>
    <s v="2020-01-23"/>
    <s v="鳳梨"/>
    <x v="5"/>
  </r>
  <r>
    <s v="368"/>
    <s v="布林食品公司"/>
    <n v="106000"/>
    <s v="2020-01-25"/>
    <s v="鳳梨"/>
    <x v="4"/>
  </r>
  <r>
    <s v="369"/>
    <s v="69小華超商"/>
    <n v="241000"/>
    <s v="2020-01-27"/>
    <s v="蘋果"/>
    <x v="2"/>
  </r>
  <r>
    <s v="370"/>
    <s v="品國水果行"/>
    <n v="282000"/>
    <s v="2020-01-28"/>
    <s v="鳳梨"/>
    <x v="7"/>
  </r>
  <r>
    <s v="371"/>
    <s v="布林食品公司"/>
    <n v="139000"/>
    <s v="2020-01-28"/>
    <s v="鳳梨"/>
    <x v="6"/>
  </r>
  <r>
    <s v="372"/>
    <s v="品國水果行"/>
    <n v="296000"/>
    <s v="2020-01-28"/>
    <s v="蘋果"/>
    <x v="3"/>
  </r>
  <r>
    <s v="373"/>
    <s v="69小華超商"/>
    <n v="166000"/>
    <s v="2020-01-30"/>
    <s v="西瓜"/>
    <x v="3"/>
  </r>
  <r>
    <s v="374"/>
    <s v="布林食品公司"/>
    <n v="47000"/>
    <s v="2020-02-02"/>
    <s v="香蕉"/>
    <x v="7"/>
  </r>
  <r>
    <s v="375"/>
    <s v="品國水果行"/>
    <n v="51000"/>
    <s v="2020-02-03"/>
    <s v="柚子"/>
    <x v="1"/>
  </r>
  <r>
    <s v="376"/>
    <s v="69小華超商"/>
    <n v="281000"/>
    <s v="2020-02-03"/>
    <s v="鳳梨"/>
    <x v="5"/>
  </r>
  <r>
    <s v="377"/>
    <s v="69小華超商"/>
    <n v="284000"/>
    <s v="2020-02-05"/>
    <s v="蘋果"/>
    <x v="3"/>
  </r>
  <r>
    <s v="378"/>
    <s v="布林食品公司"/>
    <n v="271000"/>
    <s v="2020-02-06"/>
    <s v="香蕉"/>
    <x v="8"/>
  </r>
  <r>
    <s v="379"/>
    <s v="69小華超商"/>
    <n v="161000"/>
    <s v="2020-02-07"/>
    <s v="鳳梨"/>
    <x v="1"/>
  </r>
  <r>
    <s v="380"/>
    <s v="布林食品公司"/>
    <n v="36000"/>
    <s v="2020-02-08"/>
    <s v="芒果"/>
    <x v="0"/>
  </r>
  <r>
    <s v="381"/>
    <s v="樂活超市"/>
    <n v="298000"/>
    <s v="2020-02-08"/>
    <s v="鳳梨"/>
    <x v="7"/>
  </r>
  <r>
    <s v="382"/>
    <s v="樂活超市"/>
    <n v="86000"/>
    <s v="2020-02-09"/>
    <s v="蘋果"/>
    <x v="3"/>
  </r>
  <r>
    <s v="383"/>
    <s v="品國水果行"/>
    <n v="71000"/>
    <s v="2020-02-09"/>
    <s v="西瓜"/>
    <x v="2"/>
  </r>
  <r>
    <s v="384"/>
    <s v="松壽生鮮食超商"/>
    <n v="123000"/>
    <s v="2020-02-10"/>
    <s v="芒果"/>
    <x v="4"/>
  </r>
  <r>
    <s v="385"/>
    <s v="布林食品公司"/>
    <n v="175000"/>
    <s v="2020-02-10"/>
    <s v="鳳梨"/>
    <x v="6"/>
  </r>
  <r>
    <s v="386"/>
    <s v="品國水果行"/>
    <n v="113000"/>
    <s v="2020-02-11"/>
    <s v="鳳梨"/>
    <x v="3"/>
  </r>
  <r>
    <s v="387"/>
    <s v="愉悅水果運銷"/>
    <n v="270000"/>
    <s v="2020-02-12"/>
    <s v="蘋果"/>
    <x v="1"/>
  </r>
  <r>
    <s v="388"/>
    <s v="清泉水果產銷"/>
    <n v="191000"/>
    <s v="2020-02-18"/>
    <s v="香蕉"/>
    <x v="2"/>
  </r>
  <r>
    <s v="389"/>
    <s v="松壽生鮮食超商"/>
    <n v="46000"/>
    <s v="2020-02-19"/>
    <s v="芒果"/>
    <x v="0"/>
  </r>
  <r>
    <s v="390"/>
    <s v="布林食品公司"/>
    <n v="261000"/>
    <s v="2020-02-20"/>
    <s v="柚子"/>
    <x v="7"/>
  </r>
  <r>
    <s v="391"/>
    <s v="樂活超市"/>
    <n v="35000"/>
    <s v="2020-02-23"/>
    <s v="西瓜"/>
    <x v="8"/>
  </r>
  <r>
    <s v="392"/>
    <s v="愉悅水果運銷"/>
    <n v="264000"/>
    <s v="2020-02-23"/>
    <s v="蘋果"/>
    <x v="0"/>
  </r>
  <r>
    <s v="393"/>
    <s v="清泉水果產銷"/>
    <n v="63000"/>
    <s v="2020-02-24"/>
    <s v="鳳梨"/>
    <x v="2"/>
  </r>
  <r>
    <s v="394"/>
    <s v="品國水果行"/>
    <n v="134000"/>
    <s v="2020-02-24"/>
    <s v="柚子"/>
    <x v="5"/>
  </r>
  <r>
    <s v="395"/>
    <s v="69小華超商"/>
    <n v="253000"/>
    <s v="2020-02-26"/>
    <s v="西瓜"/>
    <x v="8"/>
  </r>
  <r>
    <s v="396"/>
    <s v="清泉水果產銷"/>
    <n v="87000"/>
    <s v="2020-02-29"/>
    <s v="鳳梨"/>
    <x v="4"/>
  </r>
  <r>
    <s v="397"/>
    <s v="松壽生鮮食超商"/>
    <n v="253000"/>
    <s v="2020-02-29"/>
    <s v="芒果"/>
    <x v="7"/>
  </r>
  <r>
    <s v="398"/>
    <s v="布林食品公司"/>
    <n v="237000"/>
    <s v="2020-03-01"/>
    <s v="西瓜"/>
    <x v="0"/>
  </r>
  <r>
    <s v="399"/>
    <s v="愉悅水果運銷"/>
    <n v="129000"/>
    <s v="2020-03-03"/>
    <s v="柚子"/>
    <x v="3"/>
  </r>
  <r>
    <s v="400"/>
    <s v="松壽生鮮食超商"/>
    <n v="168000"/>
    <s v="2020-03-04"/>
    <s v="香蕉"/>
    <x v="6"/>
  </r>
  <r>
    <s v="401"/>
    <s v="69小華超商"/>
    <n v="174000"/>
    <s v="2020-03-06"/>
    <s v="蘋果"/>
    <x v="3"/>
  </r>
  <r>
    <s v="402"/>
    <s v="69小華超商"/>
    <n v="210000"/>
    <s v="2020-03-08"/>
    <s v="鳳梨"/>
    <x v="0"/>
  </r>
  <r>
    <s v="403"/>
    <s v="69小華超商"/>
    <n v="94000"/>
    <s v="2020-03-10"/>
    <s v="蘋果"/>
    <x v="3"/>
  </r>
  <r>
    <s v="404"/>
    <s v="布林食品公司"/>
    <n v="71000"/>
    <s v="2020-03-11"/>
    <s v="鳳梨"/>
    <x v="2"/>
  </r>
  <r>
    <s v="405"/>
    <s v="松壽生鮮食超商"/>
    <n v="255000"/>
    <s v="2020-03-11"/>
    <s v="鳳梨"/>
    <x v="1"/>
  </r>
  <r>
    <s v="406"/>
    <s v="清泉水果產銷"/>
    <n v="80000"/>
    <s v="2020-03-12"/>
    <s v="香蕉"/>
    <x v="7"/>
  </r>
  <r>
    <s v="407"/>
    <s v="清泉水果產銷"/>
    <n v="87000"/>
    <s v="2020-03-13"/>
    <s v="香蕉"/>
    <x v="1"/>
  </r>
  <r>
    <s v="408"/>
    <s v="愉悅水果運銷"/>
    <n v="141000"/>
    <s v="2020-03-15"/>
    <s v="芒果"/>
    <x v="3"/>
  </r>
  <r>
    <s v="409"/>
    <s v="69小華超商"/>
    <n v="70000"/>
    <s v="2020-03-16"/>
    <s v="西瓜"/>
    <x v="5"/>
  </r>
  <r>
    <s v="410"/>
    <s v="69小華超商"/>
    <n v="266000"/>
    <s v="2020-03-16"/>
    <s v="鳳梨"/>
    <x v="4"/>
  </r>
  <r>
    <s v="411"/>
    <s v="品國水果行"/>
    <n v="41000"/>
    <s v="2020-03-16"/>
    <s v="柚子"/>
    <x v="4"/>
  </r>
  <r>
    <s v="412"/>
    <s v="清泉水果產銷"/>
    <n v="238000"/>
    <s v="2020-03-16"/>
    <s v="鳳梨"/>
    <x v="3"/>
  </r>
  <r>
    <s v="413"/>
    <s v="樂活超市"/>
    <n v="55000"/>
    <s v="2020-03-17"/>
    <s v="蘋果"/>
    <x v="8"/>
  </r>
  <r>
    <s v="414"/>
    <s v="清泉水果產銷"/>
    <n v="146000"/>
    <s v="2020-03-19"/>
    <s v="蘋果"/>
    <x v="3"/>
  </r>
  <r>
    <s v="415"/>
    <s v="品國水果行"/>
    <n v="95000"/>
    <s v="2020-03-21"/>
    <s v="芒果"/>
    <x v="2"/>
  </r>
  <r>
    <s v="416"/>
    <s v="樂活超市"/>
    <n v="248000"/>
    <s v="2020-03-23"/>
    <s v="蘋果"/>
    <x v="4"/>
  </r>
  <r>
    <s v="417"/>
    <s v="69小華超商"/>
    <n v="204000"/>
    <s v="2020-03-26"/>
    <s v="蘋果"/>
    <x v="4"/>
  </r>
  <r>
    <s v="418"/>
    <s v="愉悅水果運銷"/>
    <n v="139000"/>
    <s v="2020-03-27"/>
    <s v="芒果"/>
    <x v="6"/>
  </r>
  <r>
    <s v="419"/>
    <s v="69小華超商"/>
    <n v="196000"/>
    <s v="2020-03-28"/>
    <s v="香蕉"/>
    <x v="2"/>
  </r>
  <r>
    <s v="420"/>
    <s v="69小華超商"/>
    <n v="273000"/>
    <s v="2020-03-29"/>
    <s v="蘋果"/>
    <x v="5"/>
  </r>
  <r>
    <s v="421"/>
    <s v="松壽生鮮食超商"/>
    <n v="107000"/>
    <s v="2020-03-30"/>
    <s v="鳳梨"/>
    <x v="2"/>
  </r>
  <r>
    <s v="422"/>
    <s v="清泉水果產銷"/>
    <n v="147000"/>
    <s v="2020-03-30"/>
    <s v="芒果"/>
    <x v="3"/>
  </r>
  <r>
    <s v="423"/>
    <s v="松壽生鮮食超商"/>
    <n v="261000"/>
    <s v="2020-03-30"/>
    <s v="鳳梨"/>
    <x v="0"/>
  </r>
  <r>
    <s v="424"/>
    <s v="愉悅水果運銷"/>
    <n v="83000"/>
    <s v="2020-03-30"/>
    <s v="蘋果"/>
    <x v="1"/>
  </r>
  <r>
    <s v="425"/>
    <s v="清泉水果產銷"/>
    <n v="165000"/>
    <s v="2020-03-31"/>
    <s v="鳳梨"/>
    <x v="4"/>
  </r>
  <r>
    <s v="426"/>
    <s v="愉悅水果運銷"/>
    <n v="214000"/>
    <s v="2020-03-31"/>
    <s v="柚子"/>
    <x v="1"/>
  </r>
  <r>
    <s v="427"/>
    <s v="69小華超商"/>
    <n v="241000"/>
    <s v="2020-03-31"/>
    <s v="鳳梨"/>
    <x v="5"/>
  </r>
  <r>
    <s v="428"/>
    <s v="樂活超市"/>
    <n v="265000"/>
    <s v="2020-04-01"/>
    <s v="柚子"/>
    <x v="7"/>
  </r>
  <r>
    <s v="429"/>
    <s v="樂活超市"/>
    <n v="184000"/>
    <s v="2020-04-02"/>
    <s v="西瓜"/>
    <x v="3"/>
  </r>
  <r>
    <s v="430"/>
    <s v="布林食品公司"/>
    <n v="179000"/>
    <s v="2020-04-03"/>
    <s v="柚子"/>
    <x v="0"/>
  </r>
  <r>
    <s v="431"/>
    <s v="愉悅水果運銷"/>
    <n v="159000"/>
    <s v="2020-04-04"/>
    <s v="柚子"/>
    <x v="3"/>
  </r>
  <r>
    <s v="432"/>
    <s v="松壽生鮮食超商"/>
    <n v="170000"/>
    <s v="2020-04-07"/>
    <s v="西瓜"/>
    <x v="6"/>
  </r>
  <r>
    <s v="433"/>
    <s v="愉悅水果運銷"/>
    <n v="182000"/>
    <s v="2020-04-09"/>
    <s v="蘋果"/>
    <x v="0"/>
  </r>
  <r>
    <s v="434"/>
    <s v="樂活超市"/>
    <n v="58000"/>
    <s v="2020-04-10"/>
    <s v="鳳梨"/>
    <x v="1"/>
  </r>
  <r>
    <s v="435"/>
    <s v="愉悅水果運銷"/>
    <n v="46000"/>
    <s v="2020-04-10"/>
    <s v="蘋果"/>
    <x v="6"/>
  </r>
  <r>
    <s v="436"/>
    <s v="樂活超市"/>
    <n v="93000"/>
    <s v="2020-04-10"/>
    <s v="柚子"/>
    <x v="8"/>
  </r>
  <r>
    <s v="437"/>
    <s v="愉悅水果運銷"/>
    <n v="108000"/>
    <s v="2020-04-12"/>
    <s v="鳳梨"/>
    <x v="7"/>
  </r>
  <r>
    <s v="438"/>
    <s v="樂活超市"/>
    <n v="202000"/>
    <s v="2020-04-13"/>
    <s v="西瓜"/>
    <x v="4"/>
  </r>
  <r>
    <s v="439"/>
    <s v="松壽生鮮食超商"/>
    <n v="154000"/>
    <s v="2020-04-15"/>
    <s v="香蕉"/>
    <x v="0"/>
  </r>
  <r>
    <s v="440"/>
    <s v="愉悅水果運銷"/>
    <n v="118000"/>
    <s v="2020-04-15"/>
    <s v="芒果"/>
    <x v="7"/>
  </r>
  <r>
    <s v="441"/>
    <s v="品國水果行"/>
    <n v="268000"/>
    <s v="2020-04-17"/>
    <s v="芒果"/>
    <x v="7"/>
  </r>
  <r>
    <s v="442"/>
    <s v="松壽生鮮食超商"/>
    <n v="82000"/>
    <s v="2020-04-17"/>
    <s v="芒果"/>
    <x v="3"/>
  </r>
  <r>
    <s v="443"/>
    <s v="69小華超商"/>
    <n v="200000"/>
    <s v="2020-04-18"/>
    <s v="香蕉"/>
    <x v="5"/>
  </r>
  <r>
    <s v="444"/>
    <s v="愉悅水果運銷"/>
    <n v="94000"/>
    <s v="2020-04-19"/>
    <s v="香蕉"/>
    <x v="4"/>
  </r>
  <r>
    <s v="445"/>
    <s v="品國水果行"/>
    <n v="215000"/>
    <s v="2020-04-21"/>
    <s v="芒果"/>
    <x v="2"/>
  </r>
  <r>
    <s v="446"/>
    <s v="愉悅水果運銷"/>
    <n v="69000"/>
    <s v="2020-04-22"/>
    <s v="芒果"/>
    <x v="0"/>
  </r>
  <r>
    <s v="447"/>
    <s v="品國水果行"/>
    <n v="38000"/>
    <s v="2020-04-25"/>
    <s v="香蕉"/>
    <x v="4"/>
  </r>
  <r>
    <s v="448"/>
    <s v="松壽生鮮食超商"/>
    <n v="272000"/>
    <s v="2020-04-30"/>
    <s v="香蕉"/>
    <x v="6"/>
  </r>
  <r>
    <s v="449"/>
    <s v="愉悅水果運銷"/>
    <n v="90000"/>
    <s v="2020-05-01"/>
    <s v="香蕉"/>
    <x v="6"/>
  </r>
  <r>
    <s v="450"/>
    <s v="愉悅水果運銷"/>
    <n v="215000"/>
    <s v="2020-05-02"/>
    <s v="西瓜"/>
    <x v="2"/>
  </r>
  <r>
    <s v="451"/>
    <s v="布林食品公司"/>
    <n v="171000"/>
    <s v="2020-05-02"/>
    <s v="蘋果"/>
    <x v="1"/>
  </r>
  <r>
    <s v="452"/>
    <s v="品國水果行"/>
    <n v="150000"/>
    <s v="2020-05-03"/>
    <s v="西瓜"/>
    <x v="5"/>
  </r>
  <r>
    <s v="453"/>
    <s v="愉悅水果運銷"/>
    <n v="156000"/>
    <s v="2020-05-05"/>
    <s v="香蕉"/>
    <x v="3"/>
  </r>
  <r>
    <s v="454"/>
    <s v="樂活超市"/>
    <n v="114000"/>
    <s v="2020-05-05"/>
    <s v="香蕉"/>
    <x v="8"/>
  </r>
  <r>
    <s v="455"/>
    <s v="松壽生鮮食超商"/>
    <n v="53000"/>
    <s v="2020-05-06"/>
    <s v="蘋果"/>
    <x v="6"/>
  </r>
  <r>
    <s v="456"/>
    <s v="品國水果行"/>
    <n v="99000"/>
    <s v="2020-05-07"/>
    <s v="西瓜"/>
    <x v="0"/>
  </r>
  <r>
    <s v="457"/>
    <s v="樂活超市"/>
    <n v="75000"/>
    <s v="2020-05-08"/>
    <s v="芒果"/>
    <x v="4"/>
  </r>
  <r>
    <s v="458"/>
    <s v="愉悅水果運銷"/>
    <n v="182000"/>
    <s v="2020-05-10"/>
    <s v="鳳梨"/>
    <x v="8"/>
  </r>
  <r>
    <s v="459"/>
    <s v="樂活超市"/>
    <n v="299000"/>
    <s v="2020-05-11"/>
    <s v="芒果"/>
    <x v="3"/>
  </r>
  <r>
    <s v="460"/>
    <s v="清泉水果產銷"/>
    <n v="217000"/>
    <s v="2020-05-13"/>
    <s v="蘋果"/>
    <x v="1"/>
  </r>
  <r>
    <s v="461"/>
    <s v="樂活超市"/>
    <n v="158000"/>
    <s v="2020-05-13"/>
    <s v="香蕉"/>
    <x v="1"/>
  </r>
  <r>
    <s v="462"/>
    <s v="品國水果行"/>
    <n v="235000"/>
    <s v="2020-05-14"/>
    <s v="鳳梨"/>
    <x v="3"/>
  </r>
  <r>
    <s v="463"/>
    <s v="愉悅水果運銷"/>
    <n v="267000"/>
    <s v="2020-05-16"/>
    <s v="蘋果"/>
    <x v="2"/>
  </r>
  <r>
    <s v="464"/>
    <s v="樂活超市"/>
    <n v="290000"/>
    <s v="2020-05-17"/>
    <s v="西瓜"/>
    <x v="2"/>
  </r>
  <r>
    <s v="465"/>
    <s v="樂活超市"/>
    <n v="245000"/>
    <s v="2020-05-17"/>
    <s v="蘋果"/>
    <x v="8"/>
  </r>
  <r>
    <s v="466"/>
    <s v="清泉水果產銷"/>
    <n v="232000"/>
    <s v="2020-05-17"/>
    <s v="芒果"/>
    <x v="2"/>
  </r>
  <r>
    <s v="467"/>
    <s v="松壽生鮮食超商"/>
    <n v="252000"/>
    <s v="2020-05-18"/>
    <s v="芒果"/>
    <x v="0"/>
  </r>
  <r>
    <s v="468"/>
    <s v="松壽生鮮食超商"/>
    <n v="280000"/>
    <s v="2020-05-19"/>
    <s v="西瓜"/>
    <x v="5"/>
  </r>
  <r>
    <s v="469"/>
    <s v="品國水果行"/>
    <n v="217000"/>
    <s v="2020-05-21"/>
    <s v="鳳梨"/>
    <x v="5"/>
  </r>
  <r>
    <s v="470"/>
    <s v="布林食品公司"/>
    <n v="198000"/>
    <s v="2020-05-22"/>
    <s v="香蕉"/>
    <x v="0"/>
  </r>
  <r>
    <s v="471"/>
    <s v="清泉水果產銷"/>
    <n v="278000"/>
    <s v="2020-05-22"/>
    <s v="西瓜"/>
    <x v="1"/>
  </r>
  <r>
    <s v="472"/>
    <s v="松壽生鮮食超商"/>
    <n v="100000"/>
    <s v="2020-05-23"/>
    <s v="香蕉"/>
    <x v="2"/>
  </r>
  <r>
    <s v="473"/>
    <s v="布林食品公司"/>
    <n v="34000"/>
    <s v="2020-05-23"/>
    <s v="柚子"/>
    <x v="8"/>
  </r>
  <r>
    <s v="474"/>
    <s v="樂活超市"/>
    <n v="85000"/>
    <s v="2020-05-24"/>
    <s v="芒果"/>
    <x v="5"/>
  </r>
  <r>
    <s v="475"/>
    <s v="愉悅水果運銷"/>
    <n v="247000"/>
    <s v="2020-05-24"/>
    <s v="柚子"/>
    <x v="4"/>
  </r>
  <r>
    <s v="476"/>
    <s v="布林食品公司"/>
    <n v="233000"/>
    <s v="2020-05-24"/>
    <s v="鳳梨"/>
    <x v="7"/>
  </r>
  <r>
    <s v="477"/>
    <s v="布林食品公司"/>
    <n v="122000"/>
    <s v="2020-05-25"/>
    <s v="香蕉"/>
    <x v="1"/>
  </r>
  <r>
    <s v="478"/>
    <s v="布林食品公司"/>
    <n v="88000"/>
    <s v="2020-05-26"/>
    <s v="芒果"/>
    <x v="6"/>
  </r>
  <r>
    <s v="479"/>
    <s v="布林食品公司"/>
    <n v="137000"/>
    <s v="2020-05-28"/>
    <s v="柚子"/>
    <x v="8"/>
  </r>
  <r>
    <s v="480"/>
    <s v="愉悅水果運銷"/>
    <n v="109000"/>
    <s v="2020-05-29"/>
    <s v="鳳梨"/>
    <x v="0"/>
  </r>
  <r>
    <s v="481"/>
    <s v="樂活超市"/>
    <n v="241000"/>
    <s v="2020-05-29"/>
    <s v="芒果"/>
    <x v="3"/>
  </r>
  <r>
    <s v="482"/>
    <s v="品國水果行"/>
    <n v="286000"/>
    <s v="2020-05-30"/>
    <s v="柚子"/>
    <x v="6"/>
  </r>
  <r>
    <s v="483"/>
    <s v="清泉水果產銷"/>
    <n v="276000"/>
    <s v="2020-05-30"/>
    <s v="蘋果"/>
    <x v="8"/>
  </r>
  <r>
    <s v="484"/>
    <s v="69小華超商"/>
    <n v="267000"/>
    <s v="2020-05-31"/>
    <s v="香蕉"/>
    <x v="4"/>
  </r>
  <r>
    <s v="485"/>
    <s v="樂活超市"/>
    <n v="144000"/>
    <s v="2020-06-01"/>
    <s v="蘋果"/>
    <x v="0"/>
  </r>
  <r>
    <s v="486"/>
    <s v="69小華超商"/>
    <n v="145000"/>
    <s v="2020-06-02"/>
    <s v="芒果"/>
    <x v="4"/>
  </r>
  <r>
    <s v="487"/>
    <s v="樂活超市"/>
    <n v="148000"/>
    <s v="2020-06-04"/>
    <s v="香蕉"/>
    <x v="6"/>
  </r>
  <r>
    <s v="488"/>
    <s v="69小華超商"/>
    <n v="78000"/>
    <s v="2020-06-06"/>
    <s v="西瓜"/>
    <x v="3"/>
  </r>
  <r>
    <s v="489"/>
    <s v="清泉水果產銷"/>
    <n v="135000"/>
    <s v="2020-06-07"/>
    <s v="西瓜"/>
    <x v="6"/>
  </r>
  <r>
    <s v="490"/>
    <s v="清泉水果產銷"/>
    <n v="253000"/>
    <s v="2020-06-08"/>
    <s v="香蕉"/>
    <x v="8"/>
  </r>
  <r>
    <s v="491"/>
    <s v="清泉水果產銷"/>
    <n v="78000"/>
    <s v="2020-06-09"/>
    <s v="香蕉"/>
    <x v="5"/>
  </r>
  <r>
    <s v="492"/>
    <s v="樂活超市"/>
    <n v="33000"/>
    <s v="2020-06-10"/>
    <s v="西瓜"/>
    <x v="8"/>
  </r>
  <r>
    <s v="493"/>
    <s v="松壽生鮮食超商"/>
    <n v="208000"/>
    <s v="2020-06-13"/>
    <s v="香蕉"/>
    <x v="1"/>
  </r>
  <r>
    <s v="494"/>
    <s v="清泉水果產銷"/>
    <n v="152000"/>
    <s v="2020-06-13"/>
    <s v="柚子"/>
    <x v="2"/>
  </r>
  <r>
    <s v="495"/>
    <s v="布林食品公司"/>
    <n v="235000"/>
    <s v="2020-06-17"/>
    <s v="香蕉"/>
    <x v="7"/>
  </r>
  <r>
    <s v="496"/>
    <s v="69小華超商"/>
    <n v="42000"/>
    <s v="2020-06-18"/>
    <s v="西瓜"/>
    <x v="7"/>
  </r>
  <r>
    <s v="497"/>
    <s v="69小華超商"/>
    <n v="31000"/>
    <s v="2020-06-19"/>
    <s v="西瓜"/>
    <x v="5"/>
  </r>
  <r>
    <s v="498"/>
    <s v="品國水果行"/>
    <n v="240000"/>
    <s v="2020-06-20"/>
    <s v="鳳梨"/>
    <x v="8"/>
  </r>
  <r>
    <s v="499"/>
    <s v="布林食品公司"/>
    <n v="295000"/>
    <s v="2020-06-23"/>
    <s v="鳳梨"/>
    <x v="8"/>
  </r>
  <r>
    <s v="500"/>
    <s v="樂活超市"/>
    <n v="31000"/>
    <s v="2020-06-23"/>
    <s v="蘋果"/>
    <x v="7"/>
  </r>
  <r>
    <s v="501"/>
    <s v="清泉水果產銷"/>
    <n v="278000"/>
    <s v="2020-06-24"/>
    <s v="蘋果"/>
    <x v="0"/>
  </r>
  <r>
    <s v="502"/>
    <s v="69小華超商"/>
    <n v="218000"/>
    <s v="2020-06-24"/>
    <s v="西瓜"/>
    <x v="1"/>
  </r>
  <r>
    <s v="503"/>
    <s v="布林食品公司"/>
    <n v="297000"/>
    <s v="2020-06-24"/>
    <s v="鳳梨"/>
    <x v="7"/>
  </r>
  <r>
    <s v="504"/>
    <s v="品國水果行"/>
    <n v="241000"/>
    <s v="2020-06-24"/>
    <s v="蘋果"/>
    <x v="5"/>
  </r>
  <r>
    <s v="505"/>
    <s v="品國水果行"/>
    <n v="108000"/>
    <s v="2020-06-27"/>
    <s v="香蕉"/>
    <x v="7"/>
  </r>
  <r>
    <s v="506"/>
    <s v="清泉水果產銷"/>
    <n v="108000"/>
    <s v="2020-06-28"/>
    <s v="蘋果"/>
    <x v="7"/>
  </r>
  <r>
    <s v="507"/>
    <s v="布林食品公司"/>
    <n v="170000"/>
    <s v="2020-06-30"/>
    <s v="芒果"/>
    <x v="5"/>
  </r>
  <r>
    <s v="508"/>
    <s v="松壽生鮮食超商"/>
    <n v="211000"/>
    <s v="2020-07-02"/>
    <s v="香蕉"/>
    <x v="3"/>
  </r>
  <r>
    <s v="509"/>
    <s v="布林食品公司"/>
    <n v="110000"/>
    <s v="2020-07-04"/>
    <s v="鳳梨"/>
    <x v="1"/>
  </r>
  <r>
    <s v="510"/>
    <s v="樂活超市"/>
    <n v="254000"/>
    <s v="2020-07-05"/>
    <s v="西瓜"/>
    <x v="1"/>
  </r>
  <r>
    <s v="511"/>
    <s v="品國水果行"/>
    <n v="64000"/>
    <s v="2020-07-05"/>
    <s v="西瓜"/>
    <x v="0"/>
  </r>
  <r>
    <s v="512"/>
    <s v="愉悅水果運銷"/>
    <n v="133000"/>
    <s v="2020-07-05"/>
    <s v="芒果"/>
    <x v="7"/>
  </r>
  <r>
    <s v="513"/>
    <s v="69小華超商"/>
    <n v="194000"/>
    <s v="2020-07-06"/>
    <s v="西瓜"/>
    <x v="1"/>
  </r>
  <r>
    <s v="514"/>
    <s v="布林食品公司"/>
    <n v="108000"/>
    <s v="2020-07-07"/>
    <s v="蘋果"/>
    <x v="7"/>
  </r>
  <r>
    <s v="515"/>
    <s v="品國水果行"/>
    <n v="135000"/>
    <s v="2020-07-08"/>
    <s v="西瓜"/>
    <x v="2"/>
  </r>
  <r>
    <s v="516"/>
    <s v="69小華超商"/>
    <n v="129000"/>
    <s v="2020-07-09"/>
    <s v="鳳梨"/>
    <x v="8"/>
  </r>
  <r>
    <s v="517"/>
    <s v="69小華超商"/>
    <n v="142000"/>
    <s v="2020-07-10"/>
    <s v="蘋果"/>
    <x v="7"/>
  </r>
  <r>
    <s v="518"/>
    <s v="布林食品公司"/>
    <n v="253000"/>
    <s v="2020-07-12"/>
    <s v="鳳梨"/>
    <x v="6"/>
  </r>
  <r>
    <s v="519"/>
    <s v="布林食品公司"/>
    <n v="187000"/>
    <s v="2020-07-13"/>
    <s v="西瓜"/>
    <x v="3"/>
  </r>
  <r>
    <s v="520"/>
    <s v="清泉水果產銷"/>
    <n v="243000"/>
    <s v="2020-07-14"/>
    <s v="西瓜"/>
    <x v="5"/>
  </r>
  <r>
    <s v="521"/>
    <s v="布林食品公司"/>
    <n v="268000"/>
    <s v="2020-07-14"/>
    <s v="鳳梨"/>
    <x v="2"/>
  </r>
  <r>
    <s v="522"/>
    <s v="愉悅水果運銷"/>
    <n v="68000"/>
    <s v="2020-07-16"/>
    <s v="西瓜"/>
    <x v="8"/>
  </r>
  <r>
    <s v="523"/>
    <s v="品國水果行"/>
    <n v="278000"/>
    <s v="2020-07-18"/>
    <s v="蘋果"/>
    <x v="4"/>
  </r>
  <r>
    <s v="524"/>
    <s v="品國水果行"/>
    <n v="198000"/>
    <s v="2020-07-18"/>
    <s v="柚子"/>
    <x v="7"/>
  </r>
  <r>
    <s v="525"/>
    <s v="愉悅水果運銷"/>
    <n v="83000"/>
    <s v="2020-07-19"/>
    <s v="芒果"/>
    <x v="8"/>
  </r>
  <r>
    <s v="526"/>
    <s v="清泉水果產銷"/>
    <n v="92000"/>
    <s v="2020-07-20"/>
    <s v="鳳梨"/>
    <x v="1"/>
  </r>
  <r>
    <s v="527"/>
    <s v="樂活超市"/>
    <n v="145000"/>
    <s v="2020-07-20"/>
    <s v="蘋果"/>
    <x v="7"/>
  </r>
  <r>
    <s v="528"/>
    <s v="品國水果行"/>
    <n v="218000"/>
    <s v="2020-07-21"/>
    <s v="香蕉"/>
    <x v="3"/>
  </r>
  <r>
    <s v="529"/>
    <s v="愉悅水果運銷"/>
    <n v="224000"/>
    <s v="2020-07-21"/>
    <s v="西瓜"/>
    <x v="6"/>
  </r>
  <r>
    <s v="530"/>
    <s v="69小華超商"/>
    <n v="179000"/>
    <s v="2020-07-22"/>
    <s v="西瓜"/>
    <x v="1"/>
  </r>
  <r>
    <s v="531"/>
    <s v="松壽生鮮食超商"/>
    <n v="278000"/>
    <s v="2020-07-22"/>
    <s v="柚子"/>
    <x v="1"/>
  </r>
  <r>
    <s v="532"/>
    <s v="69小華超商"/>
    <n v="224000"/>
    <s v="2020-07-23"/>
    <s v="西瓜"/>
    <x v="3"/>
  </r>
  <r>
    <s v="533"/>
    <s v="清泉水果產銷"/>
    <n v="213000"/>
    <s v="2020-07-23"/>
    <s v="芒果"/>
    <x v="6"/>
  </r>
  <r>
    <s v="534"/>
    <s v="松壽生鮮食超商"/>
    <n v="80000"/>
    <s v="2020-07-23"/>
    <s v="芒果"/>
    <x v="7"/>
  </r>
  <r>
    <s v="535"/>
    <s v="清泉水果產銷"/>
    <n v="31000"/>
    <s v="2020-07-24"/>
    <s v="芒果"/>
    <x v="1"/>
  </r>
  <r>
    <s v="536"/>
    <s v="愉悅水果運銷"/>
    <n v="212000"/>
    <s v="2020-07-24"/>
    <s v="西瓜"/>
    <x v="7"/>
  </r>
  <r>
    <s v="537"/>
    <s v="樂活超市"/>
    <n v="109000"/>
    <s v="2020-07-25"/>
    <s v="香蕉"/>
    <x v="8"/>
  </r>
  <r>
    <s v="538"/>
    <s v="松壽生鮮食超商"/>
    <n v="233000"/>
    <s v="2020-07-28"/>
    <s v="西瓜"/>
    <x v="5"/>
  </r>
  <r>
    <s v="539"/>
    <s v="清泉水果產銷"/>
    <n v="77000"/>
    <s v="2020-07-28"/>
    <s v="蘋果"/>
    <x v="7"/>
  </r>
  <r>
    <s v="540"/>
    <s v="布林食品公司"/>
    <n v="267000"/>
    <s v="2020-07-28"/>
    <s v="柚子"/>
    <x v="2"/>
  </r>
  <r>
    <s v="541"/>
    <s v="69小華超商"/>
    <n v="183000"/>
    <s v="2020-07-30"/>
    <s v="西瓜"/>
    <x v="8"/>
  </r>
  <r>
    <s v="542"/>
    <s v="品國水果行"/>
    <n v="184000"/>
    <s v="2020-07-31"/>
    <s v="香蕉"/>
    <x v="1"/>
  </r>
  <r>
    <s v="543"/>
    <s v="布林食品公司"/>
    <n v="33000"/>
    <s v="2020-08-02"/>
    <s v="鳳梨"/>
    <x v="1"/>
  </r>
  <r>
    <s v="544"/>
    <s v="品國水果行"/>
    <n v="198000"/>
    <s v="2020-08-02"/>
    <s v="香蕉"/>
    <x v="3"/>
  </r>
  <r>
    <s v="545"/>
    <s v="愉悅水果運銷"/>
    <n v="132000"/>
    <s v="2020-08-03"/>
    <s v="芒果"/>
    <x v="7"/>
  </r>
  <r>
    <s v="546"/>
    <s v="愉悅水果運銷"/>
    <n v="40000"/>
    <s v="2020-08-04"/>
    <s v="香蕉"/>
    <x v="6"/>
  </r>
  <r>
    <s v="547"/>
    <s v="69小華超商"/>
    <n v="40000"/>
    <s v="2020-08-04"/>
    <s v="芒果"/>
    <x v="1"/>
  </r>
  <r>
    <s v="548"/>
    <s v="愉悅水果運銷"/>
    <n v="160000"/>
    <s v="2020-08-04"/>
    <s v="香蕉"/>
    <x v="2"/>
  </r>
  <r>
    <s v="549"/>
    <s v="布林食品公司"/>
    <n v="290000"/>
    <s v="2020-08-05"/>
    <s v="芒果"/>
    <x v="2"/>
  </r>
  <r>
    <s v="550"/>
    <s v="樂活超市"/>
    <n v="99000"/>
    <s v="2020-08-05"/>
    <s v="香蕉"/>
    <x v="4"/>
  </r>
  <r>
    <s v="551"/>
    <s v="樂活超市"/>
    <n v="161000"/>
    <s v="2020-08-08"/>
    <s v="柚子"/>
    <x v="7"/>
  </r>
  <r>
    <s v="552"/>
    <s v="樂活超市"/>
    <n v="281000"/>
    <s v="2020-08-09"/>
    <s v="西瓜"/>
    <x v="8"/>
  </r>
  <r>
    <s v="553"/>
    <s v="愉悅水果運銷"/>
    <n v="253000"/>
    <s v="2020-08-15"/>
    <s v="蘋果"/>
    <x v="5"/>
  </r>
  <r>
    <s v="554"/>
    <s v="樂活超市"/>
    <n v="225000"/>
    <s v="2020-08-15"/>
    <s v="柚子"/>
    <x v="1"/>
  </r>
  <r>
    <s v="555"/>
    <s v="69小華超商"/>
    <n v="86000"/>
    <s v="2020-08-16"/>
    <s v="柚子"/>
    <x v="7"/>
  </r>
  <r>
    <s v="556"/>
    <s v="布林食品公司"/>
    <n v="214000"/>
    <s v="2020-08-17"/>
    <s v="蘋果"/>
    <x v="3"/>
  </r>
  <r>
    <s v="557"/>
    <s v="品國水果行"/>
    <n v="139000"/>
    <s v="2020-08-17"/>
    <s v="香蕉"/>
    <x v="7"/>
  </r>
  <r>
    <s v="558"/>
    <s v="布林食品公司"/>
    <n v="176000"/>
    <s v="2020-08-17"/>
    <s v="柚子"/>
    <x v="7"/>
  </r>
  <r>
    <s v="559"/>
    <s v="松壽生鮮食超商"/>
    <n v="263000"/>
    <s v="2020-08-19"/>
    <s v="蘋果"/>
    <x v="4"/>
  </r>
  <r>
    <s v="560"/>
    <s v="69小華超商"/>
    <n v="252000"/>
    <s v="2020-08-19"/>
    <s v="香蕉"/>
    <x v="8"/>
  </r>
  <r>
    <s v="561"/>
    <s v="松壽生鮮食超商"/>
    <n v="188000"/>
    <s v="2020-08-20"/>
    <s v="香蕉"/>
    <x v="2"/>
  </r>
  <r>
    <s v="562"/>
    <s v="清泉水果產銷"/>
    <n v="51000"/>
    <s v="2020-08-21"/>
    <s v="芒果"/>
    <x v="8"/>
  </r>
  <r>
    <s v="563"/>
    <s v="愉悅水果運銷"/>
    <n v="204000"/>
    <s v="2020-08-21"/>
    <s v="柚子"/>
    <x v="1"/>
  </r>
  <r>
    <s v="564"/>
    <s v="愉悅水果運銷"/>
    <n v="245000"/>
    <s v="2020-08-21"/>
    <s v="柚子"/>
    <x v="2"/>
  </r>
  <r>
    <s v="565"/>
    <s v="愉悅水果運銷"/>
    <n v="31000"/>
    <s v="2020-08-22"/>
    <s v="柚子"/>
    <x v="6"/>
  </r>
  <r>
    <s v="566"/>
    <s v="布林食品公司"/>
    <n v="121000"/>
    <s v="2020-08-22"/>
    <s v="蘋果"/>
    <x v="4"/>
  </r>
  <r>
    <s v="567"/>
    <s v="品國水果行"/>
    <n v="57000"/>
    <s v="2020-08-23"/>
    <s v="西瓜"/>
    <x v="3"/>
  </r>
  <r>
    <s v="568"/>
    <s v="69小華超商"/>
    <n v="194000"/>
    <s v="2020-08-23"/>
    <s v="柚子"/>
    <x v="8"/>
  </r>
  <r>
    <s v="569"/>
    <s v="愉悅水果運銷"/>
    <n v="135000"/>
    <s v="2020-08-25"/>
    <s v="鳳梨"/>
    <x v="2"/>
  </r>
  <r>
    <s v="570"/>
    <s v="布林食品公司"/>
    <n v="102000"/>
    <s v="2020-08-26"/>
    <s v="鳳梨"/>
    <x v="1"/>
  </r>
  <r>
    <s v="571"/>
    <s v="69小華超商"/>
    <n v="150000"/>
    <s v="2020-08-27"/>
    <s v="鳳梨"/>
    <x v="5"/>
  </r>
  <r>
    <s v="572"/>
    <s v="清泉水果產銷"/>
    <n v="107000"/>
    <s v="2020-08-28"/>
    <s v="芒果"/>
    <x v="3"/>
  </r>
  <r>
    <s v="573"/>
    <s v="清泉水果產銷"/>
    <n v="109000"/>
    <s v="2020-08-30"/>
    <s v="香蕉"/>
    <x v="4"/>
  </r>
  <r>
    <s v="574"/>
    <s v="清泉水果產銷"/>
    <n v="55000"/>
    <s v="2020-08-31"/>
    <s v="柚子"/>
    <x v="8"/>
  </r>
  <r>
    <s v="575"/>
    <s v="樂活超市"/>
    <n v="247000"/>
    <s v="2020-09-01"/>
    <s v="蘋果"/>
    <x v="4"/>
  </r>
  <r>
    <s v="576"/>
    <s v="品國水果行"/>
    <n v="85000"/>
    <s v="2020-09-05"/>
    <s v="西瓜"/>
    <x v="3"/>
  </r>
  <r>
    <s v="577"/>
    <s v="清泉水果產銷"/>
    <n v="191000"/>
    <s v="2020-09-06"/>
    <s v="柚子"/>
    <x v="6"/>
  </r>
  <r>
    <s v="578"/>
    <s v="樂活超市"/>
    <n v="137000"/>
    <s v="2020-09-10"/>
    <s v="香蕉"/>
    <x v="7"/>
  </r>
  <r>
    <s v="579"/>
    <s v="清泉水果產銷"/>
    <n v="245000"/>
    <s v="2020-09-10"/>
    <s v="香蕉"/>
    <x v="8"/>
  </r>
  <r>
    <s v="580"/>
    <s v="樂活超市"/>
    <n v="299000"/>
    <s v="2020-09-11"/>
    <s v="西瓜"/>
    <x v="8"/>
  </r>
  <r>
    <s v="581"/>
    <s v="樂活超市"/>
    <n v="134000"/>
    <s v="2020-09-11"/>
    <s v="柚子"/>
    <x v="8"/>
  </r>
  <r>
    <s v="582"/>
    <s v="布林食品公司"/>
    <n v="170000"/>
    <s v="2020-09-13"/>
    <s v="西瓜"/>
    <x v="5"/>
  </r>
  <r>
    <s v="583"/>
    <s v="69小華超商"/>
    <n v="224000"/>
    <s v="2020-09-13"/>
    <s v="芒果"/>
    <x v="3"/>
  </r>
  <r>
    <s v="584"/>
    <s v="松壽生鮮食超商"/>
    <n v="162000"/>
    <s v="2020-09-14"/>
    <s v="芒果"/>
    <x v="2"/>
  </r>
  <r>
    <s v="585"/>
    <s v="松壽生鮮食超商"/>
    <n v="163000"/>
    <s v="2020-09-16"/>
    <s v="蘋果"/>
    <x v="5"/>
  </r>
  <r>
    <s v="586"/>
    <s v="布林食品公司"/>
    <n v="119000"/>
    <s v="2020-09-16"/>
    <s v="柚子"/>
    <x v="7"/>
  </r>
  <r>
    <s v="587"/>
    <s v="品國水果行"/>
    <n v="99000"/>
    <s v="2020-09-17"/>
    <s v="鳳梨"/>
    <x v="1"/>
  </r>
  <r>
    <s v="588"/>
    <s v="愉悅水果運銷"/>
    <n v="164000"/>
    <s v="2020-09-18"/>
    <s v="柚子"/>
    <x v="7"/>
  </r>
  <r>
    <s v="589"/>
    <s v="布林食品公司"/>
    <n v="58000"/>
    <s v="2020-09-20"/>
    <s v="柚子"/>
    <x v="3"/>
  </r>
  <r>
    <s v="590"/>
    <s v="布林食品公司"/>
    <n v="41000"/>
    <s v="2020-09-21"/>
    <s v="芒果"/>
    <x v="6"/>
  </r>
  <r>
    <s v="591"/>
    <s v="愉悅水果運銷"/>
    <n v="87000"/>
    <s v="2020-09-23"/>
    <s v="香蕉"/>
    <x v="7"/>
  </r>
  <r>
    <s v="592"/>
    <s v="樂活超市"/>
    <n v="279000"/>
    <s v="2020-09-24"/>
    <s v="柚子"/>
    <x v="2"/>
  </r>
  <r>
    <s v="593"/>
    <s v="布林食品公司"/>
    <n v="168000"/>
    <s v="2020-09-24"/>
    <s v="鳳梨"/>
    <x v="1"/>
  </r>
  <r>
    <s v="594"/>
    <s v="清泉水果產銷"/>
    <n v="48000"/>
    <s v="2020-09-28"/>
    <s v="西瓜"/>
    <x v="3"/>
  </r>
  <r>
    <s v="595"/>
    <s v="69小華超商"/>
    <n v="101000"/>
    <s v="2020-09-30"/>
    <s v="西瓜"/>
    <x v="4"/>
  </r>
  <r>
    <s v="596"/>
    <s v="愉悅水果運銷"/>
    <n v="287000"/>
    <s v="2020-09-30"/>
    <s v="柚子"/>
    <x v="3"/>
  </r>
  <r>
    <s v="597"/>
    <s v="布林食品公司"/>
    <n v="173000"/>
    <s v="2020-10-02"/>
    <s v="西瓜"/>
    <x v="4"/>
  </r>
  <r>
    <s v="598"/>
    <s v="愉悅水果運銷"/>
    <n v="290000"/>
    <s v="2020-10-04"/>
    <s v="柚子"/>
    <x v="6"/>
  </r>
  <r>
    <s v="599"/>
    <s v="品國水果行"/>
    <n v="299000"/>
    <s v="2020-10-04"/>
    <s v="鳳梨"/>
    <x v="5"/>
  </r>
  <r>
    <s v="600"/>
    <s v="69小華超商"/>
    <n v="163000"/>
    <s v="2020-10-05"/>
    <s v="西瓜"/>
    <x v="4"/>
  </r>
  <r>
    <s v="601"/>
    <s v="愉悅水果運銷"/>
    <n v="199000"/>
    <s v="2020-10-05"/>
    <s v="香蕉"/>
    <x v="4"/>
  </r>
  <r>
    <s v="602"/>
    <s v="69小華超商"/>
    <n v="251000"/>
    <s v="2020-10-06"/>
    <s v="芒果"/>
    <x v="2"/>
  </r>
  <r>
    <s v="603"/>
    <s v="愉悅水果運銷"/>
    <n v="187000"/>
    <s v="2020-10-07"/>
    <s v="蘋果"/>
    <x v="1"/>
  </r>
  <r>
    <s v="604"/>
    <s v="愉悅水果運銷"/>
    <n v="33000"/>
    <s v="2020-10-10"/>
    <s v="鳳梨"/>
    <x v="4"/>
  </r>
  <r>
    <s v="605"/>
    <s v="愉悅水果運銷"/>
    <n v="176000"/>
    <s v="2020-10-12"/>
    <s v="柚子"/>
    <x v="2"/>
  </r>
  <r>
    <s v="606"/>
    <s v="松壽生鮮食超商"/>
    <n v="220000"/>
    <s v="2020-10-14"/>
    <s v="柚子"/>
    <x v="6"/>
  </r>
  <r>
    <s v="607"/>
    <s v="69小華超商"/>
    <n v="76000"/>
    <s v="2020-10-14"/>
    <s v="鳳梨"/>
    <x v="1"/>
  </r>
  <r>
    <s v="608"/>
    <s v="樂活超市"/>
    <n v="187000"/>
    <s v="2020-10-14"/>
    <s v="芒果"/>
    <x v="1"/>
  </r>
  <r>
    <s v="609"/>
    <s v="69小華超商"/>
    <n v="225000"/>
    <s v="2020-10-16"/>
    <s v="芒果"/>
    <x v="8"/>
  </r>
  <r>
    <s v="610"/>
    <s v="愉悅水果運銷"/>
    <n v="283000"/>
    <s v="2020-10-18"/>
    <s v="蘋果"/>
    <x v="1"/>
  </r>
  <r>
    <s v="611"/>
    <s v="品國水果行"/>
    <n v="225000"/>
    <s v="2020-10-19"/>
    <s v="香蕉"/>
    <x v="7"/>
  </r>
  <r>
    <s v="612"/>
    <s v="愉悅水果運銷"/>
    <n v="44000"/>
    <s v="2020-10-21"/>
    <s v="香蕉"/>
    <x v="4"/>
  </r>
  <r>
    <s v="613"/>
    <s v="愉悅水果運銷"/>
    <n v="132000"/>
    <s v="2020-10-21"/>
    <s v="西瓜"/>
    <x v="0"/>
  </r>
  <r>
    <s v="614"/>
    <s v="69小華超商"/>
    <n v="202000"/>
    <s v="2020-10-21"/>
    <s v="柚子"/>
    <x v="1"/>
  </r>
  <r>
    <s v="615"/>
    <s v="樂活超市"/>
    <n v="261000"/>
    <s v="2020-10-22"/>
    <s v="柚子"/>
    <x v="3"/>
  </r>
  <r>
    <s v="616"/>
    <s v="品國水果行"/>
    <n v="213000"/>
    <s v="2020-10-24"/>
    <s v="蘋果"/>
    <x v="8"/>
  </r>
  <r>
    <s v="617"/>
    <s v="清泉水果產銷"/>
    <n v="296000"/>
    <s v="2020-10-26"/>
    <s v="芒果"/>
    <x v="0"/>
  </r>
  <r>
    <s v="618"/>
    <s v="樂活超市"/>
    <n v="169000"/>
    <s v="2020-10-26"/>
    <s v="蘋果"/>
    <x v="4"/>
  </r>
  <r>
    <s v="619"/>
    <s v="松壽生鮮食超商"/>
    <n v="64000"/>
    <s v="2020-10-26"/>
    <s v="柚子"/>
    <x v="4"/>
  </r>
  <r>
    <s v="620"/>
    <s v="松壽生鮮食超商"/>
    <n v="101000"/>
    <s v="2020-10-27"/>
    <s v="蘋果"/>
    <x v="8"/>
  </r>
  <r>
    <s v="621"/>
    <s v="品國水果行"/>
    <n v="87000"/>
    <s v="2020-10-29"/>
    <s v="西瓜"/>
    <x v="1"/>
  </r>
  <r>
    <s v="622"/>
    <s v="樂活超市"/>
    <n v="195000"/>
    <s v="2020-10-31"/>
    <s v="柚子"/>
    <x v="4"/>
  </r>
  <r>
    <s v="623"/>
    <s v="愉悅水果運銷"/>
    <n v="103000"/>
    <s v="2020-11-01"/>
    <s v="柚子"/>
    <x v="8"/>
  </r>
  <r>
    <s v="624"/>
    <s v="69小華超商"/>
    <n v="262000"/>
    <s v="2020-11-01"/>
    <s v="西瓜"/>
    <x v="4"/>
  </r>
  <r>
    <s v="625"/>
    <s v="樂活超市"/>
    <n v="91000"/>
    <s v="2020-11-01"/>
    <s v="蘋果"/>
    <x v="2"/>
  </r>
  <r>
    <s v="626"/>
    <s v="松壽生鮮食超商"/>
    <n v="78000"/>
    <s v="2020-11-02"/>
    <s v="香蕉"/>
    <x v="1"/>
  </r>
  <r>
    <s v="627"/>
    <s v="樂活超市"/>
    <n v="232000"/>
    <s v="2020-11-02"/>
    <s v="西瓜"/>
    <x v="6"/>
  </r>
  <r>
    <s v="628"/>
    <s v="布林食品公司"/>
    <n v="288000"/>
    <s v="2020-11-04"/>
    <s v="蘋果"/>
    <x v="5"/>
  </r>
  <r>
    <s v="629"/>
    <s v="清泉水果產銷"/>
    <n v="58000"/>
    <s v="2020-11-06"/>
    <s v="蘋果"/>
    <x v="6"/>
  </r>
  <r>
    <s v="630"/>
    <s v="愉悅水果運銷"/>
    <n v="55000"/>
    <s v="2020-11-09"/>
    <s v="芒果"/>
    <x v="2"/>
  </r>
  <r>
    <s v="631"/>
    <s v="品國水果行"/>
    <n v="61000"/>
    <s v="2020-11-10"/>
    <s v="鳳梨"/>
    <x v="5"/>
  </r>
  <r>
    <s v="632"/>
    <s v="樂活超市"/>
    <n v="211000"/>
    <s v="2020-11-11"/>
    <s v="西瓜"/>
    <x v="8"/>
  </r>
  <r>
    <s v="633"/>
    <s v="品國水果行"/>
    <n v="197000"/>
    <s v="2020-11-12"/>
    <s v="香蕉"/>
    <x v="3"/>
  </r>
  <r>
    <s v="634"/>
    <s v="樂活超市"/>
    <n v="69000"/>
    <s v="2020-11-15"/>
    <s v="鳳梨"/>
    <x v="6"/>
  </r>
  <r>
    <s v="635"/>
    <s v="品國水果行"/>
    <n v="123000"/>
    <s v="2020-11-16"/>
    <s v="芒果"/>
    <x v="6"/>
  </r>
  <r>
    <s v="636"/>
    <s v="69小華超商"/>
    <n v="157000"/>
    <s v="2020-11-17"/>
    <s v="芒果"/>
    <x v="1"/>
  </r>
  <r>
    <s v="637"/>
    <s v="清泉水果產銷"/>
    <n v="110000"/>
    <s v="2020-11-19"/>
    <s v="柚子"/>
    <x v="5"/>
  </r>
  <r>
    <s v="638"/>
    <s v="品國水果行"/>
    <n v="167000"/>
    <s v="2020-11-20"/>
    <s v="柚子"/>
    <x v="6"/>
  </r>
  <r>
    <s v="639"/>
    <s v="清泉水果產銷"/>
    <n v="161000"/>
    <s v="2020-11-20"/>
    <s v="蘋果"/>
    <x v="7"/>
  </r>
  <r>
    <s v="640"/>
    <s v="69小華超商"/>
    <n v="241000"/>
    <s v="2020-11-22"/>
    <s v="蘋果"/>
    <x v="8"/>
  </r>
  <r>
    <s v="641"/>
    <s v="愉悅水果運銷"/>
    <n v="216000"/>
    <s v="2020-11-22"/>
    <s v="蘋果"/>
    <x v="7"/>
  </r>
  <r>
    <s v="642"/>
    <s v="樂活超市"/>
    <n v="39000"/>
    <s v="2020-11-24"/>
    <s v="西瓜"/>
    <x v="5"/>
  </r>
  <r>
    <s v="643"/>
    <s v="布林食品公司"/>
    <n v="152000"/>
    <s v="2020-11-30"/>
    <s v="芒果"/>
    <x v="6"/>
  </r>
  <r>
    <s v="644"/>
    <s v="品國水果行"/>
    <n v="61000"/>
    <s v="2020-12-03"/>
    <s v="蘋果"/>
    <x v="8"/>
  </r>
  <r>
    <s v="645"/>
    <s v="69小華超商"/>
    <n v="41000"/>
    <s v="2020-12-03"/>
    <s v="柚子"/>
    <x v="3"/>
  </r>
  <r>
    <s v="646"/>
    <s v="愉悅水果運銷"/>
    <n v="102000"/>
    <s v="2020-12-04"/>
    <s v="鳳梨"/>
    <x v="1"/>
  </r>
  <r>
    <s v="647"/>
    <s v="樂活超市"/>
    <n v="79000"/>
    <s v="2020-12-05"/>
    <s v="香蕉"/>
    <x v="2"/>
  </r>
  <r>
    <s v="648"/>
    <s v="69小華超商"/>
    <n v="47000"/>
    <s v="2020-12-05"/>
    <s v="西瓜"/>
    <x v="3"/>
  </r>
  <r>
    <s v="649"/>
    <s v="布林食品公司"/>
    <n v="91000"/>
    <s v="2020-12-06"/>
    <s v="鳳梨"/>
    <x v="7"/>
  </r>
  <r>
    <s v="650"/>
    <s v="品國水果行"/>
    <n v="65000"/>
    <s v="2020-12-07"/>
    <s v="鳳梨"/>
    <x v="6"/>
  </r>
  <r>
    <s v="651"/>
    <s v="松壽生鮮食超商"/>
    <n v="125000"/>
    <s v="2020-12-08"/>
    <s v="柚子"/>
    <x v="6"/>
  </r>
  <r>
    <s v="652"/>
    <s v="松壽生鮮食超商"/>
    <n v="198000"/>
    <s v="2020-12-10"/>
    <s v="柚子"/>
    <x v="8"/>
  </r>
  <r>
    <s v="653"/>
    <s v="品國水果行"/>
    <n v="116000"/>
    <s v="2020-12-11"/>
    <s v="蘋果"/>
    <x v="1"/>
  </r>
  <r>
    <s v="654"/>
    <s v="愉悅水果運銷"/>
    <n v="255000"/>
    <s v="2020-12-11"/>
    <s v="香蕉"/>
    <x v="1"/>
  </r>
  <r>
    <s v="655"/>
    <s v="清泉水果產銷"/>
    <n v="120000"/>
    <s v="2020-12-12"/>
    <s v="鳳梨"/>
    <x v="6"/>
  </r>
  <r>
    <s v="656"/>
    <s v="69小華超商"/>
    <n v="68000"/>
    <s v="2020-12-15"/>
    <s v="芒果"/>
    <x v="8"/>
  </r>
  <r>
    <s v="657"/>
    <s v="布林食品公司"/>
    <n v="67000"/>
    <s v="2020-12-15"/>
    <s v="香蕉"/>
    <x v="5"/>
  </r>
  <r>
    <s v="658"/>
    <s v="69小華超商"/>
    <n v="173000"/>
    <s v="2020-12-19"/>
    <s v="蘋果"/>
    <x v="8"/>
  </r>
  <r>
    <s v="659"/>
    <s v="松壽生鮮食超商"/>
    <n v="178000"/>
    <s v="2020-12-19"/>
    <s v="鳳梨"/>
    <x v="2"/>
  </r>
  <r>
    <s v="660"/>
    <s v="品國水果行"/>
    <n v="252000"/>
    <s v="2020-12-20"/>
    <s v="鳳梨"/>
    <x v="0"/>
  </r>
  <r>
    <s v="661"/>
    <s v="樂活超市"/>
    <n v="217000"/>
    <s v="2020-12-22"/>
    <s v="西瓜"/>
    <x v="6"/>
  </r>
  <r>
    <s v="662"/>
    <s v="69小華超商"/>
    <n v="224000"/>
    <s v="2020-12-23"/>
    <s v="蘋果"/>
    <x v="8"/>
  </r>
  <r>
    <s v="663"/>
    <s v="69小華超商"/>
    <n v="252000"/>
    <s v="2020-12-25"/>
    <s v="蘋果"/>
    <x v="7"/>
  </r>
  <r>
    <s v="664"/>
    <s v="樂活超市"/>
    <n v="130000"/>
    <s v="2020-12-25"/>
    <s v="芒果"/>
    <x v="5"/>
  </r>
  <r>
    <s v="665"/>
    <s v="品國水果行"/>
    <n v="297000"/>
    <s v="2020-12-26"/>
    <s v="芒果"/>
    <x v="2"/>
  </r>
  <r>
    <s v="666"/>
    <s v="布林食品公司"/>
    <n v="179000"/>
    <s v="2020-12-27"/>
    <s v="芒果"/>
    <x v="7"/>
  </r>
  <r>
    <s v="667"/>
    <s v="松壽生鮮食超商"/>
    <n v="264000"/>
    <s v="2020-12-27"/>
    <s v="蘋果"/>
    <x v="0"/>
  </r>
  <r>
    <s v="668"/>
    <s v="布林食品公司"/>
    <n v="212000"/>
    <s v="2020-12-28"/>
    <s v="蘋果"/>
    <x v="7"/>
  </r>
  <r>
    <s v="669"/>
    <s v="愉悅水果運銷"/>
    <n v="153000"/>
    <s v="2020-12-29"/>
    <s v="香蕉"/>
    <x v="1"/>
  </r>
  <r>
    <s v="670"/>
    <s v="69小華超商"/>
    <n v="176000"/>
    <s v="2020-12-29"/>
    <s v="蘋果"/>
    <x v="0"/>
  </r>
  <r>
    <s v="671"/>
    <s v="松壽生鮮食超商"/>
    <n v="38000"/>
    <s v="2020-12-30"/>
    <s v="蘋果"/>
    <x v="4"/>
  </r>
  <r>
    <s v="672"/>
    <s v="松壽生鮮食超商"/>
    <n v="153000"/>
    <s v="2020-12-30"/>
    <s v="芒果"/>
    <x v="0"/>
  </r>
  <r>
    <s v="673"/>
    <s v="愉悅水果運銷"/>
    <n v="166000"/>
    <s v="2021-01-01"/>
    <s v="芒果"/>
    <x v="5"/>
  </r>
  <r>
    <s v="674"/>
    <s v="布林食品公司"/>
    <n v="269000"/>
    <s v="2021-01-05"/>
    <s v="蘋果"/>
    <x v="8"/>
  </r>
  <r>
    <s v="675"/>
    <s v="樂活超市"/>
    <n v="69000"/>
    <s v="2021-01-05"/>
    <s v="柚子"/>
    <x v="6"/>
  </r>
  <r>
    <s v="676"/>
    <s v="愉悅水果運銷"/>
    <n v="276000"/>
    <s v="2021-01-07"/>
    <s v="香蕉"/>
    <x v="8"/>
  </r>
  <r>
    <s v="677"/>
    <s v="愉悅水果運銷"/>
    <n v="50000"/>
    <s v="2021-01-07"/>
    <s v="鳳梨"/>
    <x v="2"/>
  </r>
  <r>
    <s v="678"/>
    <s v="布林食品公司"/>
    <n v="79000"/>
    <s v="2021-01-08"/>
    <s v="香蕉"/>
    <x v="8"/>
  </r>
  <r>
    <s v="679"/>
    <s v="愉悅水果運銷"/>
    <n v="266000"/>
    <s v="2021-01-09"/>
    <s v="蘋果"/>
    <x v="5"/>
  </r>
  <r>
    <s v="680"/>
    <s v="愉悅水果運銷"/>
    <n v="249000"/>
    <s v="2021-01-09"/>
    <s v="芒果"/>
    <x v="6"/>
  </r>
  <r>
    <s v="681"/>
    <s v="愉悅水果運銷"/>
    <n v="98000"/>
    <s v="2021-01-09"/>
    <s v="蘋果"/>
    <x v="5"/>
  </r>
  <r>
    <s v="682"/>
    <s v="愉悅水果運銷"/>
    <n v="161000"/>
    <s v="2021-01-09"/>
    <s v="蘋果"/>
    <x v="8"/>
  </r>
  <r>
    <s v="683"/>
    <s v="69小華超商"/>
    <n v="175000"/>
    <s v="2021-01-10"/>
    <s v="西瓜"/>
    <x v="8"/>
  </r>
  <r>
    <s v="684"/>
    <s v="69小華超商"/>
    <n v="249000"/>
    <s v="2021-01-10"/>
    <s v="鳳梨"/>
    <x v="2"/>
  </r>
  <r>
    <s v="685"/>
    <s v="樂活超市"/>
    <n v="182000"/>
    <s v="2021-01-13"/>
    <s v="芒果"/>
    <x v="8"/>
  </r>
  <r>
    <s v="686"/>
    <s v="69小華超商"/>
    <n v="251000"/>
    <s v="2021-01-13"/>
    <s v="芒果"/>
    <x v="3"/>
  </r>
  <r>
    <s v="687"/>
    <s v="樂活超市"/>
    <n v="133000"/>
    <s v="2021-01-17"/>
    <s v="鳳梨"/>
    <x v="0"/>
  </r>
  <r>
    <s v="688"/>
    <s v="樂活超市"/>
    <n v="179000"/>
    <s v="2021-01-18"/>
    <s v="西瓜"/>
    <x v="8"/>
  </r>
  <r>
    <s v="689"/>
    <s v="清泉水果產銷"/>
    <n v="149000"/>
    <s v="2021-01-18"/>
    <s v="西瓜"/>
    <x v="6"/>
  </r>
  <r>
    <s v="690"/>
    <s v="布林食品公司"/>
    <n v="247000"/>
    <s v="2021-01-21"/>
    <s v="柚子"/>
    <x v="3"/>
  </r>
  <r>
    <s v="691"/>
    <s v="品國水果行"/>
    <n v="272000"/>
    <s v="2021-01-22"/>
    <s v="蘋果"/>
    <x v="8"/>
  </r>
  <r>
    <s v="692"/>
    <s v="松壽生鮮食超商"/>
    <n v="107000"/>
    <s v="2021-01-24"/>
    <s v="柚子"/>
    <x v="7"/>
  </r>
  <r>
    <s v="693"/>
    <s v="清泉水果產銷"/>
    <n v="289000"/>
    <s v="2021-01-25"/>
    <s v="西瓜"/>
    <x v="0"/>
  </r>
  <r>
    <s v="694"/>
    <s v="品國水果行"/>
    <n v="214000"/>
    <s v="2021-01-27"/>
    <s v="芒果"/>
    <x v="3"/>
  </r>
  <r>
    <s v="695"/>
    <s v="樂活超市"/>
    <n v="195000"/>
    <s v="2021-01-28"/>
    <s v="鳳梨"/>
    <x v="1"/>
  </r>
  <r>
    <s v="696"/>
    <s v="愉悅水果運銷"/>
    <n v="264000"/>
    <s v="2021-01-28"/>
    <s v="香蕉"/>
    <x v="8"/>
  </r>
  <r>
    <s v="697"/>
    <s v="69小華超商"/>
    <n v="242000"/>
    <s v="2021-01-31"/>
    <s v="柚子"/>
    <x v="4"/>
  </r>
  <r>
    <s v="698"/>
    <s v="布林食品公司"/>
    <n v="252000"/>
    <s v="2021-01-31"/>
    <s v="柚子"/>
    <x v="4"/>
  </r>
  <r>
    <s v="699"/>
    <s v="清泉水果產銷"/>
    <n v="200000"/>
    <s v="2021-02-01"/>
    <s v="西瓜"/>
    <x v="5"/>
  </r>
  <r>
    <s v="700"/>
    <s v="69小華超商"/>
    <n v="90000"/>
    <s v="2021-02-03"/>
    <s v="芒果"/>
    <x v="8"/>
  </r>
  <r>
    <s v="701"/>
    <s v="清泉水果產銷"/>
    <n v="266000"/>
    <s v="2021-02-03"/>
    <s v="柚子"/>
    <x v="0"/>
  </r>
  <r>
    <s v="702"/>
    <s v="布林食品公司"/>
    <n v="73000"/>
    <s v="2021-02-04"/>
    <s v="柚子"/>
    <x v="5"/>
  </r>
  <r>
    <s v="703"/>
    <s v="愉悅水果運銷"/>
    <n v="84000"/>
    <s v="2021-02-08"/>
    <s v="芒果"/>
    <x v="1"/>
  </r>
  <r>
    <s v="704"/>
    <s v="品國水果行"/>
    <n v="261000"/>
    <s v="2021-02-08"/>
    <s v="柚子"/>
    <x v="5"/>
  </r>
  <r>
    <s v="705"/>
    <s v="69小華超商"/>
    <n v="69000"/>
    <s v="2021-02-09"/>
    <s v="芒果"/>
    <x v="8"/>
  </r>
  <r>
    <s v="706"/>
    <s v="樂活超市"/>
    <n v="175000"/>
    <s v="2021-02-10"/>
    <s v="蘋果"/>
    <x v="0"/>
  </r>
  <r>
    <s v="707"/>
    <s v="樂活超市"/>
    <n v="39000"/>
    <s v="2021-02-12"/>
    <s v="芒果"/>
    <x v="1"/>
  </r>
  <r>
    <s v="708"/>
    <s v="布林食品公司"/>
    <n v="185000"/>
    <s v="2021-02-13"/>
    <s v="香蕉"/>
    <x v="7"/>
  </r>
  <r>
    <s v="709"/>
    <s v="清泉水果產銷"/>
    <n v="240000"/>
    <s v="2021-02-13"/>
    <s v="香蕉"/>
    <x v="3"/>
  </r>
  <r>
    <s v="710"/>
    <s v="清泉水果產銷"/>
    <n v="211000"/>
    <s v="2021-02-14"/>
    <s v="鳳梨"/>
    <x v="1"/>
  </r>
  <r>
    <s v="711"/>
    <s v="69小華超商"/>
    <n v="291000"/>
    <s v="2021-02-15"/>
    <s v="香蕉"/>
    <x v="7"/>
  </r>
  <r>
    <s v="712"/>
    <s v="愉悅水果運銷"/>
    <n v="201000"/>
    <s v="2021-02-15"/>
    <s v="柚子"/>
    <x v="2"/>
  </r>
  <r>
    <s v="713"/>
    <s v="品國水果行"/>
    <n v="120000"/>
    <s v="2021-02-18"/>
    <s v="芒果"/>
    <x v="1"/>
  </r>
  <r>
    <s v="714"/>
    <s v="樂活超市"/>
    <n v="45000"/>
    <s v="2021-02-18"/>
    <s v="香蕉"/>
    <x v="5"/>
  </r>
  <r>
    <s v="715"/>
    <s v="69小華超商"/>
    <n v="135000"/>
    <s v="2021-02-20"/>
    <s v="芒果"/>
    <x v="8"/>
  </r>
  <r>
    <s v="716"/>
    <s v="清泉水果產銷"/>
    <n v="211000"/>
    <s v="2021-02-22"/>
    <s v="芒果"/>
    <x v="2"/>
  </r>
  <r>
    <s v="717"/>
    <s v="愉悅水果運銷"/>
    <n v="230000"/>
    <s v="2021-02-24"/>
    <s v="芒果"/>
    <x v="7"/>
  </r>
  <r>
    <s v="718"/>
    <s v="品國水果行"/>
    <n v="249000"/>
    <s v="2021-02-24"/>
    <s v="香蕉"/>
    <x v="7"/>
  </r>
  <r>
    <s v="719"/>
    <s v="69小華超商"/>
    <n v="200000"/>
    <s v="2021-02-24"/>
    <s v="蘋果"/>
    <x v="2"/>
  </r>
  <r>
    <s v="720"/>
    <s v="愉悅水果運銷"/>
    <n v="270000"/>
    <s v="2021-02-27"/>
    <s v="蘋果"/>
    <x v="3"/>
  </r>
  <r>
    <s v="721"/>
    <s v="樂活超市"/>
    <n v="169000"/>
    <s v="2021-03-02"/>
    <s v="鳳梨"/>
    <x v="0"/>
  </r>
  <r>
    <s v="722"/>
    <s v="布林食品公司"/>
    <n v="99000"/>
    <s v="2021-03-03"/>
    <s v="西瓜"/>
    <x v="5"/>
  </r>
  <r>
    <s v="723"/>
    <s v="69小華超商"/>
    <n v="60000"/>
    <s v="2021-03-04"/>
    <s v="鳳梨"/>
    <x v="8"/>
  </r>
  <r>
    <s v="724"/>
    <s v="清泉水果產銷"/>
    <n v="248000"/>
    <s v="2021-03-04"/>
    <s v="芒果"/>
    <x v="3"/>
  </r>
  <r>
    <s v="725"/>
    <s v="樂活超市"/>
    <n v="36000"/>
    <s v="2021-03-04"/>
    <s v="蘋果"/>
    <x v="8"/>
  </r>
  <r>
    <s v="726"/>
    <s v="樂活超市"/>
    <n v="55000"/>
    <s v="2021-03-04"/>
    <s v="香蕉"/>
    <x v="4"/>
  </r>
  <r>
    <s v="727"/>
    <s v="布林食品公司"/>
    <n v="139000"/>
    <s v="2021-03-05"/>
    <s v="香蕉"/>
    <x v="6"/>
  </r>
  <r>
    <s v="728"/>
    <s v="愉悅水果運銷"/>
    <n v="291000"/>
    <s v="2021-03-06"/>
    <s v="蘋果"/>
    <x v="5"/>
  </r>
  <r>
    <s v="729"/>
    <s v="松壽生鮮食超商"/>
    <n v="102000"/>
    <s v="2021-03-07"/>
    <s v="蘋果"/>
    <x v="8"/>
  </r>
  <r>
    <s v="730"/>
    <s v="愉悅水果運銷"/>
    <n v="131000"/>
    <s v="2021-03-10"/>
    <s v="蘋果"/>
    <x v="4"/>
  </r>
  <r>
    <s v="731"/>
    <s v="松壽生鮮食超商"/>
    <n v="282000"/>
    <s v="2021-03-11"/>
    <s v="蘋果"/>
    <x v="0"/>
  </r>
  <r>
    <s v="732"/>
    <s v="松壽生鮮食超商"/>
    <n v="291000"/>
    <s v="2021-03-13"/>
    <s v="香蕉"/>
    <x v="2"/>
  </r>
  <r>
    <s v="733"/>
    <s v="愉悅水果運銷"/>
    <n v="77000"/>
    <s v="2021-03-13"/>
    <s v="鳳梨"/>
    <x v="1"/>
  </r>
  <r>
    <s v="734"/>
    <s v="69小華超商"/>
    <n v="119000"/>
    <s v="2021-03-15"/>
    <s v="鳳梨"/>
    <x v="4"/>
  </r>
  <r>
    <s v="735"/>
    <s v="松壽生鮮食超商"/>
    <n v="274000"/>
    <s v="2021-03-18"/>
    <s v="西瓜"/>
    <x v="0"/>
  </r>
  <r>
    <s v="736"/>
    <s v="愉悅水果運銷"/>
    <n v="238000"/>
    <s v="2021-03-19"/>
    <s v="香蕉"/>
    <x v="3"/>
  </r>
  <r>
    <s v="737"/>
    <s v="松壽生鮮食超商"/>
    <n v="158000"/>
    <s v="2021-03-19"/>
    <s v="芒果"/>
    <x v="6"/>
  </r>
  <r>
    <s v="738"/>
    <s v="布林食品公司"/>
    <n v="259000"/>
    <s v="2021-03-20"/>
    <s v="柚子"/>
    <x v="0"/>
  </r>
  <r>
    <s v="739"/>
    <s v="愉悅水果運銷"/>
    <n v="40000"/>
    <s v="2021-03-21"/>
    <s v="鳳梨"/>
    <x v="6"/>
  </r>
  <r>
    <s v="740"/>
    <s v="69小華超商"/>
    <n v="141000"/>
    <s v="2021-03-24"/>
    <s v="蘋果"/>
    <x v="5"/>
  </r>
  <r>
    <s v="741"/>
    <s v="69小華超商"/>
    <n v="237000"/>
    <s v="2021-03-25"/>
    <s v="芒果"/>
    <x v="5"/>
  </r>
  <r>
    <s v="742"/>
    <s v="布林食品公司"/>
    <n v="172000"/>
    <s v="2021-03-26"/>
    <s v="芒果"/>
    <x v="4"/>
  </r>
  <r>
    <s v="743"/>
    <s v="愉悅水果運銷"/>
    <n v="204000"/>
    <s v="2021-03-26"/>
    <s v="柚子"/>
    <x v="1"/>
  </r>
  <r>
    <s v="744"/>
    <s v="清泉水果產銷"/>
    <n v="158000"/>
    <s v="2021-03-26"/>
    <s v="鳳梨"/>
    <x v="2"/>
  </r>
  <r>
    <s v="745"/>
    <s v="清泉水果產銷"/>
    <n v="84000"/>
    <s v="2021-03-30"/>
    <s v="柚子"/>
    <x v="7"/>
  </r>
  <r>
    <s v="746"/>
    <s v="松壽生鮮食超商"/>
    <n v="102000"/>
    <s v="2021-03-31"/>
    <s v="鳳梨"/>
    <x v="1"/>
  </r>
  <r>
    <s v="747"/>
    <s v="清泉水果產銷"/>
    <n v="45000"/>
    <s v="2021-04-02"/>
    <s v="香蕉"/>
    <x v="7"/>
  </r>
  <r>
    <s v="748"/>
    <s v="愉悅水果運銷"/>
    <n v="181000"/>
    <s v="2021-04-02"/>
    <s v="蘋果"/>
    <x v="6"/>
  </r>
  <r>
    <s v="749"/>
    <s v="69小華超商"/>
    <n v="142000"/>
    <s v="2021-04-03"/>
    <s v="香蕉"/>
    <x v="8"/>
  </r>
  <r>
    <s v="750"/>
    <s v="樂活超市"/>
    <n v="103000"/>
    <s v="2021-04-03"/>
    <s v="香蕉"/>
    <x v="6"/>
  </r>
  <r>
    <s v="751"/>
    <s v="樂活超市"/>
    <n v="276000"/>
    <s v="2021-04-03"/>
    <s v="鳳梨"/>
    <x v="0"/>
  </r>
  <r>
    <s v="752"/>
    <s v="品國水果行"/>
    <n v="148000"/>
    <s v="2021-04-04"/>
    <s v="鳳梨"/>
    <x v="2"/>
  </r>
  <r>
    <s v="753"/>
    <s v="69小華超商"/>
    <n v="160000"/>
    <s v="2021-04-07"/>
    <s v="芒果"/>
    <x v="8"/>
  </r>
  <r>
    <s v="754"/>
    <s v="69小華超商"/>
    <n v="108000"/>
    <s v="2021-04-09"/>
    <s v="芒果"/>
    <x v="8"/>
  </r>
  <r>
    <s v="755"/>
    <s v="69小華超商"/>
    <n v="177000"/>
    <s v="2021-04-10"/>
    <s v="西瓜"/>
    <x v="5"/>
  </r>
  <r>
    <s v="756"/>
    <s v="清泉水果產銷"/>
    <n v="39000"/>
    <s v="2021-04-10"/>
    <s v="鳳梨"/>
    <x v="6"/>
  </r>
  <r>
    <s v="757"/>
    <s v="樂活超市"/>
    <n v="246000"/>
    <s v="2021-04-11"/>
    <s v="芒果"/>
    <x v="8"/>
  </r>
  <r>
    <s v="758"/>
    <s v="樂活超市"/>
    <n v="152000"/>
    <s v="2021-04-12"/>
    <s v="芒果"/>
    <x v="0"/>
  </r>
  <r>
    <s v="759"/>
    <s v="69小華超商"/>
    <n v="123000"/>
    <s v="2021-04-15"/>
    <s v="香蕉"/>
    <x v="1"/>
  </r>
  <r>
    <s v="760"/>
    <s v="松壽生鮮食超商"/>
    <n v="263000"/>
    <s v="2021-04-15"/>
    <s v="西瓜"/>
    <x v="6"/>
  </r>
  <r>
    <s v="761"/>
    <s v="清泉水果產銷"/>
    <n v="210000"/>
    <s v="2021-04-21"/>
    <s v="西瓜"/>
    <x v="0"/>
  </r>
  <r>
    <s v="762"/>
    <s v="愉悅水果運銷"/>
    <n v="197000"/>
    <s v="2021-04-22"/>
    <s v="蘋果"/>
    <x v="7"/>
  </r>
  <r>
    <s v="763"/>
    <s v="愉悅水果運銷"/>
    <n v="43000"/>
    <s v="2021-04-22"/>
    <s v="芒果"/>
    <x v="8"/>
  </r>
  <r>
    <s v="764"/>
    <s v="品國水果行"/>
    <n v="222000"/>
    <s v="2021-04-23"/>
    <s v="柚子"/>
    <x v="7"/>
  </r>
  <r>
    <s v="765"/>
    <s v="松壽生鮮食超商"/>
    <n v="203000"/>
    <s v="2021-04-23"/>
    <s v="柚子"/>
    <x v="4"/>
  </r>
  <r>
    <s v="766"/>
    <s v="松壽生鮮食超商"/>
    <n v="94000"/>
    <s v="2021-04-23"/>
    <s v="鳳梨"/>
    <x v="8"/>
  </r>
  <r>
    <s v="767"/>
    <s v="69小華超商"/>
    <n v="159000"/>
    <s v="2021-04-23"/>
    <s v="柚子"/>
    <x v="4"/>
  </r>
  <r>
    <s v="768"/>
    <s v="布林食品公司"/>
    <n v="300000"/>
    <s v="2021-04-23"/>
    <s v="鳳梨"/>
    <x v="4"/>
  </r>
  <r>
    <s v="769"/>
    <s v="松壽生鮮食超商"/>
    <n v="101000"/>
    <s v="2021-04-24"/>
    <s v="鳳梨"/>
    <x v="8"/>
  </r>
  <r>
    <s v="770"/>
    <s v="品國水果行"/>
    <n v="287000"/>
    <s v="2021-04-28"/>
    <s v="鳳梨"/>
    <x v="7"/>
  </r>
  <r>
    <s v="771"/>
    <s v="布林食品公司"/>
    <n v="103000"/>
    <s v="2021-04-29"/>
    <s v="芒果"/>
    <x v="6"/>
  </r>
  <r>
    <s v="772"/>
    <s v="品國水果行"/>
    <n v="58000"/>
    <s v="2021-04-30"/>
    <s v="柚子"/>
    <x v="0"/>
  </r>
  <r>
    <s v="773"/>
    <s v="樂活超市"/>
    <n v="145000"/>
    <s v="2021-04-30"/>
    <s v="西瓜"/>
    <x v="4"/>
  </r>
  <r>
    <s v="774"/>
    <s v="清泉水果產銷"/>
    <n v="278000"/>
    <s v="2021-04-30"/>
    <s v="柚子"/>
    <x v="8"/>
  </r>
  <r>
    <s v="775"/>
    <s v="品國水果行"/>
    <n v="176000"/>
    <s v="2021-05-01"/>
    <s v="蘋果"/>
    <x v="1"/>
  </r>
  <r>
    <s v="776"/>
    <s v="布林食品公司"/>
    <n v="100000"/>
    <s v="2021-05-01"/>
    <s v="芒果"/>
    <x v="8"/>
  </r>
  <r>
    <s v="777"/>
    <s v="布林食品公司"/>
    <n v="148000"/>
    <s v="2021-05-02"/>
    <s v="蘋果"/>
    <x v="1"/>
  </r>
  <r>
    <s v="778"/>
    <s v="清泉水果產銷"/>
    <n v="151000"/>
    <s v="2021-05-02"/>
    <s v="西瓜"/>
    <x v="0"/>
  </r>
  <r>
    <s v="779"/>
    <s v="69小華超商"/>
    <n v="63000"/>
    <s v="2021-05-02"/>
    <s v="芒果"/>
    <x v="2"/>
  </r>
  <r>
    <s v="780"/>
    <s v="布林食品公司"/>
    <n v="94000"/>
    <s v="2021-05-02"/>
    <s v="芒果"/>
    <x v="1"/>
  </r>
  <r>
    <s v="781"/>
    <s v="品國水果行"/>
    <n v="274000"/>
    <s v="2021-05-02"/>
    <s v="香蕉"/>
    <x v="4"/>
  </r>
  <r>
    <s v="782"/>
    <s v="69小華超商"/>
    <n v="219000"/>
    <s v="2021-05-03"/>
    <s v="柚子"/>
    <x v="2"/>
  </r>
  <r>
    <s v="783"/>
    <s v="愉悅水果運銷"/>
    <n v="230000"/>
    <s v="2021-05-03"/>
    <s v="蘋果"/>
    <x v="2"/>
  </r>
  <r>
    <s v="784"/>
    <s v="布林食品公司"/>
    <n v="215000"/>
    <s v="2021-05-07"/>
    <s v="西瓜"/>
    <x v="6"/>
  </r>
  <r>
    <s v="785"/>
    <s v="樂活超市"/>
    <n v="281000"/>
    <s v="2021-05-07"/>
    <s v="柚子"/>
    <x v="3"/>
  </r>
  <r>
    <s v="786"/>
    <s v="69小華超商"/>
    <n v="281000"/>
    <s v="2021-05-07"/>
    <s v="香蕉"/>
    <x v="3"/>
  </r>
  <r>
    <s v="787"/>
    <s v="69小華超商"/>
    <n v="173000"/>
    <s v="2021-05-08"/>
    <s v="柚子"/>
    <x v="4"/>
  </r>
  <r>
    <s v="788"/>
    <s v="69小華超商"/>
    <n v="35000"/>
    <s v="2021-05-09"/>
    <s v="柚子"/>
    <x v="0"/>
  </r>
  <r>
    <s v="789"/>
    <s v="樂活超市"/>
    <n v="76000"/>
    <s v="2021-05-11"/>
    <s v="柚子"/>
    <x v="0"/>
  </r>
  <r>
    <s v="790"/>
    <s v="清泉水果產銷"/>
    <n v="260000"/>
    <s v="2021-05-12"/>
    <s v="柚子"/>
    <x v="8"/>
  </r>
  <r>
    <s v="791"/>
    <s v="布林食品公司"/>
    <n v="108000"/>
    <s v="2021-05-12"/>
    <s v="西瓜"/>
    <x v="5"/>
  </r>
  <r>
    <s v="792"/>
    <s v="愉悅水果運銷"/>
    <n v="71000"/>
    <s v="2021-05-13"/>
    <s v="芒果"/>
    <x v="3"/>
  </r>
  <r>
    <s v="793"/>
    <s v="清泉水果產銷"/>
    <n v="187000"/>
    <s v="2021-05-15"/>
    <s v="鳳梨"/>
    <x v="6"/>
  </r>
  <r>
    <s v="794"/>
    <s v="69小華超商"/>
    <n v="178000"/>
    <s v="2021-05-16"/>
    <s v="西瓜"/>
    <x v="1"/>
  </r>
  <r>
    <s v="795"/>
    <s v="松壽生鮮食超商"/>
    <n v="205000"/>
    <s v="2021-05-17"/>
    <s v="柚子"/>
    <x v="7"/>
  </r>
  <r>
    <s v="796"/>
    <s v="品國水果行"/>
    <n v="69000"/>
    <s v="2021-05-19"/>
    <s v="西瓜"/>
    <x v="1"/>
  </r>
  <r>
    <s v="797"/>
    <s v="69小華超商"/>
    <n v="136000"/>
    <s v="2021-05-20"/>
    <s v="芒果"/>
    <x v="8"/>
  </r>
  <r>
    <s v="798"/>
    <s v="品國水果行"/>
    <n v="91000"/>
    <s v="2021-05-21"/>
    <s v="芒果"/>
    <x v="7"/>
  </r>
  <r>
    <s v="799"/>
    <s v="布林食品公司"/>
    <n v="245000"/>
    <s v="2021-05-21"/>
    <s v="芒果"/>
    <x v="8"/>
  </r>
  <r>
    <s v="800"/>
    <s v="愉悅水果運銷"/>
    <n v="249000"/>
    <s v="2021-05-22"/>
    <s v="西瓜"/>
    <x v="2"/>
  </r>
  <r>
    <s v="801"/>
    <s v="樂活超市"/>
    <n v="43000"/>
    <s v="2021-05-22"/>
    <s v="柚子"/>
    <x v="8"/>
  </r>
  <r>
    <s v="802"/>
    <s v="愉悅水果運銷"/>
    <n v="142000"/>
    <s v="2021-05-23"/>
    <s v="芒果"/>
    <x v="3"/>
  </r>
  <r>
    <s v="803"/>
    <s v="樂活超市"/>
    <n v="32000"/>
    <s v="2021-05-23"/>
    <s v="芒果"/>
    <x v="2"/>
  </r>
  <r>
    <s v="804"/>
    <s v="愉悅水果運銷"/>
    <n v="97000"/>
    <s v="2021-05-24"/>
    <s v="西瓜"/>
    <x v="2"/>
  </r>
  <r>
    <s v="805"/>
    <s v="布林食品公司"/>
    <n v="215000"/>
    <s v="2021-05-25"/>
    <s v="芒果"/>
    <x v="2"/>
  </r>
  <r>
    <s v="806"/>
    <s v="愉悅水果運銷"/>
    <n v="269000"/>
    <s v="2021-05-26"/>
    <s v="蘋果"/>
    <x v="8"/>
  </r>
  <r>
    <s v="807"/>
    <s v="樂活超市"/>
    <n v="145000"/>
    <s v="2021-05-28"/>
    <s v="香蕉"/>
    <x v="7"/>
  </r>
  <r>
    <s v="808"/>
    <s v="樂活超市"/>
    <n v="180000"/>
    <s v="2021-05-28"/>
    <s v="柚子"/>
    <x v="7"/>
  </r>
  <r>
    <s v="809"/>
    <s v="愉悅水果運銷"/>
    <n v="257000"/>
    <s v="2021-05-29"/>
    <s v="柚子"/>
    <x v="5"/>
  </r>
  <r>
    <s v="810"/>
    <s v="69小華超商"/>
    <n v="43000"/>
    <s v="2021-05-31"/>
    <s v="西瓜"/>
    <x v="1"/>
  </r>
  <r>
    <s v="811"/>
    <s v="清泉水果產銷"/>
    <n v="254000"/>
    <s v="2021-06-01"/>
    <s v="西瓜"/>
    <x v="7"/>
  </r>
  <r>
    <s v="812"/>
    <s v="愉悅水果運銷"/>
    <n v="237000"/>
    <s v="2021-06-01"/>
    <s v="鳳梨"/>
    <x v="8"/>
  </r>
  <r>
    <s v="813"/>
    <s v="愉悅水果運銷"/>
    <n v="152000"/>
    <s v="2021-06-01"/>
    <s v="柚子"/>
    <x v="0"/>
  </r>
  <r>
    <s v="814"/>
    <s v="樂活超市"/>
    <n v="299000"/>
    <s v="2021-06-03"/>
    <s v="蘋果"/>
    <x v="0"/>
  </r>
  <r>
    <s v="815"/>
    <s v="69小華超商"/>
    <n v="35000"/>
    <s v="2021-06-03"/>
    <s v="西瓜"/>
    <x v="7"/>
  </r>
  <r>
    <s v="816"/>
    <s v="松壽生鮮食超商"/>
    <n v="45000"/>
    <s v="2021-06-04"/>
    <s v="香蕉"/>
    <x v="1"/>
  </r>
  <r>
    <s v="817"/>
    <s v="品國水果行"/>
    <n v="132000"/>
    <s v="2021-06-04"/>
    <s v="香蕉"/>
    <x v="6"/>
  </r>
  <r>
    <s v="818"/>
    <s v="樂活超市"/>
    <n v="83000"/>
    <s v="2021-06-04"/>
    <s v="柚子"/>
    <x v="5"/>
  </r>
  <r>
    <s v="819"/>
    <s v="清泉水果產銷"/>
    <n v="184000"/>
    <s v="2021-06-06"/>
    <s v="蘋果"/>
    <x v="3"/>
  </r>
  <r>
    <s v="820"/>
    <s v="清泉水果產銷"/>
    <n v="43000"/>
    <s v="2021-06-07"/>
    <s v="香蕉"/>
    <x v="4"/>
  </r>
  <r>
    <s v="821"/>
    <s v="布林食品公司"/>
    <n v="84000"/>
    <s v="2021-06-07"/>
    <s v="香蕉"/>
    <x v="0"/>
  </r>
  <r>
    <s v="822"/>
    <s v="松壽生鮮食超商"/>
    <n v="54000"/>
    <s v="2021-06-08"/>
    <s v="蘋果"/>
    <x v="8"/>
  </r>
  <r>
    <s v="823"/>
    <s v="品國水果行"/>
    <n v="211000"/>
    <s v="2021-06-11"/>
    <s v="鳳梨"/>
    <x v="2"/>
  </r>
  <r>
    <s v="824"/>
    <s v="愉悅水果運銷"/>
    <n v="56000"/>
    <s v="2021-06-12"/>
    <s v="鳳梨"/>
    <x v="0"/>
  </r>
  <r>
    <s v="825"/>
    <s v="69小華超商"/>
    <n v="243000"/>
    <s v="2021-06-12"/>
    <s v="鳳梨"/>
    <x v="4"/>
  </r>
  <r>
    <s v="826"/>
    <s v="樂活超市"/>
    <n v="90000"/>
    <s v="2021-06-13"/>
    <s v="柚子"/>
    <x v="1"/>
  </r>
  <r>
    <s v="827"/>
    <s v="樂活超市"/>
    <n v="119000"/>
    <s v="2021-06-13"/>
    <s v="香蕉"/>
    <x v="3"/>
  </r>
  <r>
    <s v="828"/>
    <s v="69小華超商"/>
    <n v="242000"/>
    <s v="2021-06-16"/>
    <s v="西瓜"/>
    <x v="4"/>
  </r>
  <r>
    <s v="829"/>
    <s v="布林食品公司"/>
    <n v="115000"/>
    <s v="2021-06-18"/>
    <s v="蘋果"/>
    <x v="1"/>
  </r>
  <r>
    <s v="830"/>
    <s v="愉悅水果運銷"/>
    <n v="64000"/>
    <s v="2021-06-19"/>
    <s v="鳳梨"/>
    <x v="4"/>
  </r>
  <r>
    <s v="831"/>
    <s v="品國水果行"/>
    <n v="247000"/>
    <s v="2021-06-20"/>
    <s v="鳳梨"/>
    <x v="0"/>
  </r>
  <r>
    <s v="832"/>
    <s v="樂活超市"/>
    <n v="221000"/>
    <s v="2021-06-21"/>
    <s v="西瓜"/>
    <x v="1"/>
  </r>
  <r>
    <s v="833"/>
    <s v="樂活超市"/>
    <n v="161000"/>
    <s v="2021-06-22"/>
    <s v="西瓜"/>
    <x v="8"/>
  </r>
  <r>
    <s v="834"/>
    <s v="品國水果行"/>
    <n v="133000"/>
    <s v="2021-06-24"/>
    <s v="芒果"/>
    <x v="0"/>
  </r>
  <r>
    <s v="835"/>
    <s v="樂活超市"/>
    <n v="155000"/>
    <s v="2021-06-24"/>
    <s v="柚子"/>
    <x v="8"/>
  </r>
  <r>
    <s v="836"/>
    <s v="愉悅水果運銷"/>
    <n v="225000"/>
    <s v="2021-06-25"/>
    <s v="蘋果"/>
    <x v="3"/>
  </r>
  <r>
    <s v="837"/>
    <s v="布林食品公司"/>
    <n v="159000"/>
    <s v="2021-06-25"/>
    <s v="西瓜"/>
    <x v="3"/>
  </r>
  <r>
    <s v="838"/>
    <s v="愉悅水果運銷"/>
    <n v="295000"/>
    <s v="2021-06-26"/>
    <s v="蘋果"/>
    <x v="8"/>
  </r>
  <r>
    <s v="839"/>
    <s v="樂活超市"/>
    <n v="49000"/>
    <s v="2021-06-28"/>
    <s v="蘋果"/>
    <x v="6"/>
  </r>
  <r>
    <s v="840"/>
    <s v="清泉水果產銷"/>
    <n v="217000"/>
    <s v="2021-06-28"/>
    <s v="香蕉"/>
    <x v="0"/>
  </r>
  <r>
    <s v="841"/>
    <s v="愉悅水果運銷"/>
    <n v="92000"/>
    <s v="2021-06-28"/>
    <s v="柚子"/>
    <x v="3"/>
  </r>
  <r>
    <s v="842"/>
    <s v="69小華超商"/>
    <n v="118000"/>
    <s v="2021-06-30"/>
    <s v="芒果"/>
    <x v="1"/>
  </r>
  <r>
    <s v="843"/>
    <s v="布林食品公司"/>
    <n v="36000"/>
    <s v="2021-07-01"/>
    <s v="芒果"/>
    <x v="6"/>
  </r>
  <r>
    <s v="844"/>
    <s v="樂活超市"/>
    <n v="92000"/>
    <s v="2021-07-03"/>
    <s v="芒果"/>
    <x v="5"/>
  </r>
  <r>
    <s v="845"/>
    <s v="愉悅水果運銷"/>
    <n v="148000"/>
    <s v="2021-07-04"/>
    <s v="蘋果"/>
    <x v="6"/>
  </r>
  <r>
    <s v="846"/>
    <s v="69小華超商"/>
    <n v="199000"/>
    <s v="2021-07-04"/>
    <s v="鳳梨"/>
    <x v="0"/>
  </r>
  <r>
    <s v="847"/>
    <s v="品國水果行"/>
    <n v="101000"/>
    <s v="2021-07-05"/>
    <s v="西瓜"/>
    <x v="3"/>
  </r>
  <r>
    <s v="848"/>
    <s v="愉悅水果運銷"/>
    <n v="55000"/>
    <s v="2021-07-07"/>
    <s v="香蕉"/>
    <x v="0"/>
  </r>
  <r>
    <s v="849"/>
    <s v="樂活超市"/>
    <n v="273000"/>
    <s v="2021-07-09"/>
    <s v="芒果"/>
    <x v="3"/>
  </r>
  <r>
    <s v="850"/>
    <s v="布林食品公司"/>
    <n v="57000"/>
    <s v="2021-07-11"/>
    <s v="芒果"/>
    <x v="0"/>
  </r>
  <r>
    <s v="851"/>
    <s v="清泉水果產銷"/>
    <n v="52000"/>
    <s v="2021-07-12"/>
    <s v="香蕉"/>
    <x v="4"/>
  </r>
  <r>
    <s v="852"/>
    <s v="69小華超商"/>
    <n v="204000"/>
    <s v="2021-07-13"/>
    <s v="蘋果"/>
    <x v="8"/>
  </r>
  <r>
    <s v="853"/>
    <s v="松壽生鮮食超商"/>
    <n v="281000"/>
    <s v="2021-07-14"/>
    <s v="柚子"/>
    <x v="1"/>
  </r>
  <r>
    <s v="854"/>
    <s v="松壽生鮮食超商"/>
    <n v="131000"/>
    <s v="2021-07-14"/>
    <s v="蘋果"/>
    <x v="5"/>
  </r>
  <r>
    <s v="855"/>
    <s v="樂活超市"/>
    <n v="260000"/>
    <s v="2021-07-14"/>
    <s v="西瓜"/>
    <x v="4"/>
  </r>
  <r>
    <s v="856"/>
    <s v="愉悅水果運銷"/>
    <n v="162000"/>
    <s v="2021-07-17"/>
    <s v="柚子"/>
    <x v="5"/>
  </r>
  <r>
    <s v="857"/>
    <s v="品國水果行"/>
    <n v="243000"/>
    <s v="2021-07-17"/>
    <s v="西瓜"/>
    <x v="8"/>
  </r>
  <r>
    <s v="858"/>
    <s v="愉悅水果運銷"/>
    <n v="219000"/>
    <s v="2021-07-21"/>
    <s v="芒果"/>
    <x v="7"/>
  </r>
  <r>
    <s v="859"/>
    <s v="愉悅水果運銷"/>
    <n v="99000"/>
    <s v="2021-07-22"/>
    <s v="香蕉"/>
    <x v="4"/>
  </r>
  <r>
    <s v="860"/>
    <s v="愉悅水果運銷"/>
    <n v="299000"/>
    <s v="2021-07-22"/>
    <s v="蘋果"/>
    <x v="3"/>
  </r>
  <r>
    <s v="861"/>
    <s v="愉悅水果運銷"/>
    <n v="292000"/>
    <s v="2021-07-22"/>
    <s v="蘋果"/>
    <x v="0"/>
  </r>
  <r>
    <s v="862"/>
    <s v="樂活超市"/>
    <n v="163000"/>
    <s v="2021-07-28"/>
    <s v="柚子"/>
    <x v="1"/>
  </r>
  <r>
    <s v="863"/>
    <s v="布林食品公司"/>
    <n v="240000"/>
    <s v="2021-07-29"/>
    <s v="西瓜"/>
    <x v="7"/>
  </r>
  <r>
    <s v="864"/>
    <s v="布林食品公司"/>
    <n v="232000"/>
    <s v="2021-07-31"/>
    <s v="鳳梨"/>
    <x v="8"/>
  </r>
  <r>
    <s v="865"/>
    <s v="清泉水果產銷"/>
    <n v="187000"/>
    <s v="2021-08-01"/>
    <s v="鳳梨"/>
    <x v="7"/>
  </r>
  <r>
    <s v="866"/>
    <s v="松壽生鮮食超商"/>
    <n v="40000"/>
    <s v="2021-08-01"/>
    <s v="香蕉"/>
    <x v="5"/>
  </r>
  <r>
    <s v="867"/>
    <s v="松壽生鮮食超商"/>
    <n v="57000"/>
    <s v="2021-08-02"/>
    <s v="芒果"/>
    <x v="8"/>
  </r>
  <r>
    <s v="868"/>
    <s v="清泉水果產銷"/>
    <n v="63000"/>
    <s v="2021-08-02"/>
    <s v="芒果"/>
    <x v="0"/>
  </r>
  <r>
    <s v="869"/>
    <s v="愉悅水果運銷"/>
    <n v="212000"/>
    <s v="2021-08-04"/>
    <s v="蘋果"/>
    <x v="7"/>
  </r>
  <r>
    <s v="870"/>
    <s v="樂活超市"/>
    <n v="37000"/>
    <s v="2021-08-05"/>
    <s v="柚子"/>
    <x v="3"/>
  </r>
  <r>
    <s v="871"/>
    <s v="布林食品公司"/>
    <n v="53000"/>
    <s v="2021-08-06"/>
    <s v="柚子"/>
    <x v="1"/>
  </r>
  <r>
    <s v="872"/>
    <s v="松壽生鮮食超商"/>
    <n v="32000"/>
    <s v="2021-08-06"/>
    <s v="芒果"/>
    <x v="8"/>
  </r>
  <r>
    <s v="873"/>
    <s v="松壽生鮮食超商"/>
    <n v="109000"/>
    <s v="2021-08-09"/>
    <s v="蘋果"/>
    <x v="3"/>
  </r>
  <r>
    <s v="874"/>
    <s v="品國水果行"/>
    <n v="292000"/>
    <s v="2021-08-09"/>
    <s v="香蕉"/>
    <x v="7"/>
  </r>
  <r>
    <s v="875"/>
    <s v="品國水果行"/>
    <n v="202000"/>
    <s v="2021-08-09"/>
    <s v="鳳梨"/>
    <x v="6"/>
  </r>
  <r>
    <s v="876"/>
    <s v="樂活超市"/>
    <n v="101000"/>
    <s v="2021-08-12"/>
    <s v="柚子"/>
    <x v="7"/>
  </r>
  <r>
    <s v="877"/>
    <s v="布林食品公司"/>
    <n v="114000"/>
    <s v="2021-08-14"/>
    <s v="西瓜"/>
    <x v="0"/>
  </r>
  <r>
    <s v="878"/>
    <s v="品國水果行"/>
    <n v="205000"/>
    <s v="2021-08-15"/>
    <s v="西瓜"/>
    <x v="8"/>
  </r>
  <r>
    <s v="879"/>
    <s v="69小華超商"/>
    <n v="279000"/>
    <s v="2021-08-16"/>
    <s v="鳳梨"/>
    <x v="1"/>
  </r>
  <r>
    <s v="880"/>
    <s v="松壽生鮮食超商"/>
    <n v="231000"/>
    <s v="2021-08-17"/>
    <s v="西瓜"/>
    <x v="8"/>
  </r>
  <r>
    <s v="881"/>
    <s v="樂活超市"/>
    <n v="299000"/>
    <s v="2021-08-17"/>
    <s v="芒果"/>
    <x v="0"/>
  </r>
  <r>
    <s v="882"/>
    <s v="品國水果行"/>
    <n v="290000"/>
    <s v="2021-08-17"/>
    <s v="鳳梨"/>
    <x v="3"/>
  </r>
  <r>
    <s v="883"/>
    <s v="品國水果行"/>
    <n v="36000"/>
    <s v="2021-08-18"/>
    <s v="西瓜"/>
    <x v="6"/>
  </r>
  <r>
    <s v="884"/>
    <s v="松壽生鮮食超商"/>
    <n v="185000"/>
    <s v="2021-08-18"/>
    <s v="芒果"/>
    <x v="8"/>
  </r>
  <r>
    <s v="885"/>
    <s v="69小華超商"/>
    <n v="227000"/>
    <s v="2021-08-19"/>
    <s v="蘋果"/>
    <x v="6"/>
  </r>
  <r>
    <s v="886"/>
    <s v="松壽生鮮食超商"/>
    <n v="237000"/>
    <s v="2021-08-19"/>
    <s v="西瓜"/>
    <x v="5"/>
  </r>
  <r>
    <s v="887"/>
    <s v="品國水果行"/>
    <n v="119000"/>
    <s v="2021-08-19"/>
    <s v="柚子"/>
    <x v="5"/>
  </r>
  <r>
    <s v="888"/>
    <s v="清泉水果產銷"/>
    <n v="220000"/>
    <s v="2021-08-21"/>
    <s v="蘋果"/>
    <x v="6"/>
  </r>
  <r>
    <s v="889"/>
    <s v="69小華超商"/>
    <n v="207000"/>
    <s v="2021-08-22"/>
    <s v="柚子"/>
    <x v="6"/>
  </r>
  <r>
    <s v="890"/>
    <s v="品國水果行"/>
    <n v="109000"/>
    <s v="2021-08-22"/>
    <s v="蘋果"/>
    <x v="4"/>
  </r>
  <r>
    <s v="891"/>
    <s v="69小華超商"/>
    <n v="79000"/>
    <s v="2021-08-23"/>
    <s v="香蕉"/>
    <x v="2"/>
  </r>
  <r>
    <s v="892"/>
    <s v="樂活超市"/>
    <n v="49000"/>
    <s v="2021-08-23"/>
    <s v="鳳梨"/>
    <x v="1"/>
  </r>
  <r>
    <s v="893"/>
    <s v="松壽生鮮食超商"/>
    <n v="139000"/>
    <s v="2021-08-23"/>
    <s v="柚子"/>
    <x v="5"/>
  </r>
  <r>
    <s v="894"/>
    <s v="松壽生鮮食超商"/>
    <n v="241000"/>
    <s v="2021-08-25"/>
    <s v="芒果"/>
    <x v="4"/>
  </r>
  <r>
    <s v="895"/>
    <s v="布林食品公司"/>
    <n v="68000"/>
    <s v="2021-08-25"/>
    <s v="西瓜"/>
    <x v="1"/>
  </r>
  <r>
    <s v="896"/>
    <s v="松壽生鮮食超商"/>
    <n v="193000"/>
    <s v="2021-08-25"/>
    <s v="香蕉"/>
    <x v="7"/>
  </r>
  <r>
    <s v="897"/>
    <s v="69小華超商"/>
    <n v="96000"/>
    <s v="2021-08-26"/>
    <s v="鳳梨"/>
    <x v="8"/>
  </r>
  <r>
    <s v="898"/>
    <s v="布林食品公司"/>
    <n v="252000"/>
    <s v="2021-08-26"/>
    <s v="鳳梨"/>
    <x v="5"/>
  </r>
  <r>
    <s v="899"/>
    <s v="布林食品公司"/>
    <n v="108000"/>
    <s v="2021-08-26"/>
    <s v="柚子"/>
    <x v="7"/>
  </r>
  <r>
    <s v="900"/>
    <s v="愉悅水果運銷"/>
    <n v="274000"/>
    <s v="2021-08-27"/>
    <s v="西瓜"/>
    <x v="3"/>
  </r>
  <r>
    <s v="901"/>
    <s v="69小華超商"/>
    <n v="184000"/>
    <s v="2021-08-28"/>
    <s v="香蕉"/>
    <x v="3"/>
  </r>
  <r>
    <s v="902"/>
    <s v="69小華超商"/>
    <n v="193000"/>
    <s v="2021-08-28"/>
    <s v="西瓜"/>
    <x v="0"/>
  </r>
  <r>
    <s v="903"/>
    <s v="布林食品公司"/>
    <n v="240000"/>
    <s v="2021-08-29"/>
    <s v="鳳梨"/>
    <x v="5"/>
  </r>
  <r>
    <s v="904"/>
    <s v="樂活超市"/>
    <n v="213000"/>
    <s v="2021-08-30"/>
    <s v="芒果"/>
    <x v="3"/>
  </r>
  <r>
    <s v="905"/>
    <s v="樂活超市"/>
    <n v="237000"/>
    <s v="2021-08-31"/>
    <s v="鳳梨"/>
    <x v="6"/>
  </r>
  <r>
    <s v="906"/>
    <s v="布林食品公司"/>
    <n v="189000"/>
    <s v="2021-09-02"/>
    <s v="香蕉"/>
    <x v="2"/>
  </r>
  <r>
    <s v="907"/>
    <s v="愉悅水果運銷"/>
    <n v="232000"/>
    <s v="2021-09-03"/>
    <s v="柚子"/>
    <x v="3"/>
  </r>
  <r>
    <s v="908"/>
    <s v="愉悅水果運銷"/>
    <n v="82000"/>
    <s v="2021-09-03"/>
    <s v="蘋果"/>
    <x v="3"/>
  </r>
  <r>
    <s v="909"/>
    <s v="清泉水果產銷"/>
    <n v="300000"/>
    <s v="2021-09-03"/>
    <s v="柚子"/>
    <x v="2"/>
  </r>
  <r>
    <s v="910"/>
    <s v="愉悅水果運銷"/>
    <n v="73000"/>
    <s v="2021-09-03"/>
    <s v="西瓜"/>
    <x v="2"/>
  </r>
  <r>
    <s v="911"/>
    <s v="愉悅水果運銷"/>
    <n v="175000"/>
    <s v="2021-09-06"/>
    <s v="芒果"/>
    <x v="2"/>
  </r>
  <r>
    <s v="912"/>
    <s v="松壽生鮮食超商"/>
    <n v="223000"/>
    <s v="2021-09-10"/>
    <s v="香蕉"/>
    <x v="3"/>
  </r>
  <r>
    <s v="913"/>
    <s v="布林食品公司"/>
    <n v="81000"/>
    <s v="2021-09-12"/>
    <s v="西瓜"/>
    <x v="8"/>
  </r>
  <r>
    <s v="914"/>
    <s v="愉悅水果運銷"/>
    <n v="277000"/>
    <s v="2021-09-13"/>
    <s v="柚子"/>
    <x v="5"/>
  </r>
  <r>
    <s v="915"/>
    <s v="樂活超市"/>
    <n v="277000"/>
    <s v="2021-09-16"/>
    <s v="香蕉"/>
    <x v="6"/>
  </r>
  <r>
    <s v="916"/>
    <s v="樂活超市"/>
    <n v="90000"/>
    <s v="2021-09-16"/>
    <s v="鳳梨"/>
    <x v="2"/>
  </r>
  <r>
    <s v="917"/>
    <s v="清泉水果產銷"/>
    <n v="38000"/>
    <s v="2021-09-16"/>
    <s v="香蕉"/>
    <x v="5"/>
  </r>
  <r>
    <s v="918"/>
    <s v="樂活超市"/>
    <n v="292000"/>
    <s v="2021-09-17"/>
    <s v="蘋果"/>
    <x v="4"/>
  </r>
  <r>
    <s v="919"/>
    <s v="松壽生鮮食超商"/>
    <n v="88000"/>
    <s v="2021-09-19"/>
    <s v="蘋果"/>
    <x v="5"/>
  </r>
  <r>
    <s v="920"/>
    <s v="布林食品公司"/>
    <n v="292000"/>
    <s v="2021-09-20"/>
    <s v="西瓜"/>
    <x v="5"/>
  </r>
  <r>
    <s v="921"/>
    <s v="愉悅水果運銷"/>
    <n v="69000"/>
    <s v="2021-09-20"/>
    <s v="芒果"/>
    <x v="2"/>
  </r>
  <r>
    <s v="922"/>
    <s v="布林食品公司"/>
    <n v="83000"/>
    <s v="2021-09-21"/>
    <s v="鳳梨"/>
    <x v="4"/>
  </r>
  <r>
    <s v="923"/>
    <s v="品國水果行"/>
    <n v="42000"/>
    <s v="2021-09-22"/>
    <s v="柚子"/>
    <x v="6"/>
  </r>
  <r>
    <s v="924"/>
    <s v="樂活超市"/>
    <n v="144000"/>
    <s v="2021-09-23"/>
    <s v="蘋果"/>
    <x v="5"/>
  </r>
  <r>
    <s v="925"/>
    <s v="愉悅水果運銷"/>
    <n v="88000"/>
    <s v="2021-09-25"/>
    <s v="芒果"/>
    <x v="3"/>
  </r>
  <r>
    <s v="926"/>
    <s v="松壽生鮮食超商"/>
    <n v="217000"/>
    <s v="2021-09-25"/>
    <s v="芒果"/>
    <x v="4"/>
  </r>
  <r>
    <s v="927"/>
    <s v="品國水果行"/>
    <n v="30000"/>
    <s v="2021-09-27"/>
    <s v="香蕉"/>
    <x v="3"/>
  </r>
  <r>
    <s v="928"/>
    <s v="愉悅水果運銷"/>
    <n v="143000"/>
    <s v="2021-10-02"/>
    <s v="柚子"/>
    <x v="5"/>
  </r>
  <r>
    <s v="929"/>
    <s v="品國水果行"/>
    <n v="163000"/>
    <s v="2021-10-03"/>
    <s v="柚子"/>
    <x v="4"/>
  </r>
  <r>
    <s v="930"/>
    <s v="布林食品公司"/>
    <n v="124000"/>
    <s v="2021-10-04"/>
    <s v="鳳梨"/>
    <x v="5"/>
  </r>
  <r>
    <s v="931"/>
    <s v="樂活超市"/>
    <n v="184000"/>
    <s v="2021-10-05"/>
    <s v="蘋果"/>
    <x v="0"/>
  </r>
  <r>
    <s v="932"/>
    <s v="松壽生鮮食超商"/>
    <n v="111000"/>
    <s v="2021-10-06"/>
    <s v="鳳梨"/>
    <x v="2"/>
  </r>
  <r>
    <s v="933"/>
    <s v="樂活超市"/>
    <n v="297000"/>
    <s v="2021-10-07"/>
    <s v="柚子"/>
    <x v="5"/>
  </r>
  <r>
    <s v="934"/>
    <s v="清泉水果產銷"/>
    <n v="139000"/>
    <s v="2021-10-08"/>
    <s v="柚子"/>
    <x v="7"/>
  </r>
  <r>
    <s v="935"/>
    <s v="樂活超市"/>
    <n v="252000"/>
    <s v="2021-10-08"/>
    <s v="西瓜"/>
    <x v="1"/>
  </r>
  <r>
    <s v="936"/>
    <s v="松壽生鮮食超商"/>
    <n v="69000"/>
    <s v="2021-10-10"/>
    <s v="柚子"/>
    <x v="5"/>
  </r>
  <r>
    <s v="937"/>
    <s v="松壽生鮮食超商"/>
    <n v="64000"/>
    <s v="2021-10-10"/>
    <s v="香蕉"/>
    <x v="5"/>
  </r>
  <r>
    <s v="938"/>
    <s v="清泉水果產銷"/>
    <n v="86000"/>
    <s v="2021-10-10"/>
    <s v="鳳梨"/>
    <x v="7"/>
  </r>
  <r>
    <s v="939"/>
    <s v="愉悅水果運銷"/>
    <n v="113000"/>
    <s v="2021-10-16"/>
    <s v="芒果"/>
    <x v="2"/>
  </r>
  <r>
    <s v="940"/>
    <s v="69小華超商"/>
    <n v="257000"/>
    <s v="2021-10-20"/>
    <s v="西瓜"/>
    <x v="6"/>
  </r>
  <r>
    <s v="941"/>
    <s v="清泉水果產銷"/>
    <n v="200000"/>
    <s v="2021-10-21"/>
    <s v="西瓜"/>
    <x v="4"/>
  </r>
  <r>
    <s v="942"/>
    <s v="愉悅水果運銷"/>
    <n v="71000"/>
    <s v="2021-10-21"/>
    <s v="芒果"/>
    <x v="2"/>
  </r>
  <r>
    <s v="943"/>
    <s v="布林食品公司"/>
    <n v="32000"/>
    <s v="2021-10-23"/>
    <s v="香蕉"/>
    <x v="5"/>
  </r>
  <r>
    <s v="944"/>
    <s v="清泉水果產銷"/>
    <n v="154000"/>
    <s v="2021-10-23"/>
    <s v="芒果"/>
    <x v="0"/>
  </r>
  <r>
    <s v="945"/>
    <s v="布林食品公司"/>
    <n v="106000"/>
    <s v="2021-10-23"/>
    <s v="芒果"/>
    <x v="5"/>
  </r>
  <r>
    <s v="946"/>
    <s v="品國水果行"/>
    <n v="298000"/>
    <s v="2021-10-25"/>
    <s v="香蕉"/>
    <x v="4"/>
  </r>
  <r>
    <s v="947"/>
    <s v="69小華超商"/>
    <n v="72000"/>
    <s v="2021-10-26"/>
    <s v="鳳梨"/>
    <x v="2"/>
  </r>
  <r>
    <s v="948"/>
    <s v="69小華超商"/>
    <n v="98000"/>
    <s v="2021-10-27"/>
    <s v="西瓜"/>
    <x v="1"/>
  </r>
  <r>
    <s v="949"/>
    <s v="布林食品公司"/>
    <n v="41000"/>
    <s v="2021-10-28"/>
    <s v="鳳梨"/>
    <x v="0"/>
  </r>
  <r>
    <s v="950"/>
    <s v="清泉水果產銷"/>
    <n v="260000"/>
    <s v="2021-10-29"/>
    <s v="鳳梨"/>
    <x v="0"/>
  </r>
  <r>
    <s v="951"/>
    <s v="樂活超市"/>
    <n v="230000"/>
    <s v="2021-11-03"/>
    <s v="香蕉"/>
    <x v="1"/>
  </r>
  <r>
    <s v="952"/>
    <s v="69小華超商"/>
    <n v="95000"/>
    <s v="2021-11-04"/>
    <s v="芒果"/>
    <x v="4"/>
  </r>
  <r>
    <s v="953"/>
    <s v="松壽生鮮食超商"/>
    <n v="285000"/>
    <s v="2021-11-05"/>
    <s v="西瓜"/>
    <x v="2"/>
  </r>
  <r>
    <s v="954"/>
    <s v="布林食品公司"/>
    <n v="115000"/>
    <s v="2021-11-07"/>
    <s v="香蕉"/>
    <x v="6"/>
  </r>
  <r>
    <s v="955"/>
    <s v="清泉水果產銷"/>
    <n v="232000"/>
    <s v="2021-11-08"/>
    <s v="香蕉"/>
    <x v="6"/>
  </r>
  <r>
    <s v="956"/>
    <s v="清泉水果產銷"/>
    <n v="279000"/>
    <s v="2021-11-09"/>
    <s v="香蕉"/>
    <x v="8"/>
  </r>
  <r>
    <s v="957"/>
    <s v="69小華超商"/>
    <n v="275000"/>
    <s v="2021-11-09"/>
    <s v="柚子"/>
    <x v="1"/>
  </r>
  <r>
    <s v="958"/>
    <s v="愉悅水果運銷"/>
    <n v="181000"/>
    <s v="2021-11-09"/>
    <s v="柚子"/>
    <x v="0"/>
  </r>
  <r>
    <s v="959"/>
    <s v="樂活超市"/>
    <n v="257000"/>
    <s v="2021-11-10"/>
    <s v="蘋果"/>
    <x v="1"/>
  </r>
  <r>
    <s v="960"/>
    <s v="清泉水果產銷"/>
    <n v="178000"/>
    <s v="2021-11-11"/>
    <s v="香蕉"/>
    <x v="2"/>
  </r>
  <r>
    <s v="961"/>
    <s v="松壽生鮮食超商"/>
    <n v="271000"/>
    <s v="2021-11-12"/>
    <s v="芒果"/>
    <x v="1"/>
  </r>
  <r>
    <s v="962"/>
    <s v="69小華超商"/>
    <n v="299000"/>
    <s v="2021-11-13"/>
    <s v="鳳梨"/>
    <x v="5"/>
  </r>
  <r>
    <s v="963"/>
    <s v="69小華超商"/>
    <n v="110000"/>
    <s v="2021-11-13"/>
    <s v="芒果"/>
    <x v="1"/>
  </r>
  <r>
    <s v="964"/>
    <s v="69小華超商"/>
    <n v="276000"/>
    <s v="2021-11-15"/>
    <s v="香蕉"/>
    <x v="5"/>
  </r>
  <r>
    <s v="965"/>
    <s v="樂活超市"/>
    <n v="268000"/>
    <s v="2021-11-15"/>
    <s v="鳳梨"/>
    <x v="0"/>
  </r>
  <r>
    <s v="966"/>
    <s v="松壽生鮮食超商"/>
    <n v="210000"/>
    <s v="2021-11-17"/>
    <s v="西瓜"/>
    <x v="6"/>
  </r>
  <r>
    <s v="967"/>
    <s v="品國水果行"/>
    <n v="169000"/>
    <s v="2021-11-18"/>
    <s v="蘋果"/>
    <x v="2"/>
  </r>
  <r>
    <s v="968"/>
    <s v="布林食品公司"/>
    <n v="284000"/>
    <s v="2021-11-18"/>
    <s v="鳳梨"/>
    <x v="0"/>
  </r>
  <r>
    <s v="969"/>
    <s v="69小華超商"/>
    <n v="160000"/>
    <s v="2021-11-18"/>
    <s v="芒果"/>
    <x v="7"/>
  </r>
  <r>
    <s v="970"/>
    <s v="品國水果行"/>
    <n v="288000"/>
    <s v="2021-11-19"/>
    <s v="蘋果"/>
    <x v="1"/>
  </r>
  <r>
    <s v="971"/>
    <s v="69小華超商"/>
    <n v="92000"/>
    <s v="2021-11-20"/>
    <s v="芒果"/>
    <x v="6"/>
  </r>
  <r>
    <s v="972"/>
    <s v="布林食品公司"/>
    <n v="61000"/>
    <s v="2021-11-21"/>
    <s v="西瓜"/>
    <x v="2"/>
  </r>
  <r>
    <s v="973"/>
    <s v="69小華超商"/>
    <n v="137000"/>
    <s v="2021-11-23"/>
    <s v="芒果"/>
    <x v="7"/>
  </r>
  <r>
    <s v="974"/>
    <s v="布林食品公司"/>
    <n v="263000"/>
    <s v="2021-11-24"/>
    <s v="西瓜"/>
    <x v="2"/>
  </r>
  <r>
    <s v="975"/>
    <s v="品國水果行"/>
    <n v="234000"/>
    <s v="2021-11-26"/>
    <s v="蘋果"/>
    <x v="4"/>
  </r>
  <r>
    <s v="976"/>
    <s v="布林食品公司"/>
    <n v="270000"/>
    <s v="2021-11-27"/>
    <s v="西瓜"/>
    <x v="8"/>
  </r>
  <r>
    <s v="977"/>
    <s v="布林食品公司"/>
    <n v="114000"/>
    <s v="2021-11-27"/>
    <s v="蘋果"/>
    <x v="4"/>
  </r>
  <r>
    <s v="978"/>
    <s v="愉悅水果運銷"/>
    <n v="224000"/>
    <s v="2021-11-29"/>
    <s v="蘋果"/>
    <x v="3"/>
  </r>
  <r>
    <s v="979"/>
    <s v="松壽生鮮食超商"/>
    <n v="207000"/>
    <s v="2021-11-29"/>
    <s v="芒果"/>
    <x v="7"/>
  </r>
  <r>
    <s v="980"/>
    <s v="愉悅水果運銷"/>
    <n v="137000"/>
    <s v="2021-11-30"/>
    <s v="香蕉"/>
    <x v="3"/>
  </r>
  <r>
    <s v="981"/>
    <s v="愉悅水果運銷"/>
    <n v="257000"/>
    <s v="2021-12-01"/>
    <s v="柚子"/>
    <x v="8"/>
  </r>
  <r>
    <s v="982"/>
    <s v="布林食品公司"/>
    <n v="46000"/>
    <s v="2021-12-05"/>
    <s v="西瓜"/>
    <x v="5"/>
  </r>
  <r>
    <s v="983"/>
    <s v="樂活超市"/>
    <n v="155000"/>
    <s v="2021-12-07"/>
    <s v="蘋果"/>
    <x v="1"/>
  </r>
  <r>
    <s v="984"/>
    <s v="樂活超市"/>
    <n v="121000"/>
    <s v="2021-12-08"/>
    <s v="西瓜"/>
    <x v="1"/>
  </r>
  <r>
    <s v="985"/>
    <s v="樂活超市"/>
    <n v="283000"/>
    <s v="2021-12-08"/>
    <s v="香蕉"/>
    <x v="2"/>
  </r>
  <r>
    <s v="986"/>
    <s v="品國水果行"/>
    <n v="289000"/>
    <s v="2021-12-11"/>
    <s v="香蕉"/>
    <x v="4"/>
  </r>
  <r>
    <s v="987"/>
    <s v="樂活超市"/>
    <n v="120000"/>
    <s v="2021-12-13"/>
    <s v="香蕉"/>
    <x v="3"/>
  </r>
  <r>
    <s v="988"/>
    <s v="布林食品公司"/>
    <n v="236000"/>
    <s v="2021-12-13"/>
    <s v="鳳梨"/>
    <x v="6"/>
  </r>
  <r>
    <s v="989"/>
    <s v="清泉水果產銷"/>
    <n v="227000"/>
    <s v="2021-12-14"/>
    <s v="西瓜"/>
    <x v="3"/>
  </r>
  <r>
    <s v="990"/>
    <s v="69小華超商"/>
    <n v="278000"/>
    <s v="2021-12-14"/>
    <s v="柚子"/>
    <x v="8"/>
  </r>
  <r>
    <s v="991"/>
    <s v="樂活超市"/>
    <n v="126000"/>
    <s v="2021-12-16"/>
    <s v="鳳梨"/>
    <x v="7"/>
  </r>
  <r>
    <s v="992"/>
    <s v="松壽生鮮食超商"/>
    <n v="96000"/>
    <s v="2021-12-18"/>
    <s v="蘋果"/>
    <x v="0"/>
  </r>
  <r>
    <s v="993"/>
    <s v="69小華超商"/>
    <n v="291000"/>
    <s v="2021-12-19"/>
    <s v="柚子"/>
    <x v="1"/>
  </r>
  <r>
    <s v="994"/>
    <s v="品國水果行"/>
    <n v="106000"/>
    <s v="2021-12-22"/>
    <s v="芒果"/>
    <x v="5"/>
  </r>
  <r>
    <s v="995"/>
    <s v="布林食品公司"/>
    <n v="126000"/>
    <s v="2021-12-23"/>
    <s v="西瓜"/>
    <x v="7"/>
  </r>
  <r>
    <s v="996"/>
    <s v="愉悅水果運銷"/>
    <n v="279000"/>
    <s v="2021-12-25"/>
    <s v="柚子"/>
    <x v="3"/>
  </r>
  <r>
    <s v="997"/>
    <s v="清泉水果產銷"/>
    <n v="277000"/>
    <s v="2021-12-26"/>
    <s v="香蕉"/>
    <x v="5"/>
  </r>
  <r>
    <s v="998"/>
    <s v="松壽生鮮食超商"/>
    <n v="248000"/>
    <s v="2021-12-27"/>
    <s v="柚子"/>
    <x v="4"/>
  </r>
  <r>
    <s v="999"/>
    <s v="69小華超商"/>
    <n v="183000"/>
    <s v="2021-12-29"/>
    <s v="香蕉"/>
    <x v="7"/>
  </r>
  <r>
    <s v="1000"/>
    <s v="清泉水果產銷"/>
    <n v="77000"/>
    <s v="2021-12-31"/>
    <s v="鳳梨"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1"/>
    <x v="0"/>
    <n v="41000"/>
    <s v="2019-01-02"/>
    <s v="蘋果"/>
    <s v="方小文"/>
  </r>
  <r>
    <s v="2"/>
    <x v="1"/>
    <n v="230000"/>
    <s v="2019-01-03"/>
    <s v="香蕉"/>
    <s v="楊小杉"/>
  </r>
  <r>
    <s v="3"/>
    <x v="2"/>
    <n v="154000"/>
    <s v="2019-01-04"/>
    <s v="柚子"/>
    <s v="葉小美"/>
  </r>
  <r>
    <s v="4"/>
    <x v="3"/>
    <n v="170000"/>
    <s v="2019-01-05"/>
    <s v="柚子"/>
    <s v="李小怡"/>
  </r>
  <r>
    <s v="5"/>
    <x v="4"/>
    <n v="100000"/>
    <s v="2019-01-05"/>
    <s v="芒果"/>
    <s v="林小玉"/>
  </r>
  <r>
    <s v="6"/>
    <x v="5"/>
    <n v="139000"/>
    <s v="2019-01-06"/>
    <s v="香蕉"/>
    <s v="吳小亮"/>
  </r>
  <r>
    <s v="7"/>
    <x v="2"/>
    <n v="93000"/>
    <s v="2019-01-07"/>
    <s v="西瓜"/>
    <s v="林阿杰"/>
  </r>
  <r>
    <s v="8"/>
    <x v="2"/>
    <n v="247000"/>
    <s v="2019-01-09"/>
    <s v="柚子"/>
    <s v="方小文"/>
  </r>
  <r>
    <s v="9"/>
    <x v="3"/>
    <n v="58000"/>
    <s v="2019-01-10"/>
    <s v="鳳梨"/>
    <s v="楊小杉"/>
  </r>
  <r>
    <s v="10"/>
    <x v="3"/>
    <n v="231000"/>
    <s v="2019-01-10"/>
    <s v="西瓜"/>
    <s v="葉小美"/>
  </r>
  <r>
    <s v="11"/>
    <x v="1"/>
    <n v="183000"/>
    <s v="2019-01-10"/>
    <s v="蘋果"/>
    <s v="李小怡"/>
  </r>
  <r>
    <s v="12"/>
    <x v="5"/>
    <n v="156000"/>
    <s v="2019-01-12"/>
    <s v="柚子"/>
    <s v="李小怡"/>
  </r>
  <r>
    <s v="13"/>
    <x v="0"/>
    <n v="66000"/>
    <s v="2019-01-12"/>
    <s v="柚子"/>
    <s v="林阿杰"/>
  </r>
  <r>
    <s v="14"/>
    <x v="4"/>
    <n v="80000"/>
    <s v="2019-01-15"/>
    <s v="芒果"/>
    <s v="葉小美"/>
  </r>
  <r>
    <s v="15"/>
    <x v="1"/>
    <n v="31000"/>
    <s v="2019-01-15"/>
    <s v="香蕉"/>
    <s v="郭小婷"/>
  </r>
  <r>
    <s v="16"/>
    <x v="5"/>
    <n v="217000"/>
    <s v="2019-01-15"/>
    <s v="鳳梨"/>
    <s v="方小文"/>
  </r>
  <r>
    <s v="17"/>
    <x v="3"/>
    <n v="239000"/>
    <s v="2019-01-15"/>
    <s v="西瓜"/>
    <s v="方小文"/>
  </r>
  <r>
    <s v="18"/>
    <x v="1"/>
    <n v="120000"/>
    <s v="2019-01-16"/>
    <s v="香蕉"/>
    <s v="葉小美"/>
  </r>
  <r>
    <s v="19"/>
    <x v="1"/>
    <n v="246000"/>
    <s v="2019-01-16"/>
    <s v="西瓜"/>
    <s v="葉小美"/>
  </r>
  <r>
    <s v="20"/>
    <x v="5"/>
    <n v="79000"/>
    <s v="2019-01-17"/>
    <s v="鳳梨"/>
    <s v="楊小杉"/>
  </r>
  <r>
    <s v="21"/>
    <x v="3"/>
    <n v="167000"/>
    <s v="2019-01-17"/>
    <s v="香蕉"/>
    <s v="葉小美"/>
  </r>
  <r>
    <s v="22"/>
    <x v="1"/>
    <n v="111000"/>
    <s v="2019-01-18"/>
    <s v="蘋果"/>
    <s v="楊小杉"/>
  </r>
  <r>
    <s v="23"/>
    <x v="5"/>
    <n v="215000"/>
    <s v="2019-01-18"/>
    <s v="鳳梨"/>
    <s v="郭小婷"/>
  </r>
  <r>
    <s v="24"/>
    <x v="0"/>
    <n v="84000"/>
    <s v="2019-01-18"/>
    <s v="芒果"/>
    <s v="江小花"/>
  </r>
  <r>
    <s v="25"/>
    <x v="3"/>
    <n v="275000"/>
    <s v="2019-01-18"/>
    <s v="西瓜"/>
    <s v="葉小美"/>
  </r>
  <r>
    <s v="26"/>
    <x v="5"/>
    <n v="119000"/>
    <s v="2019-01-19"/>
    <s v="芒果"/>
    <s v="楊小杉"/>
  </r>
  <r>
    <s v="27"/>
    <x v="1"/>
    <n v="88000"/>
    <s v="2019-01-20"/>
    <s v="芒果"/>
    <s v="江小花"/>
  </r>
  <r>
    <s v="28"/>
    <x v="2"/>
    <n v="199000"/>
    <s v="2019-01-21"/>
    <s v="柚子"/>
    <s v="葉小美"/>
  </r>
  <r>
    <s v="29"/>
    <x v="4"/>
    <n v="47000"/>
    <s v="2019-01-21"/>
    <s v="柚子"/>
    <s v="郭小婷"/>
  </r>
  <r>
    <s v="30"/>
    <x v="5"/>
    <n v="52000"/>
    <s v="2019-01-22"/>
    <s v="西瓜"/>
    <s v="葉小美"/>
  </r>
  <r>
    <s v="31"/>
    <x v="6"/>
    <n v="141000"/>
    <s v="2019-01-23"/>
    <s v="柚子"/>
    <s v="林小玉"/>
  </r>
  <r>
    <s v="32"/>
    <x v="1"/>
    <n v="273000"/>
    <s v="2019-01-23"/>
    <s v="芒果"/>
    <s v="江小花"/>
  </r>
  <r>
    <s v="33"/>
    <x v="1"/>
    <n v="268000"/>
    <s v="2019-01-25"/>
    <s v="鳳梨"/>
    <s v="李小怡"/>
  </r>
  <r>
    <s v="34"/>
    <x v="2"/>
    <n v="255000"/>
    <s v="2019-01-25"/>
    <s v="鳳梨"/>
    <s v="林小玉"/>
  </r>
  <r>
    <s v="35"/>
    <x v="6"/>
    <n v="105000"/>
    <s v="2019-01-28"/>
    <s v="蘋果"/>
    <s v="葉小美"/>
  </r>
  <r>
    <s v="36"/>
    <x v="5"/>
    <n v="238000"/>
    <s v="2019-01-29"/>
    <s v="蘋果"/>
    <s v="方小文"/>
  </r>
  <r>
    <s v="37"/>
    <x v="0"/>
    <n v="222000"/>
    <s v="2019-01-29"/>
    <s v="柚子"/>
    <s v="吳小亮"/>
  </r>
  <r>
    <s v="38"/>
    <x v="3"/>
    <n v="270000"/>
    <s v="2019-01-31"/>
    <s v="芒果"/>
    <s v="楊小杉"/>
  </r>
  <r>
    <s v="39"/>
    <x v="5"/>
    <n v="244000"/>
    <s v="2019-01-31"/>
    <s v="蘋果"/>
    <s v="郭小婷"/>
  </r>
  <r>
    <s v="40"/>
    <x v="0"/>
    <n v="64000"/>
    <s v="2019-02-01"/>
    <s v="蘋果"/>
    <s v="李小怡"/>
  </r>
  <r>
    <s v="41"/>
    <x v="2"/>
    <n v="130000"/>
    <s v="2019-02-02"/>
    <s v="蘋果"/>
    <s v="李小怡"/>
  </r>
  <r>
    <s v="42"/>
    <x v="2"/>
    <n v="296000"/>
    <s v="2019-02-03"/>
    <s v="西瓜"/>
    <s v="吳小亮"/>
  </r>
  <r>
    <s v="43"/>
    <x v="1"/>
    <n v="173000"/>
    <s v="2019-02-06"/>
    <s v="鳳梨"/>
    <s v="葉小美"/>
  </r>
  <r>
    <s v="44"/>
    <x v="4"/>
    <n v="108000"/>
    <s v="2019-02-07"/>
    <s v="蘋果"/>
    <s v="郭小婷"/>
  </r>
  <r>
    <s v="45"/>
    <x v="1"/>
    <n v="138000"/>
    <s v="2019-02-08"/>
    <s v="柚子"/>
    <s v="李小怡"/>
  </r>
  <r>
    <s v="46"/>
    <x v="2"/>
    <n v="228000"/>
    <s v="2019-02-08"/>
    <s v="西瓜"/>
    <s v="方小文"/>
  </r>
  <r>
    <s v="47"/>
    <x v="4"/>
    <n v="60000"/>
    <s v="2019-02-09"/>
    <s v="鳳梨"/>
    <s v="吳小亮"/>
  </r>
  <r>
    <s v="48"/>
    <x v="2"/>
    <n v="98000"/>
    <s v="2019-02-10"/>
    <s v="蘋果"/>
    <s v="林阿杰"/>
  </r>
  <r>
    <s v="49"/>
    <x v="4"/>
    <n v="251000"/>
    <s v="2019-02-11"/>
    <s v="鳳梨"/>
    <s v="江小花"/>
  </r>
  <r>
    <s v="50"/>
    <x v="4"/>
    <n v="256000"/>
    <s v="2019-02-13"/>
    <s v="芒果"/>
    <s v="方小文"/>
  </r>
  <r>
    <s v="51"/>
    <x v="3"/>
    <n v="120000"/>
    <s v="2019-02-16"/>
    <s v="芒果"/>
    <s v="吳小亮"/>
  </r>
  <r>
    <s v="52"/>
    <x v="5"/>
    <n v="70000"/>
    <s v="2019-02-17"/>
    <s v="芒果"/>
    <s v="江小花"/>
  </r>
  <r>
    <s v="53"/>
    <x v="1"/>
    <n v="33000"/>
    <s v="2019-02-17"/>
    <s v="西瓜"/>
    <s v="江小花"/>
  </r>
  <r>
    <s v="54"/>
    <x v="0"/>
    <n v="186000"/>
    <s v="2019-02-18"/>
    <s v="芒果"/>
    <s v="林小玉"/>
  </r>
  <r>
    <s v="55"/>
    <x v="4"/>
    <n v="204000"/>
    <s v="2019-02-19"/>
    <s v="芒果"/>
    <s v="吳小亮"/>
  </r>
  <r>
    <s v="56"/>
    <x v="2"/>
    <n v="239000"/>
    <s v="2019-02-19"/>
    <s v="鳳梨"/>
    <s v="林小玉"/>
  </r>
  <r>
    <s v="57"/>
    <x v="6"/>
    <n v="258000"/>
    <s v="2019-02-21"/>
    <s v="蘋果"/>
    <s v="方小文"/>
  </r>
  <r>
    <s v="58"/>
    <x v="5"/>
    <n v="264000"/>
    <s v="2019-02-22"/>
    <s v="蘋果"/>
    <s v="李小怡"/>
  </r>
  <r>
    <s v="59"/>
    <x v="3"/>
    <n v="287000"/>
    <s v="2019-02-22"/>
    <s v="西瓜"/>
    <s v="楊小杉"/>
  </r>
  <r>
    <s v="60"/>
    <x v="5"/>
    <n v="226000"/>
    <s v="2019-02-22"/>
    <s v="柚子"/>
    <s v="李小怡"/>
  </r>
  <r>
    <s v="61"/>
    <x v="6"/>
    <n v="246000"/>
    <s v="2019-02-22"/>
    <s v="西瓜"/>
    <s v="葉小美"/>
  </r>
  <r>
    <s v="62"/>
    <x v="3"/>
    <n v="213000"/>
    <s v="2019-02-23"/>
    <s v="香蕉"/>
    <s v="方小文"/>
  </r>
  <r>
    <s v="63"/>
    <x v="3"/>
    <n v="249000"/>
    <s v="2019-02-25"/>
    <s v="柚子"/>
    <s v="葉小美"/>
  </r>
  <r>
    <s v="64"/>
    <x v="0"/>
    <n v="297000"/>
    <s v="2019-02-25"/>
    <s v="鳳梨"/>
    <s v="楊小杉"/>
  </r>
  <r>
    <s v="65"/>
    <x v="3"/>
    <n v="180000"/>
    <s v="2019-02-26"/>
    <s v="芒果"/>
    <s v="林阿杰"/>
  </r>
  <r>
    <s v="66"/>
    <x v="4"/>
    <n v="30000"/>
    <s v="2019-02-27"/>
    <s v="芒果"/>
    <s v="李小怡"/>
  </r>
  <r>
    <s v="67"/>
    <x v="5"/>
    <n v="106000"/>
    <s v="2019-03-01"/>
    <s v="蘋果"/>
    <s v="楊小杉"/>
  </r>
  <r>
    <s v="68"/>
    <x v="4"/>
    <n v="281000"/>
    <s v="2019-03-02"/>
    <s v="柚子"/>
    <s v="葉小美"/>
  </r>
  <r>
    <s v="69"/>
    <x v="0"/>
    <n v="92000"/>
    <s v="2019-03-02"/>
    <s v="鳳梨"/>
    <s v="方小文"/>
  </r>
  <r>
    <s v="70"/>
    <x v="3"/>
    <n v="78000"/>
    <s v="2019-03-03"/>
    <s v="香蕉"/>
    <s v="葉小美"/>
  </r>
  <r>
    <s v="71"/>
    <x v="0"/>
    <n v="192000"/>
    <s v="2019-03-03"/>
    <s v="蘋果"/>
    <s v="江小花"/>
  </r>
  <r>
    <s v="72"/>
    <x v="5"/>
    <n v="126000"/>
    <s v="2019-03-04"/>
    <s v="芒果"/>
    <s v="郭小婷"/>
  </r>
  <r>
    <s v="73"/>
    <x v="5"/>
    <n v="115000"/>
    <s v="2019-03-04"/>
    <s v="蘋果"/>
    <s v="李小怡"/>
  </r>
  <r>
    <s v="74"/>
    <x v="4"/>
    <n v="191000"/>
    <s v="2019-03-05"/>
    <s v="西瓜"/>
    <s v="楊小杉"/>
  </r>
  <r>
    <s v="75"/>
    <x v="0"/>
    <n v="289000"/>
    <s v="2019-03-06"/>
    <s v="香蕉"/>
    <s v="郭小婷"/>
  </r>
  <r>
    <s v="76"/>
    <x v="4"/>
    <n v="127000"/>
    <s v="2019-03-06"/>
    <s v="蘋果"/>
    <s v="吳小亮"/>
  </r>
  <r>
    <s v="77"/>
    <x v="5"/>
    <n v="207000"/>
    <s v="2019-03-06"/>
    <s v="鳳梨"/>
    <s v="葉小美"/>
  </r>
  <r>
    <s v="78"/>
    <x v="0"/>
    <n v="152000"/>
    <s v="2019-03-07"/>
    <s v="香蕉"/>
    <s v="葉小美"/>
  </r>
  <r>
    <s v="79"/>
    <x v="1"/>
    <n v="113000"/>
    <s v="2019-03-09"/>
    <s v="香蕉"/>
    <s v="林阿杰"/>
  </r>
  <r>
    <s v="80"/>
    <x v="3"/>
    <n v="112000"/>
    <s v="2019-03-11"/>
    <s v="香蕉"/>
    <s v="吳小亮"/>
  </r>
  <r>
    <s v="81"/>
    <x v="6"/>
    <n v="256000"/>
    <s v="2019-03-15"/>
    <s v="香蕉"/>
    <s v="楊小杉"/>
  </r>
  <r>
    <s v="82"/>
    <x v="5"/>
    <n v="202000"/>
    <s v="2019-03-20"/>
    <s v="蘋果"/>
    <s v="江小花"/>
  </r>
  <r>
    <s v="83"/>
    <x v="0"/>
    <n v="163000"/>
    <s v="2019-03-20"/>
    <s v="香蕉"/>
    <s v="林小玉"/>
  </r>
  <r>
    <s v="84"/>
    <x v="1"/>
    <n v="188000"/>
    <s v="2019-03-21"/>
    <s v="芒果"/>
    <s v="方小文"/>
  </r>
  <r>
    <s v="85"/>
    <x v="6"/>
    <n v="199000"/>
    <s v="2019-03-21"/>
    <s v="芒果"/>
    <s v="林小玉"/>
  </r>
  <r>
    <s v="86"/>
    <x v="6"/>
    <n v="174000"/>
    <s v="2019-03-21"/>
    <s v="芒果"/>
    <s v="林阿杰"/>
  </r>
  <r>
    <s v="87"/>
    <x v="6"/>
    <n v="55000"/>
    <s v="2019-03-23"/>
    <s v="西瓜"/>
    <s v="吳小亮"/>
  </r>
  <r>
    <s v="88"/>
    <x v="0"/>
    <n v="147000"/>
    <s v="2019-03-23"/>
    <s v="芒果"/>
    <s v="林阿杰"/>
  </r>
  <r>
    <s v="89"/>
    <x v="5"/>
    <n v="54000"/>
    <s v="2019-03-24"/>
    <s v="蘋果"/>
    <s v="楊小杉"/>
  </r>
  <r>
    <s v="90"/>
    <x v="6"/>
    <n v="100000"/>
    <s v="2019-03-24"/>
    <s v="鳳梨"/>
    <s v="吳小亮"/>
  </r>
  <r>
    <s v="91"/>
    <x v="1"/>
    <n v="51000"/>
    <s v="2019-03-24"/>
    <s v="西瓜"/>
    <s v="江小花"/>
  </r>
  <r>
    <s v="92"/>
    <x v="6"/>
    <n v="116000"/>
    <s v="2019-03-25"/>
    <s v="西瓜"/>
    <s v="江小花"/>
  </r>
  <r>
    <s v="93"/>
    <x v="5"/>
    <n v="125000"/>
    <s v="2019-03-29"/>
    <s v="西瓜"/>
    <s v="江小花"/>
  </r>
  <r>
    <s v="94"/>
    <x v="4"/>
    <n v="196000"/>
    <s v="2019-03-30"/>
    <s v="蘋果"/>
    <s v="葉小美"/>
  </r>
  <r>
    <s v="95"/>
    <x v="5"/>
    <n v="138000"/>
    <s v="2019-03-30"/>
    <s v="芒果"/>
    <s v="林阿杰"/>
  </r>
  <r>
    <s v="96"/>
    <x v="5"/>
    <n v="69000"/>
    <s v="2019-03-31"/>
    <s v="蘋果"/>
    <s v="葉小美"/>
  </r>
  <r>
    <s v="97"/>
    <x v="4"/>
    <n v="60000"/>
    <s v="2019-04-03"/>
    <s v="香蕉"/>
    <s v="楊小杉"/>
  </r>
  <r>
    <s v="98"/>
    <x v="3"/>
    <n v="216000"/>
    <s v="2019-04-04"/>
    <s v="蘋果"/>
    <s v="林小玉"/>
  </r>
  <r>
    <s v="99"/>
    <x v="1"/>
    <n v="193000"/>
    <s v="2019-04-05"/>
    <s v="柚子"/>
    <s v="林阿杰"/>
  </r>
  <r>
    <s v="100"/>
    <x v="3"/>
    <n v="88000"/>
    <s v="2019-04-06"/>
    <s v="蘋果"/>
    <s v="李小怡"/>
  </r>
  <r>
    <s v="101"/>
    <x v="6"/>
    <n v="239000"/>
    <s v="2019-04-07"/>
    <s v="芒果"/>
    <s v="吳小亮"/>
  </r>
  <r>
    <s v="102"/>
    <x v="2"/>
    <n v="41000"/>
    <s v="2019-04-09"/>
    <s v="柚子"/>
    <s v="郭小婷"/>
  </r>
  <r>
    <s v="103"/>
    <x v="5"/>
    <n v="155000"/>
    <s v="2019-04-09"/>
    <s v="香蕉"/>
    <s v="葉小美"/>
  </r>
  <r>
    <s v="104"/>
    <x v="5"/>
    <n v="51000"/>
    <s v="2019-04-11"/>
    <s v="香蕉"/>
    <s v="郭小婷"/>
  </r>
  <r>
    <s v="105"/>
    <x v="2"/>
    <n v="99000"/>
    <s v="2019-04-13"/>
    <s v="柚子"/>
    <s v="林小玉"/>
  </r>
  <r>
    <s v="106"/>
    <x v="1"/>
    <n v="213000"/>
    <s v="2019-04-15"/>
    <s v="西瓜"/>
    <s v="葉小美"/>
  </r>
  <r>
    <s v="107"/>
    <x v="5"/>
    <n v="91000"/>
    <s v="2019-04-16"/>
    <s v="芒果"/>
    <s v="楊小杉"/>
  </r>
  <r>
    <s v="108"/>
    <x v="1"/>
    <n v="155000"/>
    <s v="2019-04-17"/>
    <s v="芒果"/>
    <s v="林小玉"/>
  </r>
  <r>
    <s v="109"/>
    <x v="6"/>
    <n v="124000"/>
    <s v="2019-04-17"/>
    <s v="西瓜"/>
    <s v="郭小婷"/>
  </r>
  <r>
    <s v="110"/>
    <x v="5"/>
    <n v="198000"/>
    <s v="2019-04-19"/>
    <s v="蘋果"/>
    <s v="葉小美"/>
  </r>
  <r>
    <s v="111"/>
    <x v="0"/>
    <n v="279000"/>
    <s v="2019-04-21"/>
    <s v="蘋果"/>
    <s v="方小文"/>
  </r>
  <r>
    <s v="112"/>
    <x v="5"/>
    <n v="271000"/>
    <s v="2019-04-26"/>
    <s v="柚子"/>
    <s v="江小花"/>
  </r>
  <r>
    <s v="113"/>
    <x v="0"/>
    <n v="98000"/>
    <s v="2019-04-28"/>
    <s v="芒果"/>
    <s v="楊小杉"/>
  </r>
  <r>
    <s v="114"/>
    <x v="6"/>
    <n v="82000"/>
    <s v="2019-04-29"/>
    <s v="鳳梨"/>
    <s v="林阿杰"/>
  </r>
  <r>
    <s v="115"/>
    <x v="4"/>
    <n v="257000"/>
    <s v="2019-04-29"/>
    <s v="西瓜"/>
    <s v="吳小亮"/>
  </r>
  <r>
    <s v="116"/>
    <x v="2"/>
    <n v="239000"/>
    <s v="2019-05-01"/>
    <s v="蘋果"/>
    <s v="方小文"/>
  </r>
  <r>
    <s v="117"/>
    <x v="4"/>
    <n v="98000"/>
    <s v="2019-05-01"/>
    <s v="西瓜"/>
    <s v="林小玉"/>
  </r>
  <r>
    <s v="118"/>
    <x v="3"/>
    <n v="188000"/>
    <s v="2019-05-01"/>
    <s v="鳳梨"/>
    <s v="楊小杉"/>
  </r>
  <r>
    <s v="119"/>
    <x v="0"/>
    <n v="246000"/>
    <s v="2019-05-02"/>
    <s v="蘋果"/>
    <s v="葉小美"/>
  </r>
  <r>
    <s v="120"/>
    <x v="2"/>
    <n v="156000"/>
    <s v="2019-05-02"/>
    <s v="西瓜"/>
    <s v="方小文"/>
  </r>
  <r>
    <s v="121"/>
    <x v="1"/>
    <n v="252000"/>
    <s v="2019-05-02"/>
    <s v="柚子"/>
    <s v="吳小亮"/>
  </r>
  <r>
    <s v="122"/>
    <x v="1"/>
    <n v="161000"/>
    <s v="2019-05-03"/>
    <s v="鳳梨"/>
    <s v="郭小婷"/>
  </r>
  <r>
    <s v="123"/>
    <x v="3"/>
    <n v="79000"/>
    <s v="2019-05-04"/>
    <s v="蘋果"/>
    <s v="楊小杉"/>
  </r>
  <r>
    <s v="124"/>
    <x v="2"/>
    <n v="91000"/>
    <s v="2019-05-04"/>
    <s v="柚子"/>
    <s v="楊小杉"/>
  </r>
  <r>
    <s v="125"/>
    <x v="2"/>
    <n v="274000"/>
    <s v="2019-05-05"/>
    <s v="鳳梨"/>
    <s v="李小怡"/>
  </r>
  <r>
    <s v="126"/>
    <x v="5"/>
    <n v="225000"/>
    <s v="2019-05-05"/>
    <s v="柚子"/>
    <s v="吳小亮"/>
  </r>
  <r>
    <s v="127"/>
    <x v="4"/>
    <n v="60000"/>
    <s v="2019-05-07"/>
    <s v="香蕉"/>
    <s v="吳小亮"/>
  </r>
  <r>
    <s v="128"/>
    <x v="0"/>
    <n v="232000"/>
    <s v="2019-05-07"/>
    <s v="鳳梨"/>
    <s v="李小怡"/>
  </r>
  <r>
    <s v="129"/>
    <x v="2"/>
    <n v="258000"/>
    <s v="2019-05-08"/>
    <s v="芒果"/>
    <s v="吳小亮"/>
  </r>
  <r>
    <s v="130"/>
    <x v="5"/>
    <n v="214000"/>
    <s v="2019-05-10"/>
    <s v="鳳梨"/>
    <s v="葉小美"/>
  </r>
  <r>
    <s v="131"/>
    <x v="2"/>
    <n v="160000"/>
    <s v="2019-05-10"/>
    <s v="西瓜"/>
    <s v="吳小亮"/>
  </r>
  <r>
    <s v="132"/>
    <x v="1"/>
    <n v="172000"/>
    <s v="2019-05-11"/>
    <s v="香蕉"/>
    <s v="林阿杰"/>
  </r>
  <r>
    <s v="133"/>
    <x v="0"/>
    <n v="218000"/>
    <s v="2019-05-11"/>
    <s v="西瓜"/>
    <s v="吳小亮"/>
  </r>
  <r>
    <s v="134"/>
    <x v="5"/>
    <n v="99000"/>
    <s v="2019-05-12"/>
    <s v="西瓜"/>
    <s v="方小文"/>
  </r>
  <r>
    <s v="135"/>
    <x v="3"/>
    <n v="252000"/>
    <s v="2019-05-12"/>
    <s v="鳳梨"/>
    <s v="方小文"/>
  </r>
  <r>
    <s v="136"/>
    <x v="2"/>
    <n v="58000"/>
    <s v="2019-05-13"/>
    <s v="西瓜"/>
    <s v="郭小婷"/>
  </r>
  <r>
    <s v="137"/>
    <x v="6"/>
    <n v="272000"/>
    <s v="2019-05-14"/>
    <s v="西瓜"/>
    <s v="江小花"/>
  </r>
  <r>
    <s v="138"/>
    <x v="0"/>
    <n v="245000"/>
    <s v="2019-05-14"/>
    <s v="柚子"/>
    <s v="林小玉"/>
  </r>
  <r>
    <s v="139"/>
    <x v="5"/>
    <n v="199000"/>
    <s v="2019-05-15"/>
    <s v="西瓜"/>
    <s v="林阿杰"/>
  </r>
  <r>
    <s v="140"/>
    <x v="5"/>
    <n v="55000"/>
    <s v="2019-05-16"/>
    <s v="鳳梨"/>
    <s v="方小文"/>
  </r>
  <r>
    <s v="141"/>
    <x v="6"/>
    <n v="167000"/>
    <s v="2019-05-16"/>
    <s v="芒果"/>
    <s v="葉小美"/>
  </r>
  <r>
    <s v="142"/>
    <x v="5"/>
    <n v="270000"/>
    <s v="2019-05-17"/>
    <s v="西瓜"/>
    <s v="林小玉"/>
  </r>
  <r>
    <s v="143"/>
    <x v="5"/>
    <n v="208000"/>
    <s v="2019-05-17"/>
    <s v="芒果"/>
    <s v="吳小亮"/>
  </r>
  <r>
    <s v="144"/>
    <x v="5"/>
    <n v="269000"/>
    <s v="2019-05-17"/>
    <s v="西瓜"/>
    <s v="郭小婷"/>
  </r>
  <r>
    <s v="145"/>
    <x v="0"/>
    <n v="200000"/>
    <s v="2019-05-21"/>
    <s v="鳳梨"/>
    <s v="江小花"/>
  </r>
  <r>
    <s v="146"/>
    <x v="1"/>
    <n v="213000"/>
    <s v="2019-05-22"/>
    <s v="柚子"/>
    <s v="方小文"/>
  </r>
  <r>
    <s v="147"/>
    <x v="6"/>
    <n v="144000"/>
    <s v="2019-05-27"/>
    <s v="香蕉"/>
    <s v="吳小亮"/>
  </r>
  <r>
    <s v="148"/>
    <x v="2"/>
    <n v="149000"/>
    <s v="2019-05-27"/>
    <s v="蘋果"/>
    <s v="葉小美"/>
  </r>
  <r>
    <s v="149"/>
    <x v="3"/>
    <n v="102000"/>
    <s v="2019-05-28"/>
    <s v="芒果"/>
    <s v="吳小亮"/>
  </r>
  <r>
    <s v="150"/>
    <x v="3"/>
    <n v="120000"/>
    <s v="2019-05-29"/>
    <s v="蘋果"/>
    <s v="葉小美"/>
  </r>
  <r>
    <s v="151"/>
    <x v="0"/>
    <n v="102000"/>
    <s v="2019-05-29"/>
    <s v="西瓜"/>
    <s v="郭小婷"/>
  </r>
  <r>
    <s v="152"/>
    <x v="4"/>
    <n v="106000"/>
    <s v="2019-05-31"/>
    <s v="香蕉"/>
    <s v="林阿杰"/>
  </r>
  <r>
    <s v="153"/>
    <x v="0"/>
    <n v="172000"/>
    <s v="2019-05-31"/>
    <s v="鳳梨"/>
    <s v="林小玉"/>
  </r>
  <r>
    <s v="154"/>
    <x v="5"/>
    <n v="199000"/>
    <s v="2019-06-01"/>
    <s v="香蕉"/>
    <s v="吳小亮"/>
  </r>
  <r>
    <s v="155"/>
    <x v="4"/>
    <n v="75000"/>
    <s v="2019-06-04"/>
    <s v="芒果"/>
    <s v="林小玉"/>
  </r>
  <r>
    <s v="156"/>
    <x v="2"/>
    <n v="273000"/>
    <s v="2019-06-05"/>
    <s v="芒果"/>
    <s v="楊小杉"/>
  </r>
  <r>
    <s v="157"/>
    <x v="2"/>
    <n v="228000"/>
    <s v="2019-06-06"/>
    <s v="香蕉"/>
    <s v="楊小杉"/>
  </r>
  <r>
    <s v="158"/>
    <x v="4"/>
    <n v="228000"/>
    <s v="2019-06-07"/>
    <s v="柚子"/>
    <s v="楊小杉"/>
  </r>
  <r>
    <s v="159"/>
    <x v="5"/>
    <n v="94000"/>
    <s v="2019-06-08"/>
    <s v="鳳梨"/>
    <s v="江小花"/>
  </r>
  <r>
    <s v="160"/>
    <x v="0"/>
    <n v="104000"/>
    <s v="2019-06-08"/>
    <s v="芒果"/>
    <s v="吳小亮"/>
  </r>
  <r>
    <s v="161"/>
    <x v="4"/>
    <n v="79000"/>
    <s v="2019-06-08"/>
    <s v="芒果"/>
    <s v="吳小亮"/>
  </r>
  <r>
    <s v="162"/>
    <x v="6"/>
    <n v="30000"/>
    <s v="2019-06-09"/>
    <s v="芒果"/>
    <s v="郭小婷"/>
  </r>
  <r>
    <s v="163"/>
    <x v="6"/>
    <n v="225000"/>
    <s v="2019-06-13"/>
    <s v="芒果"/>
    <s v="楊小杉"/>
  </r>
  <r>
    <s v="164"/>
    <x v="2"/>
    <n v="121000"/>
    <s v="2019-06-17"/>
    <s v="蘋果"/>
    <s v="郭小婷"/>
  </r>
  <r>
    <s v="165"/>
    <x v="5"/>
    <n v="286000"/>
    <s v="2019-06-17"/>
    <s v="柚子"/>
    <s v="林小玉"/>
  </r>
  <r>
    <s v="166"/>
    <x v="6"/>
    <n v="152000"/>
    <s v="2019-06-17"/>
    <s v="西瓜"/>
    <s v="楊小杉"/>
  </r>
  <r>
    <s v="167"/>
    <x v="0"/>
    <n v="264000"/>
    <s v="2019-06-18"/>
    <s v="柚子"/>
    <s v="江小花"/>
  </r>
  <r>
    <s v="168"/>
    <x v="0"/>
    <n v="172000"/>
    <s v="2019-06-18"/>
    <s v="蘋果"/>
    <s v="林阿杰"/>
  </r>
  <r>
    <s v="169"/>
    <x v="1"/>
    <n v="170000"/>
    <s v="2019-06-20"/>
    <s v="芒果"/>
    <s v="方小文"/>
  </r>
  <r>
    <s v="170"/>
    <x v="6"/>
    <n v="111000"/>
    <s v="2019-06-21"/>
    <s v="鳳梨"/>
    <s v="吳小亮"/>
  </r>
  <r>
    <s v="171"/>
    <x v="5"/>
    <n v="153000"/>
    <s v="2019-06-21"/>
    <s v="西瓜"/>
    <s v="江小花"/>
  </r>
  <r>
    <s v="172"/>
    <x v="1"/>
    <n v="273000"/>
    <s v="2019-06-22"/>
    <s v="香蕉"/>
    <s v="林小玉"/>
  </r>
  <r>
    <s v="173"/>
    <x v="4"/>
    <n v="261000"/>
    <s v="2019-06-24"/>
    <s v="芒果"/>
    <s v="江小花"/>
  </r>
  <r>
    <s v="174"/>
    <x v="0"/>
    <n v="124000"/>
    <s v="2019-06-24"/>
    <s v="香蕉"/>
    <s v="葉小美"/>
  </r>
  <r>
    <s v="175"/>
    <x v="2"/>
    <n v="249000"/>
    <s v="2019-06-25"/>
    <s v="蘋果"/>
    <s v="林小玉"/>
  </r>
  <r>
    <s v="176"/>
    <x v="2"/>
    <n v="30000"/>
    <s v="2019-06-26"/>
    <s v="芒果"/>
    <s v="江小花"/>
  </r>
  <r>
    <s v="177"/>
    <x v="0"/>
    <n v="166000"/>
    <s v="2019-06-27"/>
    <s v="鳳梨"/>
    <s v="方小文"/>
  </r>
  <r>
    <s v="178"/>
    <x v="0"/>
    <n v="71000"/>
    <s v="2019-06-28"/>
    <s v="柚子"/>
    <s v="李小怡"/>
  </r>
  <r>
    <s v="179"/>
    <x v="4"/>
    <n v="136000"/>
    <s v="2019-06-28"/>
    <s v="蘋果"/>
    <s v="林阿杰"/>
  </r>
  <r>
    <s v="180"/>
    <x v="6"/>
    <n v="102000"/>
    <s v="2019-06-28"/>
    <s v="西瓜"/>
    <s v="方小文"/>
  </r>
  <r>
    <s v="181"/>
    <x v="2"/>
    <n v="238000"/>
    <s v="2019-06-28"/>
    <s v="柚子"/>
    <s v="林阿杰"/>
  </r>
  <r>
    <s v="182"/>
    <x v="0"/>
    <n v="100000"/>
    <s v="2019-06-28"/>
    <s v="芒果"/>
    <s v="吳小亮"/>
  </r>
  <r>
    <s v="183"/>
    <x v="5"/>
    <n v="63000"/>
    <s v="2019-06-29"/>
    <s v="西瓜"/>
    <s v="楊小杉"/>
  </r>
  <r>
    <s v="184"/>
    <x v="0"/>
    <n v="65000"/>
    <s v="2019-06-29"/>
    <s v="香蕉"/>
    <s v="李小怡"/>
  </r>
  <r>
    <s v="185"/>
    <x v="3"/>
    <n v="266000"/>
    <s v="2019-06-30"/>
    <s v="柚子"/>
    <s v="葉小美"/>
  </r>
  <r>
    <s v="186"/>
    <x v="6"/>
    <n v="259000"/>
    <s v="2019-06-30"/>
    <s v="西瓜"/>
    <s v="方小文"/>
  </r>
  <r>
    <s v="187"/>
    <x v="3"/>
    <n v="216000"/>
    <s v="2019-07-01"/>
    <s v="鳳梨"/>
    <s v="李小怡"/>
  </r>
  <r>
    <s v="188"/>
    <x v="4"/>
    <n v="260000"/>
    <s v="2019-07-01"/>
    <s v="芒果"/>
    <s v="江小花"/>
  </r>
  <r>
    <s v="189"/>
    <x v="3"/>
    <n v="132000"/>
    <s v="2019-07-02"/>
    <s v="蘋果"/>
    <s v="吳小亮"/>
  </r>
  <r>
    <s v="190"/>
    <x v="5"/>
    <n v="139000"/>
    <s v="2019-07-02"/>
    <s v="鳳梨"/>
    <s v="郭小婷"/>
  </r>
  <r>
    <s v="191"/>
    <x v="2"/>
    <n v="145000"/>
    <s v="2019-07-03"/>
    <s v="芒果"/>
    <s v="葉小美"/>
  </r>
  <r>
    <s v="192"/>
    <x v="2"/>
    <n v="92000"/>
    <s v="2019-07-04"/>
    <s v="鳳梨"/>
    <s v="李小怡"/>
  </r>
  <r>
    <s v="193"/>
    <x v="5"/>
    <n v="197000"/>
    <s v="2019-07-06"/>
    <s v="西瓜"/>
    <s v="葉小美"/>
  </r>
  <r>
    <s v="194"/>
    <x v="4"/>
    <n v="234000"/>
    <s v="2019-07-06"/>
    <s v="西瓜"/>
    <s v="林小玉"/>
  </r>
  <r>
    <s v="195"/>
    <x v="0"/>
    <n v="142000"/>
    <s v="2019-07-07"/>
    <s v="香蕉"/>
    <s v="方小文"/>
  </r>
  <r>
    <s v="196"/>
    <x v="0"/>
    <n v="84000"/>
    <s v="2019-07-10"/>
    <s v="西瓜"/>
    <s v="葉小美"/>
  </r>
  <r>
    <s v="197"/>
    <x v="2"/>
    <n v="243000"/>
    <s v="2019-07-11"/>
    <s v="西瓜"/>
    <s v="吳小亮"/>
  </r>
  <r>
    <s v="198"/>
    <x v="6"/>
    <n v="104000"/>
    <s v="2019-07-11"/>
    <s v="蘋果"/>
    <s v="楊小杉"/>
  </r>
  <r>
    <s v="199"/>
    <x v="0"/>
    <n v="252000"/>
    <s v="2019-07-13"/>
    <s v="鳳梨"/>
    <s v="郭小婷"/>
  </r>
  <r>
    <s v="200"/>
    <x v="5"/>
    <n v="274000"/>
    <s v="2019-07-14"/>
    <s v="香蕉"/>
    <s v="李小怡"/>
  </r>
  <r>
    <s v="201"/>
    <x v="1"/>
    <n v="46000"/>
    <s v="2019-07-14"/>
    <s v="蘋果"/>
    <s v="吳小亮"/>
  </r>
  <r>
    <s v="202"/>
    <x v="3"/>
    <n v="259000"/>
    <s v="2019-07-14"/>
    <s v="鳳梨"/>
    <s v="吳小亮"/>
  </r>
  <r>
    <s v="203"/>
    <x v="1"/>
    <n v="218000"/>
    <s v="2019-07-16"/>
    <s v="芒果"/>
    <s v="林阿杰"/>
  </r>
  <r>
    <s v="204"/>
    <x v="0"/>
    <n v="57000"/>
    <s v="2019-07-16"/>
    <s v="柚子"/>
    <s v="林小玉"/>
  </r>
  <r>
    <s v="205"/>
    <x v="0"/>
    <n v="33000"/>
    <s v="2019-07-18"/>
    <s v="鳳梨"/>
    <s v="吳小亮"/>
  </r>
  <r>
    <s v="206"/>
    <x v="4"/>
    <n v="168000"/>
    <s v="2019-07-19"/>
    <s v="芒果"/>
    <s v="葉小美"/>
  </r>
  <r>
    <s v="207"/>
    <x v="4"/>
    <n v="48000"/>
    <s v="2019-07-20"/>
    <s v="柚子"/>
    <s v="楊小杉"/>
  </r>
  <r>
    <s v="208"/>
    <x v="2"/>
    <n v="72000"/>
    <s v="2019-07-20"/>
    <s v="香蕉"/>
    <s v="李小怡"/>
  </r>
  <r>
    <s v="209"/>
    <x v="4"/>
    <n v="123000"/>
    <s v="2019-07-24"/>
    <s v="香蕉"/>
    <s v="郭小婷"/>
  </r>
  <r>
    <s v="210"/>
    <x v="5"/>
    <n v="230000"/>
    <s v="2019-07-27"/>
    <s v="西瓜"/>
    <s v="郭小婷"/>
  </r>
  <r>
    <s v="211"/>
    <x v="4"/>
    <n v="43000"/>
    <s v="2019-07-29"/>
    <s v="芒果"/>
    <s v="方小文"/>
  </r>
  <r>
    <s v="212"/>
    <x v="3"/>
    <n v="273000"/>
    <s v="2019-07-31"/>
    <s v="芒果"/>
    <s v="林小玉"/>
  </r>
  <r>
    <s v="213"/>
    <x v="4"/>
    <n v="100000"/>
    <s v="2019-08-01"/>
    <s v="香蕉"/>
    <s v="葉小美"/>
  </r>
  <r>
    <s v="214"/>
    <x v="0"/>
    <n v="282000"/>
    <s v="2019-08-01"/>
    <s v="香蕉"/>
    <s v="郭小婷"/>
  </r>
  <r>
    <s v="215"/>
    <x v="3"/>
    <n v="296000"/>
    <s v="2019-08-01"/>
    <s v="鳳梨"/>
    <s v="林阿杰"/>
  </r>
  <r>
    <s v="216"/>
    <x v="2"/>
    <n v="208000"/>
    <s v="2019-08-02"/>
    <s v="芒果"/>
    <s v="楊小杉"/>
  </r>
  <r>
    <s v="217"/>
    <x v="4"/>
    <n v="218000"/>
    <s v="2019-08-02"/>
    <s v="西瓜"/>
    <s v="林阿杰"/>
  </r>
  <r>
    <s v="218"/>
    <x v="6"/>
    <n v="229000"/>
    <s v="2019-08-03"/>
    <s v="鳳梨"/>
    <s v="江小花"/>
  </r>
  <r>
    <s v="219"/>
    <x v="5"/>
    <n v="238000"/>
    <s v="2019-08-04"/>
    <s v="蘋果"/>
    <s v="方小文"/>
  </r>
  <r>
    <s v="220"/>
    <x v="0"/>
    <n v="266000"/>
    <s v="2019-08-04"/>
    <s v="芒果"/>
    <s v="葉小美"/>
  </r>
  <r>
    <s v="221"/>
    <x v="1"/>
    <n v="279000"/>
    <s v="2019-08-05"/>
    <s v="芒果"/>
    <s v="李小怡"/>
  </r>
  <r>
    <s v="222"/>
    <x v="4"/>
    <n v="251000"/>
    <s v="2019-08-06"/>
    <s v="芒果"/>
    <s v="楊小杉"/>
  </r>
  <r>
    <s v="223"/>
    <x v="3"/>
    <n v="231000"/>
    <s v="2019-08-06"/>
    <s v="鳳梨"/>
    <s v="李小怡"/>
  </r>
  <r>
    <s v="224"/>
    <x v="0"/>
    <n v="244000"/>
    <s v="2019-08-06"/>
    <s v="柚子"/>
    <s v="林阿杰"/>
  </r>
  <r>
    <s v="225"/>
    <x v="4"/>
    <n v="104000"/>
    <s v="2019-08-07"/>
    <s v="鳳梨"/>
    <s v="江小花"/>
  </r>
  <r>
    <s v="226"/>
    <x v="4"/>
    <n v="213000"/>
    <s v="2019-08-07"/>
    <s v="香蕉"/>
    <s v="郭小婷"/>
  </r>
  <r>
    <s v="227"/>
    <x v="4"/>
    <n v="211000"/>
    <s v="2019-08-10"/>
    <s v="香蕉"/>
    <s v="林小玉"/>
  </r>
  <r>
    <s v="228"/>
    <x v="3"/>
    <n v="154000"/>
    <s v="2019-08-15"/>
    <s v="蘋果"/>
    <s v="楊小杉"/>
  </r>
  <r>
    <s v="229"/>
    <x v="0"/>
    <n v="271000"/>
    <s v="2019-08-15"/>
    <s v="蘋果"/>
    <s v="方小文"/>
  </r>
  <r>
    <s v="230"/>
    <x v="4"/>
    <n v="153000"/>
    <s v="2019-08-17"/>
    <s v="西瓜"/>
    <s v="林小玉"/>
  </r>
  <r>
    <s v="231"/>
    <x v="0"/>
    <n v="69000"/>
    <s v="2019-08-17"/>
    <s v="芒果"/>
    <s v="吳小亮"/>
  </r>
  <r>
    <s v="232"/>
    <x v="0"/>
    <n v="118000"/>
    <s v="2019-08-19"/>
    <s v="西瓜"/>
    <s v="郭小婷"/>
  </r>
  <r>
    <s v="233"/>
    <x v="1"/>
    <n v="249000"/>
    <s v="2019-08-20"/>
    <s v="鳳梨"/>
    <s v="林阿杰"/>
  </r>
  <r>
    <s v="234"/>
    <x v="4"/>
    <n v="86000"/>
    <s v="2019-08-20"/>
    <s v="蘋果"/>
    <s v="楊小杉"/>
  </r>
  <r>
    <s v="235"/>
    <x v="2"/>
    <n v="173000"/>
    <s v="2019-08-22"/>
    <s v="西瓜"/>
    <s v="葉小美"/>
  </r>
  <r>
    <s v="236"/>
    <x v="2"/>
    <n v="216000"/>
    <s v="2019-08-23"/>
    <s v="西瓜"/>
    <s v="林小玉"/>
  </r>
  <r>
    <s v="237"/>
    <x v="1"/>
    <n v="277000"/>
    <s v="2019-08-24"/>
    <s v="柚子"/>
    <s v="林小玉"/>
  </r>
  <r>
    <s v="238"/>
    <x v="6"/>
    <n v="53000"/>
    <s v="2019-08-25"/>
    <s v="鳳梨"/>
    <s v="郭小婷"/>
  </r>
  <r>
    <s v="239"/>
    <x v="3"/>
    <n v="58000"/>
    <s v="2019-08-26"/>
    <s v="香蕉"/>
    <s v="李小怡"/>
  </r>
  <r>
    <s v="240"/>
    <x v="0"/>
    <n v="55000"/>
    <s v="2019-08-27"/>
    <s v="西瓜"/>
    <s v="吳小亮"/>
  </r>
  <r>
    <s v="241"/>
    <x v="6"/>
    <n v="168000"/>
    <s v="2019-08-27"/>
    <s v="西瓜"/>
    <s v="郭小婷"/>
  </r>
  <r>
    <s v="242"/>
    <x v="3"/>
    <n v="189000"/>
    <s v="2019-08-28"/>
    <s v="芒果"/>
    <s v="林阿杰"/>
  </r>
  <r>
    <s v="243"/>
    <x v="2"/>
    <n v="222000"/>
    <s v="2019-08-28"/>
    <s v="芒果"/>
    <s v="郭小婷"/>
  </r>
  <r>
    <s v="244"/>
    <x v="1"/>
    <n v="196000"/>
    <s v="2019-08-29"/>
    <s v="香蕉"/>
    <s v="葉小美"/>
  </r>
  <r>
    <s v="245"/>
    <x v="4"/>
    <n v="282000"/>
    <s v="2019-08-29"/>
    <s v="蘋果"/>
    <s v="林阿杰"/>
  </r>
  <r>
    <s v="246"/>
    <x v="1"/>
    <n v="167000"/>
    <s v="2019-08-30"/>
    <s v="西瓜"/>
    <s v="江小花"/>
  </r>
  <r>
    <s v="247"/>
    <x v="6"/>
    <n v="37000"/>
    <s v="2019-08-30"/>
    <s v="芒果"/>
    <s v="楊小杉"/>
  </r>
  <r>
    <s v="248"/>
    <x v="0"/>
    <n v="260000"/>
    <s v="2019-09-01"/>
    <s v="鳳梨"/>
    <s v="郭小婷"/>
  </r>
  <r>
    <s v="249"/>
    <x v="2"/>
    <n v="110000"/>
    <s v="2019-09-01"/>
    <s v="蘋果"/>
    <s v="方小文"/>
  </r>
  <r>
    <s v="250"/>
    <x v="3"/>
    <n v="136000"/>
    <s v="2019-09-03"/>
    <s v="蘋果"/>
    <s v="方小文"/>
  </r>
  <r>
    <s v="251"/>
    <x v="5"/>
    <n v="285000"/>
    <s v="2019-09-07"/>
    <s v="柚子"/>
    <s v="林小玉"/>
  </r>
  <r>
    <s v="252"/>
    <x v="0"/>
    <n v="153000"/>
    <s v="2019-09-08"/>
    <s v="蘋果"/>
    <s v="葉小美"/>
  </r>
  <r>
    <s v="253"/>
    <x v="3"/>
    <n v="97000"/>
    <s v="2019-09-11"/>
    <s v="鳳梨"/>
    <s v="江小花"/>
  </r>
  <r>
    <s v="254"/>
    <x v="0"/>
    <n v="212000"/>
    <s v="2019-09-11"/>
    <s v="香蕉"/>
    <s v="吳小亮"/>
  </r>
  <r>
    <s v="255"/>
    <x v="2"/>
    <n v="168000"/>
    <s v="2019-09-11"/>
    <s v="鳳梨"/>
    <s v="江小花"/>
  </r>
  <r>
    <s v="256"/>
    <x v="3"/>
    <n v="227000"/>
    <s v="2019-09-11"/>
    <s v="柚子"/>
    <s v="方小文"/>
  </r>
  <r>
    <s v="257"/>
    <x v="2"/>
    <n v="40000"/>
    <s v="2019-09-12"/>
    <s v="西瓜"/>
    <s v="李小怡"/>
  </r>
  <r>
    <s v="258"/>
    <x v="4"/>
    <n v="36000"/>
    <s v="2019-09-15"/>
    <s v="西瓜"/>
    <s v="葉小美"/>
  </r>
  <r>
    <s v="259"/>
    <x v="2"/>
    <n v="40000"/>
    <s v="2019-09-18"/>
    <s v="柚子"/>
    <s v="楊小杉"/>
  </r>
  <r>
    <s v="260"/>
    <x v="1"/>
    <n v="210000"/>
    <s v="2019-09-19"/>
    <s v="芒果"/>
    <s v="郭小婷"/>
  </r>
  <r>
    <s v="261"/>
    <x v="1"/>
    <n v="96000"/>
    <s v="2019-09-22"/>
    <s v="香蕉"/>
    <s v="郭小婷"/>
  </r>
  <r>
    <s v="262"/>
    <x v="4"/>
    <n v="125000"/>
    <s v="2019-09-23"/>
    <s v="柚子"/>
    <s v="江小花"/>
  </r>
  <r>
    <s v="263"/>
    <x v="1"/>
    <n v="260000"/>
    <s v="2019-09-25"/>
    <s v="香蕉"/>
    <s v="李小怡"/>
  </r>
  <r>
    <s v="264"/>
    <x v="2"/>
    <n v="54000"/>
    <s v="2019-09-26"/>
    <s v="蘋果"/>
    <s v="郭小婷"/>
  </r>
  <r>
    <s v="265"/>
    <x v="0"/>
    <n v="234000"/>
    <s v="2019-09-26"/>
    <s v="西瓜"/>
    <s v="李小怡"/>
  </r>
  <r>
    <s v="266"/>
    <x v="3"/>
    <n v="101000"/>
    <s v="2019-09-28"/>
    <s v="蘋果"/>
    <s v="江小花"/>
  </r>
  <r>
    <s v="267"/>
    <x v="4"/>
    <n v="297000"/>
    <s v="2019-09-29"/>
    <s v="西瓜"/>
    <s v="李小怡"/>
  </r>
  <r>
    <s v="268"/>
    <x v="6"/>
    <n v="31000"/>
    <s v="2019-09-29"/>
    <s v="西瓜"/>
    <s v="吳小亮"/>
  </r>
  <r>
    <s v="269"/>
    <x v="1"/>
    <n v="70000"/>
    <s v="2019-09-30"/>
    <s v="香蕉"/>
    <s v="楊小杉"/>
  </r>
  <r>
    <s v="270"/>
    <x v="4"/>
    <n v="169000"/>
    <s v="2019-10-02"/>
    <s v="香蕉"/>
    <s v="李小怡"/>
  </r>
  <r>
    <s v="271"/>
    <x v="1"/>
    <n v="207000"/>
    <s v="2019-10-02"/>
    <s v="芒果"/>
    <s v="吳小亮"/>
  </r>
  <r>
    <s v="272"/>
    <x v="1"/>
    <n v="142000"/>
    <s v="2019-10-02"/>
    <s v="鳳梨"/>
    <s v="李小怡"/>
  </r>
  <r>
    <s v="273"/>
    <x v="0"/>
    <n v="290000"/>
    <s v="2019-10-04"/>
    <s v="鳳梨"/>
    <s v="吳小亮"/>
  </r>
  <r>
    <s v="274"/>
    <x v="0"/>
    <n v="128000"/>
    <s v="2019-10-07"/>
    <s v="香蕉"/>
    <s v="林小玉"/>
  </r>
  <r>
    <s v="275"/>
    <x v="4"/>
    <n v="124000"/>
    <s v="2019-10-08"/>
    <s v="柚子"/>
    <s v="李小怡"/>
  </r>
  <r>
    <s v="276"/>
    <x v="4"/>
    <n v="284000"/>
    <s v="2019-10-13"/>
    <s v="鳳梨"/>
    <s v="方小文"/>
  </r>
  <r>
    <s v="277"/>
    <x v="3"/>
    <n v="191000"/>
    <s v="2019-10-14"/>
    <s v="蘋果"/>
    <s v="方小文"/>
  </r>
  <r>
    <s v="278"/>
    <x v="5"/>
    <n v="107000"/>
    <s v="2019-10-16"/>
    <s v="芒果"/>
    <s v="楊小杉"/>
  </r>
  <r>
    <s v="279"/>
    <x v="1"/>
    <n v="234000"/>
    <s v="2019-10-16"/>
    <s v="西瓜"/>
    <s v="郭小婷"/>
  </r>
  <r>
    <s v="280"/>
    <x v="3"/>
    <n v="214000"/>
    <s v="2019-10-18"/>
    <s v="柚子"/>
    <s v="林小玉"/>
  </r>
  <r>
    <s v="281"/>
    <x v="1"/>
    <n v="182000"/>
    <s v="2019-10-19"/>
    <s v="西瓜"/>
    <s v="林阿杰"/>
  </r>
  <r>
    <s v="282"/>
    <x v="4"/>
    <n v="276000"/>
    <s v="2019-10-21"/>
    <s v="香蕉"/>
    <s v="郭小婷"/>
  </r>
  <r>
    <s v="283"/>
    <x v="0"/>
    <n v="51000"/>
    <s v="2019-10-22"/>
    <s v="蘋果"/>
    <s v="林小玉"/>
  </r>
  <r>
    <s v="284"/>
    <x v="3"/>
    <n v="84000"/>
    <s v="2019-10-22"/>
    <s v="芒果"/>
    <s v="江小花"/>
  </r>
  <r>
    <s v="285"/>
    <x v="6"/>
    <n v="61000"/>
    <s v="2019-10-22"/>
    <s v="柚子"/>
    <s v="吳小亮"/>
  </r>
  <r>
    <s v="286"/>
    <x v="2"/>
    <n v="187000"/>
    <s v="2019-10-22"/>
    <s v="鳳梨"/>
    <s v="葉小美"/>
  </r>
  <r>
    <s v="287"/>
    <x v="2"/>
    <n v="126000"/>
    <s v="2019-10-23"/>
    <s v="柚子"/>
    <s v="吳小亮"/>
  </r>
  <r>
    <s v="288"/>
    <x v="6"/>
    <n v="217000"/>
    <s v="2019-10-25"/>
    <s v="蘋果"/>
    <s v="李小怡"/>
  </r>
  <r>
    <s v="289"/>
    <x v="4"/>
    <n v="153000"/>
    <s v="2019-10-26"/>
    <s v="柚子"/>
    <s v="林阿杰"/>
  </r>
  <r>
    <s v="290"/>
    <x v="1"/>
    <n v="170000"/>
    <s v="2019-10-29"/>
    <s v="香蕉"/>
    <s v="葉小美"/>
  </r>
  <r>
    <s v="291"/>
    <x v="3"/>
    <n v="136000"/>
    <s v="2019-10-29"/>
    <s v="香蕉"/>
    <s v="江小花"/>
  </r>
  <r>
    <s v="292"/>
    <x v="2"/>
    <n v="273000"/>
    <s v="2019-10-30"/>
    <s v="鳳梨"/>
    <s v="方小文"/>
  </r>
  <r>
    <s v="293"/>
    <x v="2"/>
    <n v="242000"/>
    <s v="2019-11-01"/>
    <s v="柚子"/>
    <s v="吳小亮"/>
  </r>
  <r>
    <s v="294"/>
    <x v="3"/>
    <n v="64000"/>
    <s v="2019-11-01"/>
    <s v="柚子"/>
    <s v="李小怡"/>
  </r>
  <r>
    <s v="295"/>
    <x v="1"/>
    <n v="233000"/>
    <s v="2019-11-02"/>
    <s v="蘋果"/>
    <s v="葉小美"/>
  </r>
  <r>
    <s v="296"/>
    <x v="4"/>
    <n v="148000"/>
    <s v="2019-11-02"/>
    <s v="蘋果"/>
    <s v="方小文"/>
  </r>
  <r>
    <s v="297"/>
    <x v="0"/>
    <n v="77000"/>
    <s v="2019-11-03"/>
    <s v="蘋果"/>
    <s v="林小玉"/>
  </r>
  <r>
    <s v="298"/>
    <x v="3"/>
    <n v="179000"/>
    <s v="2019-11-03"/>
    <s v="香蕉"/>
    <s v="葉小美"/>
  </r>
  <r>
    <s v="299"/>
    <x v="6"/>
    <n v="108000"/>
    <s v="2019-11-05"/>
    <s v="鳳梨"/>
    <s v="江小花"/>
  </r>
  <r>
    <s v="300"/>
    <x v="3"/>
    <n v="61000"/>
    <s v="2019-11-06"/>
    <s v="芒果"/>
    <s v="吳小亮"/>
  </r>
  <r>
    <s v="301"/>
    <x v="5"/>
    <n v="291000"/>
    <s v="2019-11-06"/>
    <s v="柚子"/>
    <s v="林阿杰"/>
  </r>
  <r>
    <s v="302"/>
    <x v="6"/>
    <n v="285000"/>
    <s v="2019-11-09"/>
    <s v="鳳梨"/>
    <s v="楊小杉"/>
  </r>
  <r>
    <s v="303"/>
    <x v="5"/>
    <n v="237000"/>
    <s v="2019-11-09"/>
    <s v="芒果"/>
    <s v="楊小杉"/>
  </r>
  <r>
    <s v="304"/>
    <x v="2"/>
    <n v="237000"/>
    <s v="2019-11-09"/>
    <s v="西瓜"/>
    <s v="郭小婷"/>
  </r>
  <r>
    <s v="305"/>
    <x v="3"/>
    <n v="217000"/>
    <s v="2019-11-10"/>
    <s v="蘋果"/>
    <s v="林阿杰"/>
  </r>
  <r>
    <s v="306"/>
    <x v="0"/>
    <n v="173000"/>
    <s v="2019-11-12"/>
    <s v="香蕉"/>
    <s v="吳小亮"/>
  </r>
  <r>
    <s v="307"/>
    <x v="6"/>
    <n v="185000"/>
    <s v="2019-11-14"/>
    <s v="西瓜"/>
    <s v="方小文"/>
  </r>
  <r>
    <s v="308"/>
    <x v="3"/>
    <n v="86000"/>
    <s v="2019-11-14"/>
    <s v="蘋果"/>
    <s v="方小文"/>
  </r>
  <r>
    <s v="309"/>
    <x v="1"/>
    <n v="78000"/>
    <s v="2019-11-14"/>
    <s v="蘋果"/>
    <s v="方小文"/>
  </r>
  <r>
    <s v="310"/>
    <x v="4"/>
    <n v="223000"/>
    <s v="2019-11-14"/>
    <s v="香蕉"/>
    <s v="郭小婷"/>
  </r>
  <r>
    <s v="311"/>
    <x v="0"/>
    <n v="175000"/>
    <s v="2019-11-15"/>
    <s v="香蕉"/>
    <s v="吳小亮"/>
  </r>
  <r>
    <s v="312"/>
    <x v="2"/>
    <n v="89000"/>
    <s v="2019-11-16"/>
    <s v="西瓜"/>
    <s v="江小花"/>
  </r>
  <r>
    <s v="313"/>
    <x v="1"/>
    <n v="206000"/>
    <s v="2019-11-17"/>
    <s v="柚子"/>
    <s v="方小文"/>
  </r>
  <r>
    <s v="314"/>
    <x v="5"/>
    <n v="80000"/>
    <s v="2019-11-19"/>
    <s v="西瓜"/>
    <s v="林阿杰"/>
  </r>
  <r>
    <s v="315"/>
    <x v="5"/>
    <n v="159000"/>
    <s v="2019-11-21"/>
    <s v="鳳梨"/>
    <s v="郭小婷"/>
  </r>
  <r>
    <s v="316"/>
    <x v="4"/>
    <n v="225000"/>
    <s v="2019-11-21"/>
    <s v="鳳梨"/>
    <s v="方小文"/>
  </r>
  <r>
    <s v="317"/>
    <x v="5"/>
    <n v="145000"/>
    <s v="2019-11-22"/>
    <s v="鳳梨"/>
    <s v="方小文"/>
  </r>
  <r>
    <s v="318"/>
    <x v="6"/>
    <n v="70000"/>
    <s v="2019-11-22"/>
    <s v="香蕉"/>
    <s v="吳小亮"/>
  </r>
  <r>
    <s v="319"/>
    <x v="2"/>
    <n v="288000"/>
    <s v="2019-11-23"/>
    <s v="蘋果"/>
    <s v="葉小美"/>
  </r>
  <r>
    <s v="320"/>
    <x v="2"/>
    <n v="206000"/>
    <s v="2019-11-25"/>
    <s v="香蕉"/>
    <s v="楊小杉"/>
  </r>
  <r>
    <s v="321"/>
    <x v="0"/>
    <n v="284000"/>
    <s v="2019-11-26"/>
    <s v="芒果"/>
    <s v="江小花"/>
  </r>
  <r>
    <s v="322"/>
    <x v="0"/>
    <n v="209000"/>
    <s v="2019-11-26"/>
    <s v="西瓜"/>
    <s v="江小花"/>
  </r>
  <r>
    <s v="323"/>
    <x v="3"/>
    <n v="290000"/>
    <s v="2019-12-03"/>
    <s v="香蕉"/>
    <s v="李小怡"/>
  </r>
  <r>
    <s v="324"/>
    <x v="1"/>
    <n v="263000"/>
    <s v="2019-12-04"/>
    <s v="柚子"/>
    <s v="楊小杉"/>
  </r>
  <r>
    <s v="325"/>
    <x v="1"/>
    <n v="236000"/>
    <s v="2019-12-06"/>
    <s v="蘋果"/>
    <s v="林阿杰"/>
  </r>
  <r>
    <s v="326"/>
    <x v="0"/>
    <n v="114000"/>
    <s v="2019-12-10"/>
    <s v="西瓜"/>
    <s v="林阿杰"/>
  </r>
  <r>
    <s v="327"/>
    <x v="0"/>
    <n v="178000"/>
    <s v="2019-12-12"/>
    <s v="香蕉"/>
    <s v="林阿杰"/>
  </r>
  <r>
    <s v="328"/>
    <x v="2"/>
    <n v="105000"/>
    <s v="2019-12-12"/>
    <s v="芒果"/>
    <s v="林阿杰"/>
  </r>
  <r>
    <s v="329"/>
    <x v="3"/>
    <n v="221000"/>
    <s v="2019-12-15"/>
    <s v="芒果"/>
    <s v="林小玉"/>
  </r>
  <r>
    <s v="330"/>
    <x v="1"/>
    <n v="53000"/>
    <s v="2019-12-16"/>
    <s v="芒果"/>
    <s v="林小玉"/>
  </r>
  <r>
    <s v="331"/>
    <x v="3"/>
    <n v="202000"/>
    <s v="2019-12-18"/>
    <s v="鳳梨"/>
    <s v="郭小婷"/>
  </r>
  <r>
    <s v="332"/>
    <x v="0"/>
    <n v="270000"/>
    <s v="2019-12-18"/>
    <s v="鳳梨"/>
    <s v="林阿杰"/>
  </r>
  <r>
    <s v="333"/>
    <x v="0"/>
    <n v="140000"/>
    <s v="2019-12-18"/>
    <s v="蘋果"/>
    <s v="楊小杉"/>
  </r>
  <r>
    <s v="334"/>
    <x v="0"/>
    <n v="85000"/>
    <s v="2019-12-19"/>
    <s v="西瓜"/>
    <s v="林阿杰"/>
  </r>
  <r>
    <s v="335"/>
    <x v="0"/>
    <n v="88000"/>
    <s v="2019-12-19"/>
    <s v="蘋果"/>
    <s v="林小玉"/>
  </r>
  <r>
    <s v="336"/>
    <x v="4"/>
    <n v="103000"/>
    <s v="2019-12-20"/>
    <s v="西瓜"/>
    <s v="方小文"/>
  </r>
  <r>
    <s v="337"/>
    <x v="2"/>
    <n v="227000"/>
    <s v="2019-12-24"/>
    <s v="西瓜"/>
    <s v="江小花"/>
  </r>
  <r>
    <s v="338"/>
    <x v="4"/>
    <n v="280000"/>
    <s v="2019-12-24"/>
    <s v="芒果"/>
    <s v="楊小杉"/>
  </r>
  <r>
    <s v="339"/>
    <x v="0"/>
    <n v="112000"/>
    <s v="2019-12-26"/>
    <s v="西瓜"/>
    <s v="楊小杉"/>
  </r>
  <r>
    <s v="340"/>
    <x v="6"/>
    <n v="159000"/>
    <s v="2019-12-26"/>
    <s v="蘋果"/>
    <s v="方小文"/>
  </r>
  <r>
    <s v="341"/>
    <x v="2"/>
    <n v="272000"/>
    <s v="2019-12-29"/>
    <s v="香蕉"/>
    <s v="江小花"/>
  </r>
  <r>
    <s v="342"/>
    <x v="3"/>
    <n v="284000"/>
    <s v="2019-12-30"/>
    <s v="柚子"/>
    <s v="林阿杰"/>
  </r>
  <r>
    <s v="343"/>
    <x v="5"/>
    <n v="120000"/>
    <s v="2019-12-30"/>
    <s v="柚子"/>
    <s v="葉小美"/>
  </r>
  <r>
    <s v="344"/>
    <x v="2"/>
    <n v="81000"/>
    <s v="2019-12-31"/>
    <s v="香蕉"/>
    <s v="楊小杉"/>
  </r>
  <r>
    <s v="345"/>
    <x v="5"/>
    <n v="272000"/>
    <s v="2019-12-31"/>
    <s v="蘋果"/>
    <s v="林阿杰"/>
  </r>
  <r>
    <s v="346"/>
    <x v="5"/>
    <n v="294000"/>
    <s v="2020-01-02"/>
    <s v="西瓜"/>
    <s v="吳小亮"/>
  </r>
  <r>
    <s v="347"/>
    <x v="0"/>
    <n v="234000"/>
    <s v="2020-01-02"/>
    <s v="香蕉"/>
    <s v="林小玉"/>
  </r>
  <r>
    <s v="348"/>
    <x v="3"/>
    <n v="110000"/>
    <s v="2020-01-03"/>
    <s v="西瓜"/>
    <s v="江小花"/>
  </r>
  <r>
    <s v="349"/>
    <x v="0"/>
    <n v="137000"/>
    <s v="2020-01-04"/>
    <s v="蘋果"/>
    <s v="林小玉"/>
  </r>
  <r>
    <s v="350"/>
    <x v="0"/>
    <n v="273000"/>
    <s v="2020-01-05"/>
    <s v="鳳梨"/>
    <s v="李小怡"/>
  </r>
  <r>
    <s v="351"/>
    <x v="6"/>
    <n v="157000"/>
    <s v="2020-01-06"/>
    <s v="芒果"/>
    <s v="林小玉"/>
  </r>
  <r>
    <s v="352"/>
    <x v="4"/>
    <n v="212000"/>
    <s v="2020-01-08"/>
    <s v="柚子"/>
    <s v="郭小婷"/>
  </r>
  <r>
    <s v="353"/>
    <x v="5"/>
    <n v="281000"/>
    <s v="2020-01-08"/>
    <s v="鳳梨"/>
    <s v="郭小婷"/>
  </r>
  <r>
    <s v="354"/>
    <x v="4"/>
    <n v="91000"/>
    <s v="2020-01-08"/>
    <s v="芒果"/>
    <s v="林小玉"/>
  </r>
  <r>
    <s v="355"/>
    <x v="1"/>
    <n v="85000"/>
    <s v="2020-01-09"/>
    <s v="西瓜"/>
    <s v="楊小杉"/>
  </r>
  <r>
    <s v="356"/>
    <x v="1"/>
    <n v="170000"/>
    <s v="2020-01-09"/>
    <s v="柚子"/>
    <s v="葉小美"/>
  </r>
  <r>
    <s v="357"/>
    <x v="1"/>
    <n v="213000"/>
    <s v="2020-01-10"/>
    <s v="芒果"/>
    <s v="林阿杰"/>
  </r>
  <r>
    <s v="358"/>
    <x v="1"/>
    <n v="107000"/>
    <s v="2020-01-10"/>
    <s v="西瓜"/>
    <s v="林阿杰"/>
  </r>
  <r>
    <s v="359"/>
    <x v="1"/>
    <n v="216000"/>
    <s v="2020-01-12"/>
    <s v="蘋果"/>
    <s v="林阿杰"/>
  </r>
  <r>
    <s v="360"/>
    <x v="4"/>
    <n v="117000"/>
    <s v="2020-01-13"/>
    <s v="蘋果"/>
    <s v="林小玉"/>
  </r>
  <r>
    <s v="361"/>
    <x v="2"/>
    <n v="238000"/>
    <s v="2020-01-15"/>
    <s v="西瓜"/>
    <s v="李小怡"/>
  </r>
  <r>
    <s v="362"/>
    <x v="4"/>
    <n v="274000"/>
    <s v="2020-01-15"/>
    <s v="鳳梨"/>
    <s v="林小玉"/>
  </r>
  <r>
    <s v="363"/>
    <x v="6"/>
    <n v="197000"/>
    <s v="2020-01-18"/>
    <s v="芒果"/>
    <s v="楊小杉"/>
  </r>
  <r>
    <s v="364"/>
    <x v="2"/>
    <n v="124000"/>
    <s v="2020-01-21"/>
    <s v="芒果"/>
    <s v="林阿杰"/>
  </r>
  <r>
    <s v="365"/>
    <x v="5"/>
    <n v="42000"/>
    <s v="2020-01-22"/>
    <s v="芒果"/>
    <s v="林阿杰"/>
  </r>
  <r>
    <s v="366"/>
    <x v="5"/>
    <n v="68000"/>
    <s v="2020-01-22"/>
    <s v="柚子"/>
    <s v="方小文"/>
  </r>
  <r>
    <s v="367"/>
    <x v="0"/>
    <n v="152000"/>
    <s v="2020-01-23"/>
    <s v="鳳梨"/>
    <s v="吳小亮"/>
  </r>
  <r>
    <s v="368"/>
    <x v="0"/>
    <n v="106000"/>
    <s v="2020-01-25"/>
    <s v="鳳梨"/>
    <s v="林小玉"/>
  </r>
  <r>
    <s v="369"/>
    <x v="2"/>
    <n v="241000"/>
    <s v="2020-01-27"/>
    <s v="蘋果"/>
    <s v="葉小美"/>
  </r>
  <r>
    <s v="370"/>
    <x v="1"/>
    <n v="282000"/>
    <s v="2020-01-28"/>
    <s v="鳳梨"/>
    <s v="郭小婷"/>
  </r>
  <r>
    <s v="371"/>
    <x v="0"/>
    <n v="139000"/>
    <s v="2020-01-28"/>
    <s v="鳳梨"/>
    <s v="林阿杰"/>
  </r>
  <r>
    <s v="372"/>
    <x v="1"/>
    <n v="296000"/>
    <s v="2020-01-28"/>
    <s v="蘋果"/>
    <s v="李小怡"/>
  </r>
  <r>
    <s v="373"/>
    <x v="2"/>
    <n v="166000"/>
    <s v="2020-01-30"/>
    <s v="西瓜"/>
    <s v="李小怡"/>
  </r>
  <r>
    <s v="374"/>
    <x v="0"/>
    <n v="47000"/>
    <s v="2020-02-02"/>
    <s v="香蕉"/>
    <s v="郭小婷"/>
  </r>
  <r>
    <s v="375"/>
    <x v="1"/>
    <n v="51000"/>
    <s v="2020-02-03"/>
    <s v="柚子"/>
    <s v="楊小杉"/>
  </r>
  <r>
    <s v="376"/>
    <x v="2"/>
    <n v="281000"/>
    <s v="2020-02-03"/>
    <s v="鳳梨"/>
    <s v="吳小亮"/>
  </r>
  <r>
    <s v="377"/>
    <x v="2"/>
    <n v="284000"/>
    <s v="2020-02-05"/>
    <s v="蘋果"/>
    <s v="李小怡"/>
  </r>
  <r>
    <s v="378"/>
    <x v="0"/>
    <n v="271000"/>
    <s v="2020-02-06"/>
    <s v="香蕉"/>
    <s v="江小花"/>
  </r>
  <r>
    <s v="379"/>
    <x v="2"/>
    <n v="161000"/>
    <s v="2020-02-07"/>
    <s v="鳳梨"/>
    <s v="楊小杉"/>
  </r>
  <r>
    <s v="380"/>
    <x v="0"/>
    <n v="36000"/>
    <s v="2020-02-08"/>
    <s v="芒果"/>
    <s v="方小文"/>
  </r>
  <r>
    <s v="381"/>
    <x v="5"/>
    <n v="298000"/>
    <s v="2020-02-08"/>
    <s v="鳳梨"/>
    <s v="郭小婷"/>
  </r>
  <r>
    <s v="382"/>
    <x v="5"/>
    <n v="86000"/>
    <s v="2020-02-09"/>
    <s v="蘋果"/>
    <s v="李小怡"/>
  </r>
  <r>
    <s v="383"/>
    <x v="1"/>
    <n v="71000"/>
    <s v="2020-02-09"/>
    <s v="西瓜"/>
    <s v="葉小美"/>
  </r>
  <r>
    <s v="384"/>
    <x v="4"/>
    <n v="123000"/>
    <s v="2020-02-10"/>
    <s v="芒果"/>
    <s v="林小玉"/>
  </r>
  <r>
    <s v="385"/>
    <x v="0"/>
    <n v="175000"/>
    <s v="2020-02-10"/>
    <s v="鳳梨"/>
    <s v="林阿杰"/>
  </r>
  <r>
    <s v="386"/>
    <x v="1"/>
    <n v="113000"/>
    <s v="2020-02-11"/>
    <s v="鳳梨"/>
    <s v="李小怡"/>
  </r>
  <r>
    <s v="387"/>
    <x v="3"/>
    <n v="270000"/>
    <s v="2020-02-12"/>
    <s v="蘋果"/>
    <s v="楊小杉"/>
  </r>
  <r>
    <s v="388"/>
    <x v="6"/>
    <n v="191000"/>
    <s v="2020-02-18"/>
    <s v="香蕉"/>
    <s v="葉小美"/>
  </r>
  <r>
    <s v="389"/>
    <x v="4"/>
    <n v="46000"/>
    <s v="2020-02-19"/>
    <s v="芒果"/>
    <s v="方小文"/>
  </r>
  <r>
    <s v="390"/>
    <x v="0"/>
    <n v="261000"/>
    <s v="2020-02-20"/>
    <s v="柚子"/>
    <s v="郭小婷"/>
  </r>
  <r>
    <s v="391"/>
    <x v="5"/>
    <n v="35000"/>
    <s v="2020-02-23"/>
    <s v="西瓜"/>
    <s v="江小花"/>
  </r>
  <r>
    <s v="392"/>
    <x v="3"/>
    <n v="264000"/>
    <s v="2020-02-23"/>
    <s v="蘋果"/>
    <s v="方小文"/>
  </r>
  <r>
    <s v="393"/>
    <x v="6"/>
    <n v="63000"/>
    <s v="2020-02-24"/>
    <s v="鳳梨"/>
    <s v="葉小美"/>
  </r>
  <r>
    <s v="394"/>
    <x v="1"/>
    <n v="134000"/>
    <s v="2020-02-24"/>
    <s v="柚子"/>
    <s v="吳小亮"/>
  </r>
  <r>
    <s v="395"/>
    <x v="2"/>
    <n v="253000"/>
    <s v="2020-02-26"/>
    <s v="西瓜"/>
    <s v="江小花"/>
  </r>
  <r>
    <s v="396"/>
    <x v="6"/>
    <n v="87000"/>
    <s v="2020-02-29"/>
    <s v="鳳梨"/>
    <s v="林小玉"/>
  </r>
  <r>
    <s v="397"/>
    <x v="4"/>
    <n v="253000"/>
    <s v="2020-02-29"/>
    <s v="芒果"/>
    <s v="郭小婷"/>
  </r>
  <r>
    <s v="398"/>
    <x v="0"/>
    <n v="237000"/>
    <s v="2020-03-01"/>
    <s v="西瓜"/>
    <s v="方小文"/>
  </r>
  <r>
    <s v="399"/>
    <x v="3"/>
    <n v="129000"/>
    <s v="2020-03-03"/>
    <s v="柚子"/>
    <s v="李小怡"/>
  </r>
  <r>
    <s v="400"/>
    <x v="4"/>
    <n v="168000"/>
    <s v="2020-03-04"/>
    <s v="香蕉"/>
    <s v="林阿杰"/>
  </r>
  <r>
    <s v="401"/>
    <x v="2"/>
    <n v="174000"/>
    <s v="2020-03-06"/>
    <s v="蘋果"/>
    <s v="李小怡"/>
  </r>
  <r>
    <s v="402"/>
    <x v="2"/>
    <n v="210000"/>
    <s v="2020-03-08"/>
    <s v="鳳梨"/>
    <s v="方小文"/>
  </r>
  <r>
    <s v="403"/>
    <x v="2"/>
    <n v="94000"/>
    <s v="2020-03-10"/>
    <s v="蘋果"/>
    <s v="李小怡"/>
  </r>
  <r>
    <s v="404"/>
    <x v="0"/>
    <n v="71000"/>
    <s v="2020-03-11"/>
    <s v="鳳梨"/>
    <s v="葉小美"/>
  </r>
  <r>
    <s v="405"/>
    <x v="4"/>
    <n v="255000"/>
    <s v="2020-03-11"/>
    <s v="鳳梨"/>
    <s v="楊小杉"/>
  </r>
  <r>
    <s v="406"/>
    <x v="6"/>
    <n v="80000"/>
    <s v="2020-03-12"/>
    <s v="香蕉"/>
    <s v="郭小婷"/>
  </r>
  <r>
    <s v="407"/>
    <x v="6"/>
    <n v="87000"/>
    <s v="2020-03-13"/>
    <s v="香蕉"/>
    <s v="楊小杉"/>
  </r>
  <r>
    <s v="408"/>
    <x v="3"/>
    <n v="141000"/>
    <s v="2020-03-15"/>
    <s v="芒果"/>
    <s v="李小怡"/>
  </r>
  <r>
    <s v="409"/>
    <x v="2"/>
    <n v="70000"/>
    <s v="2020-03-16"/>
    <s v="西瓜"/>
    <s v="吳小亮"/>
  </r>
  <r>
    <s v="410"/>
    <x v="2"/>
    <n v="266000"/>
    <s v="2020-03-16"/>
    <s v="鳳梨"/>
    <s v="林小玉"/>
  </r>
  <r>
    <s v="411"/>
    <x v="1"/>
    <n v="41000"/>
    <s v="2020-03-16"/>
    <s v="柚子"/>
    <s v="林小玉"/>
  </r>
  <r>
    <s v="412"/>
    <x v="6"/>
    <n v="238000"/>
    <s v="2020-03-16"/>
    <s v="鳳梨"/>
    <s v="李小怡"/>
  </r>
  <r>
    <s v="413"/>
    <x v="5"/>
    <n v="55000"/>
    <s v="2020-03-17"/>
    <s v="蘋果"/>
    <s v="江小花"/>
  </r>
  <r>
    <s v="414"/>
    <x v="6"/>
    <n v="146000"/>
    <s v="2020-03-19"/>
    <s v="蘋果"/>
    <s v="李小怡"/>
  </r>
  <r>
    <s v="415"/>
    <x v="1"/>
    <n v="95000"/>
    <s v="2020-03-21"/>
    <s v="芒果"/>
    <s v="葉小美"/>
  </r>
  <r>
    <s v="416"/>
    <x v="5"/>
    <n v="248000"/>
    <s v="2020-03-23"/>
    <s v="蘋果"/>
    <s v="林小玉"/>
  </r>
  <r>
    <s v="417"/>
    <x v="2"/>
    <n v="204000"/>
    <s v="2020-03-26"/>
    <s v="蘋果"/>
    <s v="林小玉"/>
  </r>
  <r>
    <s v="418"/>
    <x v="3"/>
    <n v="139000"/>
    <s v="2020-03-27"/>
    <s v="芒果"/>
    <s v="林阿杰"/>
  </r>
  <r>
    <s v="419"/>
    <x v="2"/>
    <n v="196000"/>
    <s v="2020-03-28"/>
    <s v="香蕉"/>
    <s v="葉小美"/>
  </r>
  <r>
    <s v="420"/>
    <x v="2"/>
    <n v="273000"/>
    <s v="2020-03-29"/>
    <s v="蘋果"/>
    <s v="吳小亮"/>
  </r>
  <r>
    <s v="421"/>
    <x v="4"/>
    <n v="107000"/>
    <s v="2020-03-30"/>
    <s v="鳳梨"/>
    <s v="葉小美"/>
  </r>
  <r>
    <s v="422"/>
    <x v="6"/>
    <n v="147000"/>
    <s v="2020-03-30"/>
    <s v="芒果"/>
    <s v="李小怡"/>
  </r>
  <r>
    <s v="423"/>
    <x v="4"/>
    <n v="261000"/>
    <s v="2020-03-30"/>
    <s v="鳳梨"/>
    <s v="方小文"/>
  </r>
  <r>
    <s v="424"/>
    <x v="3"/>
    <n v="83000"/>
    <s v="2020-03-30"/>
    <s v="蘋果"/>
    <s v="楊小杉"/>
  </r>
  <r>
    <s v="425"/>
    <x v="6"/>
    <n v="165000"/>
    <s v="2020-03-31"/>
    <s v="鳳梨"/>
    <s v="林小玉"/>
  </r>
  <r>
    <s v="426"/>
    <x v="3"/>
    <n v="214000"/>
    <s v="2020-03-31"/>
    <s v="柚子"/>
    <s v="楊小杉"/>
  </r>
  <r>
    <s v="427"/>
    <x v="2"/>
    <n v="241000"/>
    <s v="2020-03-31"/>
    <s v="鳳梨"/>
    <s v="吳小亮"/>
  </r>
  <r>
    <s v="428"/>
    <x v="5"/>
    <n v="265000"/>
    <s v="2020-04-01"/>
    <s v="柚子"/>
    <s v="郭小婷"/>
  </r>
  <r>
    <s v="429"/>
    <x v="5"/>
    <n v="184000"/>
    <s v="2020-04-02"/>
    <s v="西瓜"/>
    <s v="李小怡"/>
  </r>
  <r>
    <s v="430"/>
    <x v="0"/>
    <n v="179000"/>
    <s v="2020-04-03"/>
    <s v="柚子"/>
    <s v="方小文"/>
  </r>
  <r>
    <s v="431"/>
    <x v="3"/>
    <n v="159000"/>
    <s v="2020-04-04"/>
    <s v="柚子"/>
    <s v="李小怡"/>
  </r>
  <r>
    <s v="432"/>
    <x v="4"/>
    <n v="170000"/>
    <s v="2020-04-07"/>
    <s v="西瓜"/>
    <s v="林阿杰"/>
  </r>
  <r>
    <s v="433"/>
    <x v="3"/>
    <n v="182000"/>
    <s v="2020-04-09"/>
    <s v="蘋果"/>
    <s v="方小文"/>
  </r>
  <r>
    <s v="434"/>
    <x v="5"/>
    <n v="58000"/>
    <s v="2020-04-10"/>
    <s v="鳳梨"/>
    <s v="楊小杉"/>
  </r>
  <r>
    <s v="435"/>
    <x v="3"/>
    <n v="46000"/>
    <s v="2020-04-10"/>
    <s v="蘋果"/>
    <s v="林阿杰"/>
  </r>
  <r>
    <s v="436"/>
    <x v="5"/>
    <n v="93000"/>
    <s v="2020-04-10"/>
    <s v="柚子"/>
    <s v="江小花"/>
  </r>
  <r>
    <s v="437"/>
    <x v="3"/>
    <n v="108000"/>
    <s v="2020-04-12"/>
    <s v="鳳梨"/>
    <s v="郭小婷"/>
  </r>
  <r>
    <s v="438"/>
    <x v="5"/>
    <n v="202000"/>
    <s v="2020-04-13"/>
    <s v="西瓜"/>
    <s v="林小玉"/>
  </r>
  <r>
    <s v="439"/>
    <x v="4"/>
    <n v="154000"/>
    <s v="2020-04-15"/>
    <s v="香蕉"/>
    <s v="方小文"/>
  </r>
  <r>
    <s v="440"/>
    <x v="3"/>
    <n v="118000"/>
    <s v="2020-04-15"/>
    <s v="芒果"/>
    <s v="郭小婷"/>
  </r>
  <r>
    <s v="441"/>
    <x v="1"/>
    <n v="268000"/>
    <s v="2020-04-17"/>
    <s v="芒果"/>
    <s v="郭小婷"/>
  </r>
  <r>
    <s v="442"/>
    <x v="4"/>
    <n v="82000"/>
    <s v="2020-04-17"/>
    <s v="芒果"/>
    <s v="李小怡"/>
  </r>
  <r>
    <s v="443"/>
    <x v="2"/>
    <n v="200000"/>
    <s v="2020-04-18"/>
    <s v="香蕉"/>
    <s v="吳小亮"/>
  </r>
  <r>
    <s v="444"/>
    <x v="3"/>
    <n v="94000"/>
    <s v="2020-04-19"/>
    <s v="香蕉"/>
    <s v="林小玉"/>
  </r>
  <r>
    <s v="445"/>
    <x v="1"/>
    <n v="215000"/>
    <s v="2020-04-21"/>
    <s v="芒果"/>
    <s v="葉小美"/>
  </r>
  <r>
    <s v="446"/>
    <x v="3"/>
    <n v="69000"/>
    <s v="2020-04-22"/>
    <s v="芒果"/>
    <s v="方小文"/>
  </r>
  <r>
    <s v="447"/>
    <x v="1"/>
    <n v="38000"/>
    <s v="2020-04-25"/>
    <s v="香蕉"/>
    <s v="林小玉"/>
  </r>
  <r>
    <s v="448"/>
    <x v="4"/>
    <n v="272000"/>
    <s v="2020-04-30"/>
    <s v="香蕉"/>
    <s v="林阿杰"/>
  </r>
  <r>
    <s v="449"/>
    <x v="3"/>
    <n v="90000"/>
    <s v="2020-05-01"/>
    <s v="香蕉"/>
    <s v="林阿杰"/>
  </r>
  <r>
    <s v="450"/>
    <x v="3"/>
    <n v="215000"/>
    <s v="2020-05-02"/>
    <s v="西瓜"/>
    <s v="葉小美"/>
  </r>
  <r>
    <s v="451"/>
    <x v="0"/>
    <n v="171000"/>
    <s v="2020-05-02"/>
    <s v="蘋果"/>
    <s v="楊小杉"/>
  </r>
  <r>
    <s v="452"/>
    <x v="1"/>
    <n v="150000"/>
    <s v="2020-05-03"/>
    <s v="西瓜"/>
    <s v="吳小亮"/>
  </r>
  <r>
    <s v="453"/>
    <x v="3"/>
    <n v="156000"/>
    <s v="2020-05-05"/>
    <s v="香蕉"/>
    <s v="李小怡"/>
  </r>
  <r>
    <s v="454"/>
    <x v="5"/>
    <n v="114000"/>
    <s v="2020-05-05"/>
    <s v="香蕉"/>
    <s v="江小花"/>
  </r>
  <r>
    <s v="455"/>
    <x v="4"/>
    <n v="53000"/>
    <s v="2020-05-06"/>
    <s v="蘋果"/>
    <s v="林阿杰"/>
  </r>
  <r>
    <s v="456"/>
    <x v="1"/>
    <n v="99000"/>
    <s v="2020-05-07"/>
    <s v="西瓜"/>
    <s v="方小文"/>
  </r>
  <r>
    <s v="457"/>
    <x v="5"/>
    <n v="75000"/>
    <s v="2020-05-08"/>
    <s v="芒果"/>
    <s v="林小玉"/>
  </r>
  <r>
    <s v="458"/>
    <x v="3"/>
    <n v="182000"/>
    <s v="2020-05-10"/>
    <s v="鳳梨"/>
    <s v="江小花"/>
  </r>
  <r>
    <s v="459"/>
    <x v="5"/>
    <n v="299000"/>
    <s v="2020-05-11"/>
    <s v="芒果"/>
    <s v="李小怡"/>
  </r>
  <r>
    <s v="460"/>
    <x v="6"/>
    <n v="217000"/>
    <s v="2020-05-13"/>
    <s v="蘋果"/>
    <s v="楊小杉"/>
  </r>
  <r>
    <s v="461"/>
    <x v="5"/>
    <n v="158000"/>
    <s v="2020-05-13"/>
    <s v="香蕉"/>
    <s v="楊小杉"/>
  </r>
  <r>
    <s v="462"/>
    <x v="1"/>
    <n v="235000"/>
    <s v="2020-05-14"/>
    <s v="鳳梨"/>
    <s v="李小怡"/>
  </r>
  <r>
    <s v="463"/>
    <x v="3"/>
    <n v="267000"/>
    <s v="2020-05-16"/>
    <s v="蘋果"/>
    <s v="葉小美"/>
  </r>
  <r>
    <s v="464"/>
    <x v="5"/>
    <n v="290000"/>
    <s v="2020-05-17"/>
    <s v="西瓜"/>
    <s v="葉小美"/>
  </r>
  <r>
    <s v="465"/>
    <x v="5"/>
    <n v="245000"/>
    <s v="2020-05-17"/>
    <s v="蘋果"/>
    <s v="江小花"/>
  </r>
  <r>
    <s v="466"/>
    <x v="6"/>
    <n v="232000"/>
    <s v="2020-05-17"/>
    <s v="芒果"/>
    <s v="葉小美"/>
  </r>
  <r>
    <s v="467"/>
    <x v="4"/>
    <n v="252000"/>
    <s v="2020-05-18"/>
    <s v="芒果"/>
    <s v="方小文"/>
  </r>
  <r>
    <s v="468"/>
    <x v="4"/>
    <n v="280000"/>
    <s v="2020-05-19"/>
    <s v="西瓜"/>
    <s v="吳小亮"/>
  </r>
  <r>
    <s v="469"/>
    <x v="1"/>
    <n v="217000"/>
    <s v="2020-05-21"/>
    <s v="鳳梨"/>
    <s v="吳小亮"/>
  </r>
  <r>
    <s v="470"/>
    <x v="0"/>
    <n v="198000"/>
    <s v="2020-05-22"/>
    <s v="香蕉"/>
    <s v="方小文"/>
  </r>
  <r>
    <s v="471"/>
    <x v="6"/>
    <n v="278000"/>
    <s v="2020-05-22"/>
    <s v="西瓜"/>
    <s v="楊小杉"/>
  </r>
  <r>
    <s v="472"/>
    <x v="4"/>
    <n v="100000"/>
    <s v="2020-05-23"/>
    <s v="香蕉"/>
    <s v="葉小美"/>
  </r>
  <r>
    <s v="473"/>
    <x v="0"/>
    <n v="34000"/>
    <s v="2020-05-23"/>
    <s v="柚子"/>
    <s v="江小花"/>
  </r>
  <r>
    <s v="474"/>
    <x v="5"/>
    <n v="85000"/>
    <s v="2020-05-24"/>
    <s v="芒果"/>
    <s v="吳小亮"/>
  </r>
  <r>
    <s v="475"/>
    <x v="3"/>
    <n v="247000"/>
    <s v="2020-05-24"/>
    <s v="柚子"/>
    <s v="林小玉"/>
  </r>
  <r>
    <s v="476"/>
    <x v="0"/>
    <n v="233000"/>
    <s v="2020-05-24"/>
    <s v="鳳梨"/>
    <s v="郭小婷"/>
  </r>
  <r>
    <s v="477"/>
    <x v="0"/>
    <n v="122000"/>
    <s v="2020-05-25"/>
    <s v="香蕉"/>
    <s v="楊小杉"/>
  </r>
  <r>
    <s v="478"/>
    <x v="0"/>
    <n v="88000"/>
    <s v="2020-05-26"/>
    <s v="芒果"/>
    <s v="林阿杰"/>
  </r>
  <r>
    <s v="479"/>
    <x v="0"/>
    <n v="137000"/>
    <s v="2020-05-28"/>
    <s v="柚子"/>
    <s v="江小花"/>
  </r>
  <r>
    <s v="480"/>
    <x v="3"/>
    <n v="109000"/>
    <s v="2020-05-29"/>
    <s v="鳳梨"/>
    <s v="方小文"/>
  </r>
  <r>
    <s v="481"/>
    <x v="5"/>
    <n v="241000"/>
    <s v="2020-05-29"/>
    <s v="芒果"/>
    <s v="李小怡"/>
  </r>
  <r>
    <s v="482"/>
    <x v="1"/>
    <n v="286000"/>
    <s v="2020-05-30"/>
    <s v="柚子"/>
    <s v="林阿杰"/>
  </r>
  <r>
    <s v="483"/>
    <x v="6"/>
    <n v="276000"/>
    <s v="2020-05-30"/>
    <s v="蘋果"/>
    <s v="江小花"/>
  </r>
  <r>
    <s v="484"/>
    <x v="2"/>
    <n v="267000"/>
    <s v="2020-05-31"/>
    <s v="香蕉"/>
    <s v="林小玉"/>
  </r>
  <r>
    <s v="485"/>
    <x v="5"/>
    <n v="144000"/>
    <s v="2020-06-01"/>
    <s v="蘋果"/>
    <s v="方小文"/>
  </r>
  <r>
    <s v="486"/>
    <x v="2"/>
    <n v="145000"/>
    <s v="2020-06-02"/>
    <s v="芒果"/>
    <s v="林小玉"/>
  </r>
  <r>
    <s v="487"/>
    <x v="5"/>
    <n v="148000"/>
    <s v="2020-06-04"/>
    <s v="香蕉"/>
    <s v="林阿杰"/>
  </r>
  <r>
    <s v="488"/>
    <x v="2"/>
    <n v="78000"/>
    <s v="2020-06-06"/>
    <s v="西瓜"/>
    <s v="李小怡"/>
  </r>
  <r>
    <s v="489"/>
    <x v="6"/>
    <n v="135000"/>
    <s v="2020-06-07"/>
    <s v="西瓜"/>
    <s v="林阿杰"/>
  </r>
  <r>
    <s v="490"/>
    <x v="6"/>
    <n v="253000"/>
    <s v="2020-06-08"/>
    <s v="香蕉"/>
    <s v="江小花"/>
  </r>
  <r>
    <s v="491"/>
    <x v="6"/>
    <n v="78000"/>
    <s v="2020-06-09"/>
    <s v="香蕉"/>
    <s v="吳小亮"/>
  </r>
  <r>
    <s v="492"/>
    <x v="5"/>
    <n v="33000"/>
    <s v="2020-06-10"/>
    <s v="西瓜"/>
    <s v="江小花"/>
  </r>
  <r>
    <s v="493"/>
    <x v="4"/>
    <n v="208000"/>
    <s v="2020-06-13"/>
    <s v="香蕉"/>
    <s v="楊小杉"/>
  </r>
  <r>
    <s v="494"/>
    <x v="6"/>
    <n v="152000"/>
    <s v="2020-06-13"/>
    <s v="柚子"/>
    <s v="葉小美"/>
  </r>
  <r>
    <s v="495"/>
    <x v="0"/>
    <n v="235000"/>
    <s v="2020-06-17"/>
    <s v="香蕉"/>
    <s v="郭小婷"/>
  </r>
  <r>
    <s v="496"/>
    <x v="2"/>
    <n v="42000"/>
    <s v="2020-06-18"/>
    <s v="西瓜"/>
    <s v="郭小婷"/>
  </r>
  <r>
    <s v="497"/>
    <x v="2"/>
    <n v="31000"/>
    <s v="2020-06-19"/>
    <s v="西瓜"/>
    <s v="吳小亮"/>
  </r>
  <r>
    <s v="498"/>
    <x v="1"/>
    <n v="240000"/>
    <s v="2020-06-20"/>
    <s v="鳳梨"/>
    <s v="江小花"/>
  </r>
  <r>
    <s v="499"/>
    <x v="0"/>
    <n v="295000"/>
    <s v="2020-06-23"/>
    <s v="鳳梨"/>
    <s v="江小花"/>
  </r>
  <r>
    <s v="500"/>
    <x v="5"/>
    <n v="31000"/>
    <s v="2020-06-23"/>
    <s v="蘋果"/>
    <s v="郭小婷"/>
  </r>
  <r>
    <s v="501"/>
    <x v="6"/>
    <n v="278000"/>
    <s v="2020-06-24"/>
    <s v="蘋果"/>
    <s v="方小文"/>
  </r>
  <r>
    <s v="502"/>
    <x v="2"/>
    <n v="218000"/>
    <s v="2020-06-24"/>
    <s v="西瓜"/>
    <s v="楊小杉"/>
  </r>
  <r>
    <s v="503"/>
    <x v="0"/>
    <n v="297000"/>
    <s v="2020-06-24"/>
    <s v="鳳梨"/>
    <s v="郭小婷"/>
  </r>
  <r>
    <s v="504"/>
    <x v="1"/>
    <n v="241000"/>
    <s v="2020-06-24"/>
    <s v="蘋果"/>
    <s v="吳小亮"/>
  </r>
  <r>
    <s v="505"/>
    <x v="1"/>
    <n v="108000"/>
    <s v="2020-06-27"/>
    <s v="香蕉"/>
    <s v="郭小婷"/>
  </r>
  <r>
    <s v="506"/>
    <x v="6"/>
    <n v="108000"/>
    <s v="2020-06-28"/>
    <s v="蘋果"/>
    <s v="郭小婷"/>
  </r>
  <r>
    <s v="507"/>
    <x v="0"/>
    <n v="170000"/>
    <s v="2020-06-30"/>
    <s v="芒果"/>
    <s v="吳小亮"/>
  </r>
  <r>
    <s v="508"/>
    <x v="4"/>
    <n v="211000"/>
    <s v="2020-07-02"/>
    <s v="香蕉"/>
    <s v="李小怡"/>
  </r>
  <r>
    <s v="509"/>
    <x v="0"/>
    <n v="110000"/>
    <s v="2020-07-04"/>
    <s v="鳳梨"/>
    <s v="楊小杉"/>
  </r>
  <r>
    <s v="510"/>
    <x v="5"/>
    <n v="254000"/>
    <s v="2020-07-05"/>
    <s v="西瓜"/>
    <s v="楊小杉"/>
  </r>
  <r>
    <s v="511"/>
    <x v="1"/>
    <n v="64000"/>
    <s v="2020-07-05"/>
    <s v="西瓜"/>
    <s v="方小文"/>
  </r>
  <r>
    <s v="512"/>
    <x v="3"/>
    <n v="133000"/>
    <s v="2020-07-05"/>
    <s v="芒果"/>
    <s v="郭小婷"/>
  </r>
  <r>
    <s v="513"/>
    <x v="2"/>
    <n v="194000"/>
    <s v="2020-07-06"/>
    <s v="西瓜"/>
    <s v="楊小杉"/>
  </r>
  <r>
    <s v="514"/>
    <x v="0"/>
    <n v="108000"/>
    <s v="2020-07-07"/>
    <s v="蘋果"/>
    <s v="郭小婷"/>
  </r>
  <r>
    <s v="515"/>
    <x v="1"/>
    <n v="135000"/>
    <s v="2020-07-08"/>
    <s v="西瓜"/>
    <s v="葉小美"/>
  </r>
  <r>
    <s v="516"/>
    <x v="2"/>
    <n v="129000"/>
    <s v="2020-07-09"/>
    <s v="鳳梨"/>
    <s v="江小花"/>
  </r>
  <r>
    <s v="517"/>
    <x v="2"/>
    <n v="142000"/>
    <s v="2020-07-10"/>
    <s v="蘋果"/>
    <s v="郭小婷"/>
  </r>
  <r>
    <s v="518"/>
    <x v="0"/>
    <n v="253000"/>
    <s v="2020-07-12"/>
    <s v="鳳梨"/>
    <s v="林阿杰"/>
  </r>
  <r>
    <s v="519"/>
    <x v="0"/>
    <n v="187000"/>
    <s v="2020-07-13"/>
    <s v="西瓜"/>
    <s v="李小怡"/>
  </r>
  <r>
    <s v="520"/>
    <x v="6"/>
    <n v="243000"/>
    <s v="2020-07-14"/>
    <s v="西瓜"/>
    <s v="吳小亮"/>
  </r>
  <r>
    <s v="521"/>
    <x v="0"/>
    <n v="268000"/>
    <s v="2020-07-14"/>
    <s v="鳳梨"/>
    <s v="葉小美"/>
  </r>
  <r>
    <s v="522"/>
    <x v="3"/>
    <n v="68000"/>
    <s v="2020-07-16"/>
    <s v="西瓜"/>
    <s v="江小花"/>
  </r>
  <r>
    <s v="523"/>
    <x v="1"/>
    <n v="278000"/>
    <s v="2020-07-18"/>
    <s v="蘋果"/>
    <s v="林小玉"/>
  </r>
  <r>
    <s v="524"/>
    <x v="1"/>
    <n v="198000"/>
    <s v="2020-07-18"/>
    <s v="柚子"/>
    <s v="郭小婷"/>
  </r>
  <r>
    <s v="525"/>
    <x v="3"/>
    <n v="83000"/>
    <s v="2020-07-19"/>
    <s v="芒果"/>
    <s v="江小花"/>
  </r>
  <r>
    <s v="526"/>
    <x v="6"/>
    <n v="92000"/>
    <s v="2020-07-20"/>
    <s v="鳳梨"/>
    <s v="楊小杉"/>
  </r>
  <r>
    <s v="527"/>
    <x v="5"/>
    <n v="145000"/>
    <s v="2020-07-20"/>
    <s v="蘋果"/>
    <s v="郭小婷"/>
  </r>
  <r>
    <s v="528"/>
    <x v="1"/>
    <n v="218000"/>
    <s v="2020-07-21"/>
    <s v="香蕉"/>
    <s v="李小怡"/>
  </r>
  <r>
    <s v="529"/>
    <x v="3"/>
    <n v="224000"/>
    <s v="2020-07-21"/>
    <s v="西瓜"/>
    <s v="林阿杰"/>
  </r>
  <r>
    <s v="530"/>
    <x v="2"/>
    <n v="179000"/>
    <s v="2020-07-22"/>
    <s v="西瓜"/>
    <s v="楊小杉"/>
  </r>
  <r>
    <s v="531"/>
    <x v="4"/>
    <n v="278000"/>
    <s v="2020-07-22"/>
    <s v="柚子"/>
    <s v="楊小杉"/>
  </r>
  <r>
    <s v="532"/>
    <x v="2"/>
    <n v="224000"/>
    <s v="2020-07-23"/>
    <s v="西瓜"/>
    <s v="李小怡"/>
  </r>
  <r>
    <s v="533"/>
    <x v="6"/>
    <n v="213000"/>
    <s v="2020-07-23"/>
    <s v="芒果"/>
    <s v="林阿杰"/>
  </r>
  <r>
    <s v="534"/>
    <x v="4"/>
    <n v="80000"/>
    <s v="2020-07-23"/>
    <s v="芒果"/>
    <s v="郭小婷"/>
  </r>
  <r>
    <s v="535"/>
    <x v="6"/>
    <n v="31000"/>
    <s v="2020-07-24"/>
    <s v="芒果"/>
    <s v="楊小杉"/>
  </r>
  <r>
    <s v="536"/>
    <x v="3"/>
    <n v="212000"/>
    <s v="2020-07-24"/>
    <s v="西瓜"/>
    <s v="郭小婷"/>
  </r>
  <r>
    <s v="537"/>
    <x v="5"/>
    <n v="109000"/>
    <s v="2020-07-25"/>
    <s v="香蕉"/>
    <s v="江小花"/>
  </r>
  <r>
    <s v="538"/>
    <x v="4"/>
    <n v="233000"/>
    <s v="2020-07-28"/>
    <s v="西瓜"/>
    <s v="吳小亮"/>
  </r>
  <r>
    <s v="539"/>
    <x v="6"/>
    <n v="77000"/>
    <s v="2020-07-28"/>
    <s v="蘋果"/>
    <s v="郭小婷"/>
  </r>
  <r>
    <s v="540"/>
    <x v="0"/>
    <n v="267000"/>
    <s v="2020-07-28"/>
    <s v="柚子"/>
    <s v="葉小美"/>
  </r>
  <r>
    <s v="541"/>
    <x v="2"/>
    <n v="183000"/>
    <s v="2020-07-30"/>
    <s v="西瓜"/>
    <s v="江小花"/>
  </r>
  <r>
    <s v="542"/>
    <x v="1"/>
    <n v="184000"/>
    <s v="2020-07-31"/>
    <s v="香蕉"/>
    <s v="楊小杉"/>
  </r>
  <r>
    <s v="543"/>
    <x v="0"/>
    <n v="33000"/>
    <s v="2020-08-02"/>
    <s v="鳳梨"/>
    <s v="楊小杉"/>
  </r>
  <r>
    <s v="544"/>
    <x v="1"/>
    <n v="198000"/>
    <s v="2020-08-02"/>
    <s v="香蕉"/>
    <s v="李小怡"/>
  </r>
  <r>
    <s v="545"/>
    <x v="3"/>
    <n v="132000"/>
    <s v="2020-08-03"/>
    <s v="芒果"/>
    <s v="郭小婷"/>
  </r>
  <r>
    <s v="546"/>
    <x v="3"/>
    <n v="40000"/>
    <s v="2020-08-04"/>
    <s v="香蕉"/>
    <s v="林阿杰"/>
  </r>
  <r>
    <s v="547"/>
    <x v="2"/>
    <n v="40000"/>
    <s v="2020-08-04"/>
    <s v="芒果"/>
    <s v="楊小杉"/>
  </r>
  <r>
    <s v="548"/>
    <x v="3"/>
    <n v="160000"/>
    <s v="2020-08-04"/>
    <s v="香蕉"/>
    <s v="葉小美"/>
  </r>
  <r>
    <s v="549"/>
    <x v="0"/>
    <n v="290000"/>
    <s v="2020-08-05"/>
    <s v="芒果"/>
    <s v="葉小美"/>
  </r>
  <r>
    <s v="550"/>
    <x v="5"/>
    <n v="99000"/>
    <s v="2020-08-05"/>
    <s v="香蕉"/>
    <s v="林小玉"/>
  </r>
  <r>
    <s v="551"/>
    <x v="5"/>
    <n v="161000"/>
    <s v="2020-08-08"/>
    <s v="柚子"/>
    <s v="郭小婷"/>
  </r>
  <r>
    <s v="552"/>
    <x v="5"/>
    <n v="281000"/>
    <s v="2020-08-09"/>
    <s v="西瓜"/>
    <s v="江小花"/>
  </r>
  <r>
    <s v="553"/>
    <x v="3"/>
    <n v="253000"/>
    <s v="2020-08-15"/>
    <s v="蘋果"/>
    <s v="吳小亮"/>
  </r>
  <r>
    <s v="554"/>
    <x v="5"/>
    <n v="225000"/>
    <s v="2020-08-15"/>
    <s v="柚子"/>
    <s v="楊小杉"/>
  </r>
  <r>
    <s v="555"/>
    <x v="2"/>
    <n v="86000"/>
    <s v="2020-08-16"/>
    <s v="柚子"/>
    <s v="郭小婷"/>
  </r>
  <r>
    <s v="556"/>
    <x v="0"/>
    <n v="214000"/>
    <s v="2020-08-17"/>
    <s v="蘋果"/>
    <s v="李小怡"/>
  </r>
  <r>
    <s v="557"/>
    <x v="1"/>
    <n v="139000"/>
    <s v="2020-08-17"/>
    <s v="香蕉"/>
    <s v="郭小婷"/>
  </r>
  <r>
    <s v="558"/>
    <x v="0"/>
    <n v="176000"/>
    <s v="2020-08-17"/>
    <s v="柚子"/>
    <s v="郭小婷"/>
  </r>
  <r>
    <s v="559"/>
    <x v="4"/>
    <n v="263000"/>
    <s v="2020-08-19"/>
    <s v="蘋果"/>
    <s v="林小玉"/>
  </r>
  <r>
    <s v="560"/>
    <x v="2"/>
    <n v="252000"/>
    <s v="2020-08-19"/>
    <s v="香蕉"/>
    <s v="江小花"/>
  </r>
  <r>
    <s v="561"/>
    <x v="4"/>
    <n v="188000"/>
    <s v="2020-08-20"/>
    <s v="香蕉"/>
    <s v="葉小美"/>
  </r>
  <r>
    <s v="562"/>
    <x v="6"/>
    <n v="51000"/>
    <s v="2020-08-21"/>
    <s v="芒果"/>
    <s v="江小花"/>
  </r>
  <r>
    <s v="563"/>
    <x v="3"/>
    <n v="204000"/>
    <s v="2020-08-21"/>
    <s v="柚子"/>
    <s v="楊小杉"/>
  </r>
  <r>
    <s v="564"/>
    <x v="3"/>
    <n v="245000"/>
    <s v="2020-08-21"/>
    <s v="柚子"/>
    <s v="葉小美"/>
  </r>
  <r>
    <s v="565"/>
    <x v="3"/>
    <n v="31000"/>
    <s v="2020-08-22"/>
    <s v="柚子"/>
    <s v="林阿杰"/>
  </r>
  <r>
    <s v="566"/>
    <x v="0"/>
    <n v="121000"/>
    <s v="2020-08-22"/>
    <s v="蘋果"/>
    <s v="林小玉"/>
  </r>
  <r>
    <s v="567"/>
    <x v="1"/>
    <n v="57000"/>
    <s v="2020-08-23"/>
    <s v="西瓜"/>
    <s v="李小怡"/>
  </r>
  <r>
    <s v="568"/>
    <x v="2"/>
    <n v="194000"/>
    <s v="2020-08-23"/>
    <s v="柚子"/>
    <s v="江小花"/>
  </r>
  <r>
    <s v="569"/>
    <x v="3"/>
    <n v="135000"/>
    <s v="2020-08-25"/>
    <s v="鳳梨"/>
    <s v="葉小美"/>
  </r>
  <r>
    <s v="570"/>
    <x v="0"/>
    <n v="102000"/>
    <s v="2020-08-26"/>
    <s v="鳳梨"/>
    <s v="楊小杉"/>
  </r>
  <r>
    <s v="571"/>
    <x v="2"/>
    <n v="150000"/>
    <s v="2020-08-27"/>
    <s v="鳳梨"/>
    <s v="吳小亮"/>
  </r>
  <r>
    <s v="572"/>
    <x v="6"/>
    <n v="107000"/>
    <s v="2020-08-28"/>
    <s v="芒果"/>
    <s v="李小怡"/>
  </r>
  <r>
    <s v="573"/>
    <x v="6"/>
    <n v="109000"/>
    <s v="2020-08-30"/>
    <s v="香蕉"/>
    <s v="林小玉"/>
  </r>
  <r>
    <s v="574"/>
    <x v="6"/>
    <n v="55000"/>
    <s v="2020-08-31"/>
    <s v="柚子"/>
    <s v="江小花"/>
  </r>
  <r>
    <s v="575"/>
    <x v="5"/>
    <n v="247000"/>
    <s v="2020-09-01"/>
    <s v="蘋果"/>
    <s v="林小玉"/>
  </r>
  <r>
    <s v="576"/>
    <x v="1"/>
    <n v="85000"/>
    <s v="2020-09-05"/>
    <s v="西瓜"/>
    <s v="李小怡"/>
  </r>
  <r>
    <s v="577"/>
    <x v="6"/>
    <n v="191000"/>
    <s v="2020-09-06"/>
    <s v="柚子"/>
    <s v="林阿杰"/>
  </r>
  <r>
    <s v="578"/>
    <x v="5"/>
    <n v="137000"/>
    <s v="2020-09-10"/>
    <s v="香蕉"/>
    <s v="郭小婷"/>
  </r>
  <r>
    <s v="579"/>
    <x v="6"/>
    <n v="245000"/>
    <s v="2020-09-10"/>
    <s v="香蕉"/>
    <s v="江小花"/>
  </r>
  <r>
    <s v="580"/>
    <x v="5"/>
    <n v="299000"/>
    <s v="2020-09-11"/>
    <s v="西瓜"/>
    <s v="江小花"/>
  </r>
  <r>
    <s v="581"/>
    <x v="5"/>
    <n v="134000"/>
    <s v="2020-09-11"/>
    <s v="柚子"/>
    <s v="江小花"/>
  </r>
  <r>
    <s v="582"/>
    <x v="0"/>
    <n v="170000"/>
    <s v="2020-09-13"/>
    <s v="西瓜"/>
    <s v="吳小亮"/>
  </r>
  <r>
    <s v="583"/>
    <x v="2"/>
    <n v="224000"/>
    <s v="2020-09-13"/>
    <s v="芒果"/>
    <s v="李小怡"/>
  </r>
  <r>
    <s v="584"/>
    <x v="4"/>
    <n v="162000"/>
    <s v="2020-09-14"/>
    <s v="芒果"/>
    <s v="葉小美"/>
  </r>
  <r>
    <s v="585"/>
    <x v="4"/>
    <n v="163000"/>
    <s v="2020-09-16"/>
    <s v="蘋果"/>
    <s v="吳小亮"/>
  </r>
  <r>
    <s v="586"/>
    <x v="0"/>
    <n v="119000"/>
    <s v="2020-09-16"/>
    <s v="柚子"/>
    <s v="郭小婷"/>
  </r>
  <r>
    <s v="587"/>
    <x v="1"/>
    <n v="99000"/>
    <s v="2020-09-17"/>
    <s v="鳳梨"/>
    <s v="楊小杉"/>
  </r>
  <r>
    <s v="588"/>
    <x v="3"/>
    <n v="164000"/>
    <s v="2020-09-18"/>
    <s v="柚子"/>
    <s v="郭小婷"/>
  </r>
  <r>
    <s v="589"/>
    <x v="0"/>
    <n v="58000"/>
    <s v="2020-09-20"/>
    <s v="柚子"/>
    <s v="李小怡"/>
  </r>
  <r>
    <s v="590"/>
    <x v="0"/>
    <n v="41000"/>
    <s v="2020-09-21"/>
    <s v="芒果"/>
    <s v="林阿杰"/>
  </r>
  <r>
    <s v="591"/>
    <x v="3"/>
    <n v="87000"/>
    <s v="2020-09-23"/>
    <s v="香蕉"/>
    <s v="郭小婷"/>
  </r>
  <r>
    <s v="592"/>
    <x v="5"/>
    <n v="279000"/>
    <s v="2020-09-24"/>
    <s v="柚子"/>
    <s v="葉小美"/>
  </r>
  <r>
    <s v="593"/>
    <x v="0"/>
    <n v="168000"/>
    <s v="2020-09-24"/>
    <s v="鳳梨"/>
    <s v="楊小杉"/>
  </r>
  <r>
    <s v="594"/>
    <x v="6"/>
    <n v="48000"/>
    <s v="2020-09-28"/>
    <s v="西瓜"/>
    <s v="李小怡"/>
  </r>
  <r>
    <s v="595"/>
    <x v="2"/>
    <n v="101000"/>
    <s v="2020-09-30"/>
    <s v="西瓜"/>
    <s v="林小玉"/>
  </r>
  <r>
    <s v="596"/>
    <x v="3"/>
    <n v="287000"/>
    <s v="2020-09-30"/>
    <s v="柚子"/>
    <s v="李小怡"/>
  </r>
  <r>
    <s v="597"/>
    <x v="0"/>
    <n v="173000"/>
    <s v="2020-10-02"/>
    <s v="西瓜"/>
    <s v="林小玉"/>
  </r>
  <r>
    <s v="598"/>
    <x v="3"/>
    <n v="290000"/>
    <s v="2020-10-04"/>
    <s v="柚子"/>
    <s v="林阿杰"/>
  </r>
  <r>
    <s v="599"/>
    <x v="1"/>
    <n v="299000"/>
    <s v="2020-10-04"/>
    <s v="鳳梨"/>
    <s v="吳小亮"/>
  </r>
  <r>
    <s v="600"/>
    <x v="2"/>
    <n v="163000"/>
    <s v="2020-10-05"/>
    <s v="西瓜"/>
    <s v="林小玉"/>
  </r>
  <r>
    <s v="601"/>
    <x v="3"/>
    <n v="199000"/>
    <s v="2020-10-05"/>
    <s v="香蕉"/>
    <s v="林小玉"/>
  </r>
  <r>
    <s v="602"/>
    <x v="2"/>
    <n v="251000"/>
    <s v="2020-10-06"/>
    <s v="芒果"/>
    <s v="葉小美"/>
  </r>
  <r>
    <s v="603"/>
    <x v="3"/>
    <n v="187000"/>
    <s v="2020-10-07"/>
    <s v="蘋果"/>
    <s v="楊小杉"/>
  </r>
  <r>
    <s v="604"/>
    <x v="3"/>
    <n v="33000"/>
    <s v="2020-10-10"/>
    <s v="鳳梨"/>
    <s v="林小玉"/>
  </r>
  <r>
    <s v="605"/>
    <x v="3"/>
    <n v="176000"/>
    <s v="2020-10-12"/>
    <s v="柚子"/>
    <s v="葉小美"/>
  </r>
  <r>
    <s v="606"/>
    <x v="4"/>
    <n v="220000"/>
    <s v="2020-10-14"/>
    <s v="柚子"/>
    <s v="林阿杰"/>
  </r>
  <r>
    <s v="607"/>
    <x v="2"/>
    <n v="76000"/>
    <s v="2020-10-14"/>
    <s v="鳳梨"/>
    <s v="楊小杉"/>
  </r>
  <r>
    <s v="608"/>
    <x v="5"/>
    <n v="187000"/>
    <s v="2020-10-14"/>
    <s v="芒果"/>
    <s v="楊小杉"/>
  </r>
  <r>
    <s v="609"/>
    <x v="2"/>
    <n v="225000"/>
    <s v="2020-10-16"/>
    <s v="芒果"/>
    <s v="江小花"/>
  </r>
  <r>
    <s v="610"/>
    <x v="3"/>
    <n v="283000"/>
    <s v="2020-10-18"/>
    <s v="蘋果"/>
    <s v="楊小杉"/>
  </r>
  <r>
    <s v="611"/>
    <x v="1"/>
    <n v="225000"/>
    <s v="2020-10-19"/>
    <s v="香蕉"/>
    <s v="郭小婷"/>
  </r>
  <r>
    <s v="612"/>
    <x v="3"/>
    <n v="44000"/>
    <s v="2020-10-21"/>
    <s v="香蕉"/>
    <s v="林小玉"/>
  </r>
  <r>
    <s v="613"/>
    <x v="3"/>
    <n v="132000"/>
    <s v="2020-10-21"/>
    <s v="西瓜"/>
    <s v="方小文"/>
  </r>
  <r>
    <s v="614"/>
    <x v="2"/>
    <n v="202000"/>
    <s v="2020-10-21"/>
    <s v="柚子"/>
    <s v="楊小杉"/>
  </r>
  <r>
    <s v="615"/>
    <x v="5"/>
    <n v="261000"/>
    <s v="2020-10-22"/>
    <s v="柚子"/>
    <s v="李小怡"/>
  </r>
  <r>
    <s v="616"/>
    <x v="1"/>
    <n v="213000"/>
    <s v="2020-10-24"/>
    <s v="蘋果"/>
    <s v="江小花"/>
  </r>
  <r>
    <s v="617"/>
    <x v="6"/>
    <n v="296000"/>
    <s v="2020-10-26"/>
    <s v="芒果"/>
    <s v="方小文"/>
  </r>
  <r>
    <s v="618"/>
    <x v="5"/>
    <n v="169000"/>
    <s v="2020-10-26"/>
    <s v="蘋果"/>
    <s v="林小玉"/>
  </r>
  <r>
    <s v="619"/>
    <x v="4"/>
    <n v="64000"/>
    <s v="2020-10-26"/>
    <s v="柚子"/>
    <s v="林小玉"/>
  </r>
  <r>
    <s v="620"/>
    <x v="4"/>
    <n v="101000"/>
    <s v="2020-10-27"/>
    <s v="蘋果"/>
    <s v="江小花"/>
  </r>
  <r>
    <s v="621"/>
    <x v="1"/>
    <n v="87000"/>
    <s v="2020-10-29"/>
    <s v="西瓜"/>
    <s v="楊小杉"/>
  </r>
  <r>
    <s v="622"/>
    <x v="5"/>
    <n v="195000"/>
    <s v="2020-10-31"/>
    <s v="柚子"/>
    <s v="林小玉"/>
  </r>
  <r>
    <s v="623"/>
    <x v="3"/>
    <n v="103000"/>
    <s v="2020-11-01"/>
    <s v="柚子"/>
    <s v="江小花"/>
  </r>
  <r>
    <s v="624"/>
    <x v="2"/>
    <n v="262000"/>
    <s v="2020-11-01"/>
    <s v="西瓜"/>
    <s v="林小玉"/>
  </r>
  <r>
    <s v="625"/>
    <x v="5"/>
    <n v="91000"/>
    <s v="2020-11-01"/>
    <s v="蘋果"/>
    <s v="葉小美"/>
  </r>
  <r>
    <s v="626"/>
    <x v="4"/>
    <n v="78000"/>
    <s v="2020-11-02"/>
    <s v="香蕉"/>
    <s v="楊小杉"/>
  </r>
  <r>
    <s v="627"/>
    <x v="5"/>
    <n v="232000"/>
    <s v="2020-11-02"/>
    <s v="西瓜"/>
    <s v="林阿杰"/>
  </r>
  <r>
    <s v="628"/>
    <x v="0"/>
    <n v="288000"/>
    <s v="2020-11-04"/>
    <s v="蘋果"/>
    <s v="吳小亮"/>
  </r>
  <r>
    <s v="629"/>
    <x v="6"/>
    <n v="58000"/>
    <s v="2020-11-06"/>
    <s v="蘋果"/>
    <s v="林阿杰"/>
  </r>
  <r>
    <s v="630"/>
    <x v="3"/>
    <n v="55000"/>
    <s v="2020-11-09"/>
    <s v="芒果"/>
    <s v="葉小美"/>
  </r>
  <r>
    <s v="631"/>
    <x v="1"/>
    <n v="61000"/>
    <s v="2020-11-10"/>
    <s v="鳳梨"/>
    <s v="吳小亮"/>
  </r>
  <r>
    <s v="632"/>
    <x v="5"/>
    <n v="211000"/>
    <s v="2020-11-11"/>
    <s v="西瓜"/>
    <s v="江小花"/>
  </r>
  <r>
    <s v="633"/>
    <x v="1"/>
    <n v="197000"/>
    <s v="2020-11-12"/>
    <s v="香蕉"/>
    <s v="李小怡"/>
  </r>
  <r>
    <s v="634"/>
    <x v="5"/>
    <n v="69000"/>
    <s v="2020-11-15"/>
    <s v="鳳梨"/>
    <s v="林阿杰"/>
  </r>
  <r>
    <s v="635"/>
    <x v="1"/>
    <n v="123000"/>
    <s v="2020-11-16"/>
    <s v="芒果"/>
    <s v="林阿杰"/>
  </r>
  <r>
    <s v="636"/>
    <x v="2"/>
    <n v="157000"/>
    <s v="2020-11-17"/>
    <s v="芒果"/>
    <s v="楊小杉"/>
  </r>
  <r>
    <s v="637"/>
    <x v="6"/>
    <n v="110000"/>
    <s v="2020-11-19"/>
    <s v="柚子"/>
    <s v="吳小亮"/>
  </r>
  <r>
    <s v="638"/>
    <x v="1"/>
    <n v="167000"/>
    <s v="2020-11-20"/>
    <s v="柚子"/>
    <s v="林阿杰"/>
  </r>
  <r>
    <s v="639"/>
    <x v="6"/>
    <n v="161000"/>
    <s v="2020-11-20"/>
    <s v="蘋果"/>
    <s v="郭小婷"/>
  </r>
  <r>
    <s v="640"/>
    <x v="2"/>
    <n v="241000"/>
    <s v="2020-11-22"/>
    <s v="蘋果"/>
    <s v="江小花"/>
  </r>
  <r>
    <s v="641"/>
    <x v="3"/>
    <n v="216000"/>
    <s v="2020-11-22"/>
    <s v="蘋果"/>
    <s v="郭小婷"/>
  </r>
  <r>
    <s v="642"/>
    <x v="5"/>
    <n v="39000"/>
    <s v="2020-11-24"/>
    <s v="西瓜"/>
    <s v="吳小亮"/>
  </r>
  <r>
    <s v="643"/>
    <x v="0"/>
    <n v="152000"/>
    <s v="2020-11-30"/>
    <s v="芒果"/>
    <s v="林阿杰"/>
  </r>
  <r>
    <s v="644"/>
    <x v="1"/>
    <n v="61000"/>
    <s v="2020-12-03"/>
    <s v="蘋果"/>
    <s v="江小花"/>
  </r>
  <r>
    <s v="645"/>
    <x v="2"/>
    <n v="41000"/>
    <s v="2020-12-03"/>
    <s v="柚子"/>
    <s v="李小怡"/>
  </r>
  <r>
    <s v="646"/>
    <x v="3"/>
    <n v="102000"/>
    <s v="2020-12-04"/>
    <s v="鳳梨"/>
    <s v="楊小杉"/>
  </r>
  <r>
    <s v="647"/>
    <x v="5"/>
    <n v="79000"/>
    <s v="2020-12-05"/>
    <s v="香蕉"/>
    <s v="葉小美"/>
  </r>
  <r>
    <s v="648"/>
    <x v="2"/>
    <n v="47000"/>
    <s v="2020-12-05"/>
    <s v="西瓜"/>
    <s v="李小怡"/>
  </r>
  <r>
    <s v="649"/>
    <x v="0"/>
    <n v="91000"/>
    <s v="2020-12-06"/>
    <s v="鳳梨"/>
    <s v="郭小婷"/>
  </r>
  <r>
    <s v="650"/>
    <x v="1"/>
    <n v="65000"/>
    <s v="2020-12-07"/>
    <s v="鳳梨"/>
    <s v="林阿杰"/>
  </r>
  <r>
    <s v="651"/>
    <x v="4"/>
    <n v="125000"/>
    <s v="2020-12-08"/>
    <s v="柚子"/>
    <s v="林阿杰"/>
  </r>
  <r>
    <s v="652"/>
    <x v="4"/>
    <n v="198000"/>
    <s v="2020-12-10"/>
    <s v="柚子"/>
    <s v="江小花"/>
  </r>
  <r>
    <s v="653"/>
    <x v="1"/>
    <n v="116000"/>
    <s v="2020-12-11"/>
    <s v="蘋果"/>
    <s v="楊小杉"/>
  </r>
  <r>
    <s v="654"/>
    <x v="3"/>
    <n v="255000"/>
    <s v="2020-12-11"/>
    <s v="香蕉"/>
    <s v="楊小杉"/>
  </r>
  <r>
    <s v="655"/>
    <x v="6"/>
    <n v="120000"/>
    <s v="2020-12-12"/>
    <s v="鳳梨"/>
    <s v="林阿杰"/>
  </r>
  <r>
    <s v="656"/>
    <x v="2"/>
    <n v="68000"/>
    <s v="2020-12-15"/>
    <s v="芒果"/>
    <s v="江小花"/>
  </r>
  <r>
    <s v="657"/>
    <x v="0"/>
    <n v="67000"/>
    <s v="2020-12-15"/>
    <s v="香蕉"/>
    <s v="吳小亮"/>
  </r>
  <r>
    <s v="658"/>
    <x v="2"/>
    <n v="173000"/>
    <s v="2020-12-19"/>
    <s v="蘋果"/>
    <s v="江小花"/>
  </r>
  <r>
    <s v="659"/>
    <x v="4"/>
    <n v="178000"/>
    <s v="2020-12-19"/>
    <s v="鳳梨"/>
    <s v="葉小美"/>
  </r>
  <r>
    <s v="660"/>
    <x v="1"/>
    <n v="252000"/>
    <s v="2020-12-20"/>
    <s v="鳳梨"/>
    <s v="方小文"/>
  </r>
  <r>
    <s v="661"/>
    <x v="5"/>
    <n v="217000"/>
    <s v="2020-12-22"/>
    <s v="西瓜"/>
    <s v="林阿杰"/>
  </r>
  <r>
    <s v="662"/>
    <x v="2"/>
    <n v="224000"/>
    <s v="2020-12-23"/>
    <s v="蘋果"/>
    <s v="江小花"/>
  </r>
  <r>
    <s v="663"/>
    <x v="2"/>
    <n v="252000"/>
    <s v="2020-12-25"/>
    <s v="蘋果"/>
    <s v="郭小婷"/>
  </r>
  <r>
    <s v="664"/>
    <x v="5"/>
    <n v="130000"/>
    <s v="2020-12-25"/>
    <s v="芒果"/>
    <s v="吳小亮"/>
  </r>
  <r>
    <s v="665"/>
    <x v="1"/>
    <n v="297000"/>
    <s v="2020-12-26"/>
    <s v="芒果"/>
    <s v="葉小美"/>
  </r>
  <r>
    <s v="666"/>
    <x v="0"/>
    <n v="179000"/>
    <s v="2020-12-27"/>
    <s v="芒果"/>
    <s v="郭小婷"/>
  </r>
  <r>
    <s v="667"/>
    <x v="4"/>
    <n v="264000"/>
    <s v="2020-12-27"/>
    <s v="蘋果"/>
    <s v="方小文"/>
  </r>
  <r>
    <s v="668"/>
    <x v="0"/>
    <n v="212000"/>
    <s v="2020-12-28"/>
    <s v="蘋果"/>
    <s v="郭小婷"/>
  </r>
  <r>
    <s v="669"/>
    <x v="3"/>
    <n v="153000"/>
    <s v="2020-12-29"/>
    <s v="香蕉"/>
    <s v="楊小杉"/>
  </r>
  <r>
    <s v="670"/>
    <x v="2"/>
    <n v="176000"/>
    <s v="2020-12-29"/>
    <s v="蘋果"/>
    <s v="方小文"/>
  </r>
  <r>
    <s v="671"/>
    <x v="4"/>
    <n v="38000"/>
    <s v="2020-12-30"/>
    <s v="蘋果"/>
    <s v="林小玉"/>
  </r>
  <r>
    <s v="672"/>
    <x v="4"/>
    <n v="153000"/>
    <s v="2020-12-30"/>
    <s v="芒果"/>
    <s v="方小文"/>
  </r>
  <r>
    <s v="673"/>
    <x v="3"/>
    <n v="166000"/>
    <s v="2021-01-01"/>
    <s v="芒果"/>
    <s v="吳小亮"/>
  </r>
  <r>
    <s v="674"/>
    <x v="0"/>
    <n v="269000"/>
    <s v="2021-01-05"/>
    <s v="蘋果"/>
    <s v="江小花"/>
  </r>
  <r>
    <s v="675"/>
    <x v="5"/>
    <n v="69000"/>
    <s v="2021-01-05"/>
    <s v="柚子"/>
    <s v="林阿杰"/>
  </r>
  <r>
    <s v="676"/>
    <x v="3"/>
    <n v="276000"/>
    <s v="2021-01-07"/>
    <s v="香蕉"/>
    <s v="江小花"/>
  </r>
  <r>
    <s v="677"/>
    <x v="3"/>
    <n v="50000"/>
    <s v="2021-01-07"/>
    <s v="鳳梨"/>
    <s v="葉小美"/>
  </r>
  <r>
    <s v="678"/>
    <x v="0"/>
    <n v="79000"/>
    <s v="2021-01-08"/>
    <s v="香蕉"/>
    <s v="江小花"/>
  </r>
  <r>
    <s v="679"/>
    <x v="3"/>
    <n v="266000"/>
    <s v="2021-01-09"/>
    <s v="蘋果"/>
    <s v="吳小亮"/>
  </r>
  <r>
    <s v="680"/>
    <x v="3"/>
    <n v="249000"/>
    <s v="2021-01-09"/>
    <s v="芒果"/>
    <s v="林阿杰"/>
  </r>
  <r>
    <s v="681"/>
    <x v="3"/>
    <n v="98000"/>
    <s v="2021-01-09"/>
    <s v="蘋果"/>
    <s v="吳小亮"/>
  </r>
  <r>
    <s v="682"/>
    <x v="3"/>
    <n v="161000"/>
    <s v="2021-01-09"/>
    <s v="蘋果"/>
    <s v="江小花"/>
  </r>
  <r>
    <s v="683"/>
    <x v="2"/>
    <n v="175000"/>
    <s v="2021-01-10"/>
    <s v="西瓜"/>
    <s v="江小花"/>
  </r>
  <r>
    <s v="684"/>
    <x v="2"/>
    <n v="249000"/>
    <s v="2021-01-10"/>
    <s v="鳳梨"/>
    <s v="葉小美"/>
  </r>
  <r>
    <s v="685"/>
    <x v="5"/>
    <n v="182000"/>
    <s v="2021-01-13"/>
    <s v="芒果"/>
    <s v="江小花"/>
  </r>
  <r>
    <s v="686"/>
    <x v="2"/>
    <n v="251000"/>
    <s v="2021-01-13"/>
    <s v="芒果"/>
    <s v="李小怡"/>
  </r>
  <r>
    <s v="687"/>
    <x v="5"/>
    <n v="133000"/>
    <s v="2021-01-17"/>
    <s v="鳳梨"/>
    <s v="方小文"/>
  </r>
  <r>
    <s v="688"/>
    <x v="5"/>
    <n v="179000"/>
    <s v="2021-01-18"/>
    <s v="西瓜"/>
    <s v="江小花"/>
  </r>
  <r>
    <s v="689"/>
    <x v="6"/>
    <n v="149000"/>
    <s v="2021-01-18"/>
    <s v="西瓜"/>
    <s v="林阿杰"/>
  </r>
  <r>
    <s v="690"/>
    <x v="0"/>
    <n v="247000"/>
    <s v="2021-01-21"/>
    <s v="柚子"/>
    <s v="李小怡"/>
  </r>
  <r>
    <s v="691"/>
    <x v="1"/>
    <n v="272000"/>
    <s v="2021-01-22"/>
    <s v="蘋果"/>
    <s v="江小花"/>
  </r>
  <r>
    <s v="692"/>
    <x v="4"/>
    <n v="107000"/>
    <s v="2021-01-24"/>
    <s v="柚子"/>
    <s v="郭小婷"/>
  </r>
  <r>
    <s v="693"/>
    <x v="6"/>
    <n v="289000"/>
    <s v="2021-01-25"/>
    <s v="西瓜"/>
    <s v="方小文"/>
  </r>
  <r>
    <s v="694"/>
    <x v="1"/>
    <n v="214000"/>
    <s v="2021-01-27"/>
    <s v="芒果"/>
    <s v="李小怡"/>
  </r>
  <r>
    <s v="695"/>
    <x v="5"/>
    <n v="195000"/>
    <s v="2021-01-28"/>
    <s v="鳳梨"/>
    <s v="楊小杉"/>
  </r>
  <r>
    <s v="696"/>
    <x v="3"/>
    <n v="264000"/>
    <s v="2021-01-28"/>
    <s v="香蕉"/>
    <s v="江小花"/>
  </r>
  <r>
    <s v="697"/>
    <x v="2"/>
    <n v="242000"/>
    <s v="2021-01-31"/>
    <s v="柚子"/>
    <s v="林小玉"/>
  </r>
  <r>
    <s v="698"/>
    <x v="0"/>
    <n v="252000"/>
    <s v="2021-01-31"/>
    <s v="柚子"/>
    <s v="林小玉"/>
  </r>
  <r>
    <s v="699"/>
    <x v="6"/>
    <n v="200000"/>
    <s v="2021-02-01"/>
    <s v="西瓜"/>
    <s v="吳小亮"/>
  </r>
  <r>
    <s v="700"/>
    <x v="2"/>
    <n v="90000"/>
    <s v="2021-02-03"/>
    <s v="芒果"/>
    <s v="江小花"/>
  </r>
  <r>
    <s v="701"/>
    <x v="6"/>
    <n v="266000"/>
    <s v="2021-02-03"/>
    <s v="柚子"/>
    <s v="方小文"/>
  </r>
  <r>
    <s v="702"/>
    <x v="0"/>
    <n v="73000"/>
    <s v="2021-02-04"/>
    <s v="柚子"/>
    <s v="吳小亮"/>
  </r>
  <r>
    <s v="703"/>
    <x v="3"/>
    <n v="84000"/>
    <s v="2021-02-08"/>
    <s v="芒果"/>
    <s v="楊小杉"/>
  </r>
  <r>
    <s v="704"/>
    <x v="1"/>
    <n v="261000"/>
    <s v="2021-02-08"/>
    <s v="柚子"/>
    <s v="吳小亮"/>
  </r>
  <r>
    <s v="705"/>
    <x v="2"/>
    <n v="69000"/>
    <s v="2021-02-09"/>
    <s v="芒果"/>
    <s v="江小花"/>
  </r>
  <r>
    <s v="706"/>
    <x v="5"/>
    <n v="175000"/>
    <s v="2021-02-10"/>
    <s v="蘋果"/>
    <s v="方小文"/>
  </r>
  <r>
    <s v="707"/>
    <x v="5"/>
    <n v="39000"/>
    <s v="2021-02-12"/>
    <s v="芒果"/>
    <s v="楊小杉"/>
  </r>
  <r>
    <s v="708"/>
    <x v="0"/>
    <n v="185000"/>
    <s v="2021-02-13"/>
    <s v="香蕉"/>
    <s v="郭小婷"/>
  </r>
  <r>
    <s v="709"/>
    <x v="6"/>
    <n v="240000"/>
    <s v="2021-02-13"/>
    <s v="香蕉"/>
    <s v="李小怡"/>
  </r>
  <r>
    <s v="710"/>
    <x v="6"/>
    <n v="211000"/>
    <s v="2021-02-14"/>
    <s v="鳳梨"/>
    <s v="楊小杉"/>
  </r>
  <r>
    <s v="711"/>
    <x v="2"/>
    <n v="291000"/>
    <s v="2021-02-15"/>
    <s v="香蕉"/>
    <s v="郭小婷"/>
  </r>
  <r>
    <s v="712"/>
    <x v="3"/>
    <n v="201000"/>
    <s v="2021-02-15"/>
    <s v="柚子"/>
    <s v="葉小美"/>
  </r>
  <r>
    <s v="713"/>
    <x v="1"/>
    <n v="120000"/>
    <s v="2021-02-18"/>
    <s v="芒果"/>
    <s v="楊小杉"/>
  </r>
  <r>
    <s v="714"/>
    <x v="5"/>
    <n v="45000"/>
    <s v="2021-02-18"/>
    <s v="香蕉"/>
    <s v="吳小亮"/>
  </r>
  <r>
    <s v="715"/>
    <x v="2"/>
    <n v="135000"/>
    <s v="2021-02-20"/>
    <s v="芒果"/>
    <s v="江小花"/>
  </r>
  <r>
    <s v="716"/>
    <x v="6"/>
    <n v="211000"/>
    <s v="2021-02-22"/>
    <s v="芒果"/>
    <s v="葉小美"/>
  </r>
  <r>
    <s v="717"/>
    <x v="3"/>
    <n v="230000"/>
    <s v="2021-02-24"/>
    <s v="芒果"/>
    <s v="郭小婷"/>
  </r>
  <r>
    <s v="718"/>
    <x v="1"/>
    <n v="249000"/>
    <s v="2021-02-24"/>
    <s v="香蕉"/>
    <s v="郭小婷"/>
  </r>
  <r>
    <s v="719"/>
    <x v="2"/>
    <n v="200000"/>
    <s v="2021-02-24"/>
    <s v="蘋果"/>
    <s v="葉小美"/>
  </r>
  <r>
    <s v="720"/>
    <x v="3"/>
    <n v="270000"/>
    <s v="2021-02-27"/>
    <s v="蘋果"/>
    <s v="李小怡"/>
  </r>
  <r>
    <s v="721"/>
    <x v="5"/>
    <n v="169000"/>
    <s v="2021-03-02"/>
    <s v="鳳梨"/>
    <s v="方小文"/>
  </r>
  <r>
    <s v="722"/>
    <x v="0"/>
    <n v="99000"/>
    <s v="2021-03-03"/>
    <s v="西瓜"/>
    <s v="吳小亮"/>
  </r>
  <r>
    <s v="723"/>
    <x v="2"/>
    <n v="60000"/>
    <s v="2021-03-04"/>
    <s v="鳳梨"/>
    <s v="江小花"/>
  </r>
  <r>
    <s v="724"/>
    <x v="6"/>
    <n v="248000"/>
    <s v="2021-03-04"/>
    <s v="芒果"/>
    <s v="李小怡"/>
  </r>
  <r>
    <s v="725"/>
    <x v="5"/>
    <n v="36000"/>
    <s v="2021-03-04"/>
    <s v="蘋果"/>
    <s v="江小花"/>
  </r>
  <r>
    <s v="726"/>
    <x v="5"/>
    <n v="55000"/>
    <s v="2021-03-04"/>
    <s v="香蕉"/>
    <s v="林小玉"/>
  </r>
  <r>
    <s v="727"/>
    <x v="0"/>
    <n v="139000"/>
    <s v="2021-03-05"/>
    <s v="香蕉"/>
    <s v="林阿杰"/>
  </r>
  <r>
    <s v="728"/>
    <x v="3"/>
    <n v="291000"/>
    <s v="2021-03-06"/>
    <s v="蘋果"/>
    <s v="吳小亮"/>
  </r>
  <r>
    <s v="729"/>
    <x v="4"/>
    <n v="102000"/>
    <s v="2021-03-07"/>
    <s v="蘋果"/>
    <s v="江小花"/>
  </r>
  <r>
    <s v="730"/>
    <x v="3"/>
    <n v="131000"/>
    <s v="2021-03-10"/>
    <s v="蘋果"/>
    <s v="林小玉"/>
  </r>
  <r>
    <s v="731"/>
    <x v="4"/>
    <n v="282000"/>
    <s v="2021-03-11"/>
    <s v="蘋果"/>
    <s v="方小文"/>
  </r>
  <r>
    <s v="732"/>
    <x v="4"/>
    <n v="291000"/>
    <s v="2021-03-13"/>
    <s v="香蕉"/>
    <s v="葉小美"/>
  </r>
  <r>
    <s v="733"/>
    <x v="3"/>
    <n v="77000"/>
    <s v="2021-03-13"/>
    <s v="鳳梨"/>
    <s v="楊小杉"/>
  </r>
  <r>
    <s v="734"/>
    <x v="2"/>
    <n v="119000"/>
    <s v="2021-03-15"/>
    <s v="鳳梨"/>
    <s v="林小玉"/>
  </r>
  <r>
    <s v="735"/>
    <x v="4"/>
    <n v="274000"/>
    <s v="2021-03-18"/>
    <s v="西瓜"/>
    <s v="方小文"/>
  </r>
  <r>
    <s v="736"/>
    <x v="3"/>
    <n v="238000"/>
    <s v="2021-03-19"/>
    <s v="香蕉"/>
    <s v="李小怡"/>
  </r>
  <r>
    <s v="737"/>
    <x v="4"/>
    <n v="158000"/>
    <s v="2021-03-19"/>
    <s v="芒果"/>
    <s v="林阿杰"/>
  </r>
  <r>
    <s v="738"/>
    <x v="0"/>
    <n v="259000"/>
    <s v="2021-03-20"/>
    <s v="柚子"/>
    <s v="方小文"/>
  </r>
  <r>
    <s v="739"/>
    <x v="3"/>
    <n v="40000"/>
    <s v="2021-03-21"/>
    <s v="鳳梨"/>
    <s v="林阿杰"/>
  </r>
  <r>
    <s v="740"/>
    <x v="2"/>
    <n v="141000"/>
    <s v="2021-03-24"/>
    <s v="蘋果"/>
    <s v="吳小亮"/>
  </r>
  <r>
    <s v="741"/>
    <x v="2"/>
    <n v="237000"/>
    <s v="2021-03-25"/>
    <s v="芒果"/>
    <s v="吳小亮"/>
  </r>
  <r>
    <s v="742"/>
    <x v="0"/>
    <n v="172000"/>
    <s v="2021-03-26"/>
    <s v="芒果"/>
    <s v="林小玉"/>
  </r>
  <r>
    <s v="743"/>
    <x v="3"/>
    <n v="204000"/>
    <s v="2021-03-26"/>
    <s v="柚子"/>
    <s v="楊小杉"/>
  </r>
  <r>
    <s v="744"/>
    <x v="6"/>
    <n v="158000"/>
    <s v="2021-03-26"/>
    <s v="鳳梨"/>
    <s v="葉小美"/>
  </r>
  <r>
    <s v="745"/>
    <x v="6"/>
    <n v="84000"/>
    <s v="2021-03-30"/>
    <s v="柚子"/>
    <s v="郭小婷"/>
  </r>
  <r>
    <s v="746"/>
    <x v="4"/>
    <n v="102000"/>
    <s v="2021-03-31"/>
    <s v="鳳梨"/>
    <s v="楊小杉"/>
  </r>
  <r>
    <s v="747"/>
    <x v="6"/>
    <n v="45000"/>
    <s v="2021-04-02"/>
    <s v="香蕉"/>
    <s v="郭小婷"/>
  </r>
  <r>
    <s v="748"/>
    <x v="3"/>
    <n v="181000"/>
    <s v="2021-04-02"/>
    <s v="蘋果"/>
    <s v="林阿杰"/>
  </r>
  <r>
    <s v="749"/>
    <x v="2"/>
    <n v="142000"/>
    <s v="2021-04-03"/>
    <s v="香蕉"/>
    <s v="江小花"/>
  </r>
  <r>
    <s v="750"/>
    <x v="5"/>
    <n v="103000"/>
    <s v="2021-04-03"/>
    <s v="香蕉"/>
    <s v="林阿杰"/>
  </r>
  <r>
    <s v="751"/>
    <x v="5"/>
    <n v="276000"/>
    <s v="2021-04-03"/>
    <s v="鳳梨"/>
    <s v="方小文"/>
  </r>
  <r>
    <s v="752"/>
    <x v="1"/>
    <n v="148000"/>
    <s v="2021-04-04"/>
    <s v="鳳梨"/>
    <s v="葉小美"/>
  </r>
  <r>
    <s v="753"/>
    <x v="2"/>
    <n v="160000"/>
    <s v="2021-04-07"/>
    <s v="芒果"/>
    <s v="江小花"/>
  </r>
  <r>
    <s v="754"/>
    <x v="2"/>
    <n v="108000"/>
    <s v="2021-04-09"/>
    <s v="芒果"/>
    <s v="江小花"/>
  </r>
  <r>
    <s v="755"/>
    <x v="2"/>
    <n v="177000"/>
    <s v="2021-04-10"/>
    <s v="西瓜"/>
    <s v="吳小亮"/>
  </r>
  <r>
    <s v="756"/>
    <x v="6"/>
    <n v="39000"/>
    <s v="2021-04-10"/>
    <s v="鳳梨"/>
    <s v="林阿杰"/>
  </r>
  <r>
    <s v="757"/>
    <x v="5"/>
    <n v="246000"/>
    <s v="2021-04-11"/>
    <s v="芒果"/>
    <s v="江小花"/>
  </r>
  <r>
    <s v="758"/>
    <x v="5"/>
    <n v="152000"/>
    <s v="2021-04-12"/>
    <s v="芒果"/>
    <s v="方小文"/>
  </r>
  <r>
    <s v="759"/>
    <x v="2"/>
    <n v="123000"/>
    <s v="2021-04-15"/>
    <s v="香蕉"/>
    <s v="楊小杉"/>
  </r>
  <r>
    <s v="760"/>
    <x v="4"/>
    <n v="263000"/>
    <s v="2021-04-15"/>
    <s v="西瓜"/>
    <s v="林阿杰"/>
  </r>
  <r>
    <s v="761"/>
    <x v="6"/>
    <n v="210000"/>
    <s v="2021-04-21"/>
    <s v="西瓜"/>
    <s v="方小文"/>
  </r>
  <r>
    <s v="762"/>
    <x v="3"/>
    <n v="197000"/>
    <s v="2021-04-22"/>
    <s v="蘋果"/>
    <s v="郭小婷"/>
  </r>
  <r>
    <s v="763"/>
    <x v="3"/>
    <n v="43000"/>
    <s v="2021-04-22"/>
    <s v="芒果"/>
    <s v="江小花"/>
  </r>
  <r>
    <s v="764"/>
    <x v="1"/>
    <n v="222000"/>
    <s v="2021-04-23"/>
    <s v="柚子"/>
    <s v="郭小婷"/>
  </r>
  <r>
    <s v="765"/>
    <x v="4"/>
    <n v="203000"/>
    <s v="2021-04-23"/>
    <s v="柚子"/>
    <s v="林小玉"/>
  </r>
  <r>
    <s v="766"/>
    <x v="4"/>
    <n v="94000"/>
    <s v="2021-04-23"/>
    <s v="鳳梨"/>
    <s v="江小花"/>
  </r>
  <r>
    <s v="767"/>
    <x v="2"/>
    <n v="159000"/>
    <s v="2021-04-23"/>
    <s v="柚子"/>
    <s v="林小玉"/>
  </r>
  <r>
    <s v="768"/>
    <x v="0"/>
    <n v="300000"/>
    <s v="2021-04-23"/>
    <s v="鳳梨"/>
    <s v="林小玉"/>
  </r>
  <r>
    <s v="769"/>
    <x v="4"/>
    <n v="101000"/>
    <s v="2021-04-24"/>
    <s v="鳳梨"/>
    <s v="江小花"/>
  </r>
  <r>
    <s v="770"/>
    <x v="1"/>
    <n v="287000"/>
    <s v="2021-04-28"/>
    <s v="鳳梨"/>
    <s v="郭小婷"/>
  </r>
  <r>
    <s v="771"/>
    <x v="0"/>
    <n v="103000"/>
    <s v="2021-04-29"/>
    <s v="芒果"/>
    <s v="林阿杰"/>
  </r>
  <r>
    <s v="772"/>
    <x v="1"/>
    <n v="58000"/>
    <s v="2021-04-30"/>
    <s v="柚子"/>
    <s v="方小文"/>
  </r>
  <r>
    <s v="773"/>
    <x v="5"/>
    <n v="145000"/>
    <s v="2021-04-30"/>
    <s v="西瓜"/>
    <s v="林小玉"/>
  </r>
  <r>
    <s v="774"/>
    <x v="6"/>
    <n v="278000"/>
    <s v="2021-04-30"/>
    <s v="柚子"/>
    <s v="江小花"/>
  </r>
  <r>
    <s v="775"/>
    <x v="1"/>
    <n v="176000"/>
    <s v="2021-05-01"/>
    <s v="蘋果"/>
    <s v="楊小杉"/>
  </r>
  <r>
    <s v="776"/>
    <x v="0"/>
    <n v="100000"/>
    <s v="2021-05-01"/>
    <s v="芒果"/>
    <s v="江小花"/>
  </r>
  <r>
    <s v="777"/>
    <x v="0"/>
    <n v="148000"/>
    <s v="2021-05-02"/>
    <s v="蘋果"/>
    <s v="楊小杉"/>
  </r>
  <r>
    <s v="778"/>
    <x v="6"/>
    <n v="151000"/>
    <s v="2021-05-02"/>
    <s v="西瓜"/>
    <s v="方小文"/>
  </r>
  <r>
    <s v="779"/>
    <x v="2"/>
    <n v="63000"/>
    <s v="2021-05-02"/>
    <s v="芒果"/>
    <s v="葉小美"/>
  </r>
  <r>
    <s v="780"/>
    <x v="0"/>
    <n v="94000"/>
    <s v="2021-05-02"/>
    <s v="芒果"/>
    <s v="楊小杉"/>
  </r>
  <r>
    <s v="781"/>
    <x v="1"/>
    <n v="274000"/>
    <s v="2021-05-02"/>
    <s v="香蕉"/>
    <s v="林小玉"/>
  </r>
  <r>
    <s v="782"/>
    <x v="2"/>
    <n v="219000"/>
    <s v="2021-05-03"/>
    <s v="柚子"/>
    <s v="葉小美"/>
  </r>
  <r>
    <s v="783"/>
    <x v="3"/>
    <n v="230000"/>
    <s v="2021-05-03"/>
    <s v="蘋果"/>
    <s v="葉小美"/>
  </r>
  <r>
    <s v="784"/>
    <x v="0"/>
    <n v="215000"/>
    <s v="2021-05-07"/>
    <s v="西瓜"/>
    <s v="林阿杰"/>
  </r>
  <r>
    <s v="785"/>
    <x v="5"/>
    <n v="281000"/>
    <s v="2021-05-07"/>
    <s v="柚子"/>
    <s v="李小怡"/>
  </r>
  <r>
    <s v="786"/>
    <x v="2"/>
    <n v="281000"/>
    <s v="2021-05-07"/>
    <s v="香蕉"/>
    <s v="李小怡"/>
  </r>
  <r>
    <s v="787"/>
    <x v="2"/>
    <n v="173000"/>
    <s v="2021-05-08"/>
    <s v="柚子"/>
    <s v="林小玉"/>
  </r>
  <r>
    <s v="788"/>
    <x v="2"/>
    <n v="35000"/>
    <s v="2021-05-09"/>
    <s v="柚子"/>
    <s v="方小文"/>
  </r>
  <r>
    <s v="789"/>
    <x v="5"/>
    <n v="76000"/>
    <s v="2021-05-11"/>
    <s v="柚子"/>
    <s v="方小文"/>
  </r>
  <r>
    <s v="790"/>
    <x v="6"/>
    <n v="260000"/>
    <s v="2021-05-12"/>
    <s v="柚子"/>
    <s v="江小花"/>
  </r>
  <r>
    <s v="791"/>
    <x v="0"/>
    <n v="108000"/>
    <s v="2021-05-12"/>
    <s v="西瓜"/>
    <s v="吳小亮"/>
  </r>
  <r>
    <s v="792"/>
    <x v="3"/>
    <n v="71000"/>
    <s v="2021-05-13"/>
    <s v="芒果"/>
    <s v="李小怡"/>
  </r>
  <r>
    <s v="793"/>
    <x v="6"/>
    <n v="187000"/>
    <s v="2021-05-15"/>
    <s v="鳳梨"/>
    <s v="林阿杰"/>
  </r>
  <r>
    <s v="794"/>
    <x v="2"/>
    <n v="178000"/>
    <s v="2021-05-16"/>
    <s v="西瓜"/>
    <s v="楊小杉"/>
  </r>
  <r>
    <s v="795"/>
    <x v="4"/>
    <n v="205000"/>
    <s v="2021-05-17"/>
    <s v="柚子"/>
    <s v="郭小婷"/>
  </r>
  <r>
    <s v="796"/>
    <x v="1"/>
    <n v="69000"/>
    <s v="2021-05-19"/>
    <s v="西瓜"/>
    <s v="楊小杉"/>
  </r>
  <r>
    <s v="797"/>
    <x v="2"/>
    <n v="136000"/>
    <s v="2021-05-20"/>
    <s v="芒果"/>
    <s v="江小花"/>
  </r>
  <r>
    <s v="798"/>
    <x v="1"/>
    <n v="91000"/>
    <s v="2021-05-21"/>
    <s v="芒果"/>
    <s v="郭小婷"/>
  </r>
  <r>
    <s v="799"/>
    <x v="0"/>
    <n v="245000"/>
    <s v="2021-05-21"/>
    <s v="芒果"/>
    <s v="江小花"/>
  </r>
  <r>
    <s v="800"/>
    <x v="3"/>
    <n v="249000"/>
    <s v="2021-05-22"/>
    <s v="西瓜"/>
    <s v="葉小美"/>
  </r>
  <r>
    <s v="801"/>
    <x v="5"/>
    <n v="43000"/>
    <s v="2021-05-22"/>
    <s v="柚子"/>
    <s v="江小花"/>
  </r>
  <r>
    <s v="802"/>
    <x v="3"/>
    <n v="142000"/>
    <s v="2021-05-23"/>
    <s v="芒果"/>
    <s v="李小怡"/>
  </r>
  <r>
    <s v="803"/>
    <x v="5"/>
    <n v="32000"/>
    <s v="2021-05-23"/>
    <s v="芒果"/>
    <s v="葉小美"/>
  </r>
  <r>
    <s v="804"/>
    <x v="3"/>
    <n v="97000"/>
    <s v="2021-05-24"/>
    <s v="西瓜"/>
    <s v="葉小美"/>
  </r>
  <r>
    <s v="805"/>
    <x v="0"/>
    <n v="215000"/>
    <s v="2021-05-25"/>
    <s v="芒果"/>
    <s v="葉小美"/>
  </r>
  <r>
    <s v="806"/>
    <x v="3"/>
    <n v="269000"/>
    <s v="2021-05-26"/>
    <s v="蘋果"/>
    <s v="江小花"/>
  </r>
  <r>
    <s v="807"/>
    <x v="5"/>
    <n v="145000"/>
    <s v="2021-05-28"/>
    <s v="香蕉"/>
    <s v="郭小婷"/>
  </r>
  <r>
    <s v="808"/>
    <x v="5"/>
    <n v="180000"/>
    <s v="2021-05-28"/>
    <s v="柚子"/>
    <s v="郭小婷"/>
  </r>
  <r>
    <s v="809"/>
    <x v="3"/>
    <n v="257000"/>
    <s v="2021-05-29"/>
    <s v="柚子"/>
    <s v="吳小亮"/>
  </r>
  <r>
    <s v="810"/>
    <x v="2"/>
    <n v="43000"/>
    <s v="2021-05-31"/>
    <s v="西瓜"/>
    <s v="楊小杉"/>
  </r>
  <r>
    <s v="811"/>
    <x v="6"/>
    <n v="254000"/>
    <s v="2021-06-01"/>
    <s v="西瓜"/>
    <s v="郭小婷"/>
  </r>
  <r>
    <s v="812"/>
    <x v="3"/>
    <n v="237000"/>
    <s v="2021-06-01"/>
    <s v="鳳梨"/>
    <s v="江小花"/>
  </r>
  <r>
    <s v="813"/>
    <x v="3"/>
    <n v="152000"/>
    <s v="2021-06-01"/>
    <s v="柚子"/>
    <s v="方小文"/>
  </r>
  <r>
    <s v="814"/>
    <x v="5"/>
    <n v="299000"/>
    <s v="2021-06-03"/>
    <s v="蘋果"/>
    <s v="方小文"/>
  </r>
  <r>
    <s v="815"/>
    <x v="2"/>
    <n v="35000"/>
    <s v="2021-06-03"/>
    <s v="西瓜"/>
    <s v="郭小婷"/>
  </r>
  <r>
    <s v="816"/>
    <x v="4"/>
    <n v="45000"/>
    <s v="2021-06-04"/>
    <s v="香蕉"/>
    <s v="楊小杉"/>
  </r>
  <r>
    <s v="817"/>
    <x v="1"/>
    <n v="132000"/>
    <s v="2021-06-04"/>
    <s v="香蕉"/>
    <s v="林阿杰"/>
  </r>
  <r>
    <s v="818"/>
    <x v="5"/>
    <n v="83000"/>
    <s v="2021-06-04"/>
    <s v="柚子"/>
    <s v="吳小亮"/>
  </r>
  <r>
    <s v="819"/>
    <x v="6"/>
    <n v="184000"/>
    <s v="2021-06-06"/>
    <s v="蘋果"/>
    <s v="李小怡"/>
  </r>
  <r>
    <s v="820"/>
    <x v="6"/>
    <n v="43000"/>
    <s v="2021-06-07"/>
    <s v="香蕉"/>
    <s v="林小玉"/>
  </r>
  <r>
    <s v="821"/>
    <x v="0"/>
    <n v="84000"/>
    <s v="2021-06-07"/>
    <s v="香蕉"/>
    <s v="方小文"/>
  </r>
  <r>
    <s v="822"/>
    <x v="4"/>
    <n v="54000"/>
    <s v="2021-06-08"/>
    <s v="蘋果"/>
    <s v="江小花"/>
  </r>
  <r>
    <s v="823"/>
    <x v="1"/>
    <n v="211000"/>
    <s v="2021-06-11"/>
    <s v="鳳梨"/>
    <s v="葉小美"/>
  </r>
  <r>
    <s v="824"/>
    <x v="3"/>
    <n v="56000"/>
    <s v="2021-06-12"/>
    <s v="鳳梨"/>
    <s v="方小文"/>
  </r>
  <r>
    <s v="825"/>
    <x v="2"/>
    <n v="243000"/>
    <s v="2021-06-12"/>
    <s v="鳳梨"/>
    <s v="林小玉"/>
  </r>
  <r>
    <s v="826"/>
    <x v="5"/>
    <n v="90000"/>
    <s v="2021-06-13"/>
    <s v="柚子"/>
    <s v="楊小杉"/>
  </r>
  <r>
    <s v="827"/>
    <x v="5"/>
    <n v="119000"/>
    <s v="2021-06-13"/>
    <s v="香蕉"/>
    <s v="李小怡"/>
  </r>
  <r>
    <s v="828"/>
    <x v="2"/>
    <n v="242000"/>
    <s v="2021-06-16"/>
    <s v="西瓜"/>
    <s v="林小玉"/>
  </r>
  <r>
    <s v="829"/>
    <x v="0"/>
    <n v="115000"/>
    <s v="2021-06-18"/>
    <s v="蘋果"/>
    <s v="楊小杉"/>
  </r>
  <r>
    <s v="830"/>
    <x v="3"/>
    <n v="64000"/>
    <s v="2021-06-19"/>
    <s v="鳳梨"/>
    <s v="林小玉"/>
  </r>
  <r>
    <s v="831"/>
    <x v="1"/>
    <n v="247000"/>
    <s v="2021-06-20"/>
    <s v="鳳梨"/>
    <s v="方小文"/>
  </r>
  <r>
    <s v="832"/>
    <x v="5"/>
    <n v="221000"/>
    <s v="2021-06-21"/>
    <s v="西瓜"/>
    <s v="楊小杉"/>
  </r>
  <r>
    <s v="833"/>
    <x v="5"/>
    <n v="161000"/>
    <s v="2021-06-22"/>
    <s v="西瓜"/>
    <s v="江小花"/>
  </r>
  <r>
    <s v="834"/>
    <x v="1"/>
    <n v="133000"/>
    <s v="2021-06-24"/>
    <s v="芒果"/>
    <s v="方小文"/>
  </r>
  <r>
    <s v="835"/>
    <x v="5"/>
    <n v="155000"/>
    <s v="2021-06-24"/>
    <s v="柚子"/>
    <s v="江小花"/>
  </r>
  <r>
    <s v="836"/>
    <x v="3"/>
    <n v="225000"/>
    <s v="2021-06-25"/>
    <s v="蘋果"/>
    <s v="李小怡"/>
  </r>
  <r>
    <s v="837"/>
    <x v="0"/>
    <n v="159000"/>
    <s v="2021-06-25"/>
    <s v="西瓜"/>
    <s v="李小怡"/>
  </r>
  <r>
    <s v="838"/>
    <x v="3"/>
    <n v="295000"/>
    <s v="2021-06-26"/>
    <s v="蘋果"/>
    <s v="江小花"/>
  </r>
  <r>
    <s v="839"/>
    <x v="5"/>
    <n v="49000"/>
    <s v="2021-06-28"/>
    <s v="蘋果"/>
    <s v="林阿杰"/>
  </r>
  <r>
    <s v="840"/>
    <x v="6"/>
    <n v="217000"/>
    <s v="2021-06-28"/>
    <s v="香蕉"/>
    <s v="方小文"/>
  </r>
  <r>
    <s v="841"/>
    <x v="3"/>
    <n v="92000"/>
    <s v="2021-06-28"/>
    <s v="柚子"/>
    <s v="李小怡"/>
  </r>
  <r>
    <s v="842"/>
    <x v="2"/>
    <n v="118000"/>
    <s v="2021-06-30"/>
    <s v="芒果"/>
    <s v="楊小杉"/>
  </r>
  <r>
    <s v="843"/>
    <x v="0"/>
    <n v="36000"/>
    <s v="2021-07-01"/>
    <s v="芒果"/>
    <s v="林阿杰"/>
  </r>
  <r>
    <s v="844"/>
    <x v="5"/>
    <n v="92000"/>
    <s v="2021-07-03"/>
    <s v="芒果"/>
    <s v="吳小亮"/>
  </r>
  <r>
    <s v="845"/>
    <x v="3"/>
    <n v="148000"/>
    <s v="2021-07-04"/>
    <s v="蘋果"/>
    <s v="林阿杰"/>
  </r>
  <r>
    <s v="846"/>
    <x v="2"/>
    <n v="199000"/>
    <s v="2021-07-04"/>
    <s v="鳳梨"/>
    <s v="方小文"/>
  </r>
  <r>
    <s v="847"/>
    <x v="1"/>
    <n v="101000"/>
    <s v="2021-07-05"/>
    <s v="西瓜"/>
    <s v="李小怡"/>
  </r>
  <r>
    <s v="848"/>
    <x v="3"/>
    <n v="55000"/>
    <s v="2021-07-07"/>
    <s v="香蕉"/>
    <s v="方小文"/>
  </r>
  <r>
    <s v="849"/>
    <x v="5"/>
    <n v="273000"/>
    <s v="2021-07-09"/>
    <s v="芒果"/>
    <s v="李小怡"/>
  </r>
  <r>
    <s v="850"/>
    <x v="0"/>
    <n v="57000"/>
    <s v="2021-07-11"/>
    <s v="芒果"/>
    <s v="方小文"/>
  </r>
  <r>
    <s v="851"/>
    <x v="6"/>
    <n v="52000"/>
    <s v="2021-07-12"/>
    <s v="香蕉"/>
    <s v="林小玉"/>
  </r>
  <r>
    <s v="852"/>
    <x v="2"/>
    <n v="204000"/>
    <s v="2021-07-13"/>
    <s v="蘋果"/>
    <s v="江小花"/>
  </r>
  <r>
    <s v="853"/>
    <x v="4"/>
    <n v="281000"/>
    <s v="2021-07-14"/>
    <s v="柚子"/>
    <s v="楊小杉"/>
  </r>
  <r>
    <s v="854"/>
    <x v="4"/>
    <n v="131000"/>
    <s v="2021-07-14"/>
    <s v="蘋果"/>
    <s v="吳小亮"/>
  </r>
  <r>
    <s v="855"/>
    <x v="5"/>
    <n v="260000"/>
    <s v="2021-07-14"/>
    <s v="西瓜"/>
    <s v="林小玉"/>
  </r>
  <r>
    <s v="856"/>
    <x v="3"/>
    <n v="162000"/>
    <s v="2021-07-17"/>
    <s v="柚子"/>
    <s v="吳小亮"/>
  </r>
  <r>
    <s v="857"/>
    <x v="1"/>
    <n v="243000"/>
    <s v="2021-07-17"/>
    <s v="西瓜"/>
    <s v="江小花"/>
  </r>
  <r>
    <s v="858"/>
    <x v="3"/>
    <n v="219000"/>
    <s v="2021-07-21"/>
    <s v="芒果"/>
    <s v="郭小婷"/>
  </r>
  <r>
    <s v="859"/>
    <x v="3"/>
    <n v="99000"/>
    <s v="2021-07-22"/>
    <s v="香蕉"/>
    <s v="林小玉"/>
  </r>
  <r>
    <s v="860"/>
    <x v="3"/>
    <n v="299000"/>
    <s v="2021-07-22"/>
    <s v="蘋果"/>
    <s v="李小怡"/>
  </r>
  <r>
    <s v="861"/>
    <x v="3"/>
    <n v="292000"/>
    <s v="2021-07-22"/>
    <s v="蘋果"/>
    <s v="方小文"/>
  </r>
  <r>
    <s v="862"/>
    <x v="5"/>
    <n v="163000"/>
    <s v="2021-07-28"/>
    <s v="柚子"/>
    <s v="楊小杉"/>
  </r>
  <r>
    <s v="863"/>
    <x v="0"/>
    <n v="240000"/>
    <s v="2021-07-29"/>
    <s v="西瓜"/>
    <s v="郭小婷"/>
  </r>
  <r>
    <s v="864"/>
    <x v="0"/>
    <n v="232000"/>
    <s v="2021-07-31"/>
    <s v="鳳梨"/>
    <s v="江小花"/>
  </r>
  <r>
    <s v="865"/>
    <x v="6"/>
    <n v="187000"/>
    <s v="2021-08-01"/>
    <s v="鳳梨"/>
    <s v="郭小婷"/>
  </r>
  <r>
    <s v="866"/>
    <x v="4"/>
    <n v="40000"/>
    <s v="2021-08-01"/>
    <s v="香蕉"/>
    <s v="吳小亮"/>
  </r>
  <r>
    <s v="867"/>
    <x v="4"/>
    <n v="57000"/>
    <s v="2021-08-02"/>
    <s v="芒果"/>
    <s v="江小花"/>
  </r>
  <r>
    <s v="868"/>
    <x v="6"/>
    <n v="63000"/>
    <s v="2021-08-02"/>
    <s v="芒果"/>
    <s v="方小文"/>
  </r>
  <r>
    <s v="869"/>
    <x v="3"/>
    <n v="212000"/>
    <s v="2021-08-04"/>
    <s v="蘋果"/>
    <s v="郭小婷"/>
  </r>
  <r>
    <s v="870"/>
    <x v="5"/>
    <n v="37000"/>
    <s v="2021-08-05"/>
    <s v="柚子"/>
    <s v="李小怡"/>
  </r>
  <r>
    <s v="871"/>
    <x v="0"/>
    <n v="53000"/>
    <s v="2021-08-06"/>
    <s v="柚子"/>
    <s v="楊小杉"/>
  </r>
  <r>
    <s v="872"/>
    <x v="4"/>
    <n v="32000"/>
    <s v="2021-08-06"/>
    <s v="芒果"/>
    <s v="江小花"/>
  </r>
  <r>
    <s v="873"/>
    <x v="4"/>
    <n v="109000"/>
    <s v="2021-08-09"/>
    <s v="蘋果"/>
    <s v="李小怡"/>
  </r>
  <r>
    <s v="874"/>
    <x v="1"/>
    <n v="292000"/>
    <s v="2021-08-09"/>
    <s v="香蕉"/>
    <s v="郭小婷"/>
  </r>
  <r>
    <s v="875"/>
    <x v="1"/>
    <n v="202000"/>
    <s v="2021-08-09"/>
    <s v="鳳梨"/>
    <s v="林阿杰"/>
  </r>
  <r>
    <s v="876"/>
    <x v="5"/>
    <n v="101000"/>
    <s v="2021-08-12"/>
    <s v="柚子"/>
    <s v="郭小婷"/>
  </r>
  <r>
    <s v="877"/>
    <x v="0"/>
    <n v="114000"/>
    <s v="2021-08-14"/>
    <s v="西瓜"/>
    <s v="方小文"/>
  </r>
  <r>
    <s v="878"/>
    <x v="1"/>
    <n v="205000"/>
    <s v="2021-08-15"/>
    <s v="西瓜"/>
    <s v="江小花"/>
  </r>
  <r>
    <s v="879"/>
    <x v="2"/>
    <n v="279000"/>
    <s v="2021-08-16"/>
    <s v="鳳梨"/>
    <s v="楊小杉"/>
  </r>
  <r>
    <s v="880"/>
    <x v="4"/>
    <n v="231000"/>
    <s v="2021-08-17"/>
    <s v="西瓜"/>
    <s v="江小花"/>
  </r>
  <r>
    <s v="881"/>
    <x v="5"/>
    <n v="299000"/>
    <s v="2021-08-17"/>
    <s v="芒果"/>
    <s v="方小文"/>
  </r>
  <r>
    <s v="882"/>
    <x v="1"/>
    <n v="290000"/>
    <s v="2021-08-17"/>
    <s v="鳳梨"/>
    <s v="李小怡"/>
  </r>
  <r>
    <s v="883"/>
    <x v="1"/>
    <n v="36000"/>
    <s v="2021-08-18"/>
    <s v="西瓜"/>
    <s v="林阿杰"/>
  </r>
  <r>
    <s v="884"/>
    <x v="4"/>
    <n v="185000"/>
    <s v="2021-08-18"/>
    <s v="芒果"/>
    <s v="江小花"/>
  </r>
  <r>
    <s v="885"/>
    <x v="2"/>
    <n v="227000"/>
    <s v="2021-08-19"/>
    <s v="蘋果"/>
    <s v="林阿杰"/>
  </r>
  <r>
    <s v="886"/>
    <x v="4"/>
    <n v="237000"/>
    <s v="2021-08-19"/>
    <s v="西瓜"/>
    <s v="吳小亮"/>
  </r>
  <r>
    <s v="887"/>
    <x v="1"/>
    <n v="119000"/>
    <s v="2021-08-19"/>
    <s v="柚子"/>
    <s v="吳小亮"/>
  </r>
  <r>
    <s v="888"/>
    <x v="6"/>
    <n v="220000"/>
    <s v="2021-08-21"/>
    <s v="蘋果"/>
    <s v="林阿杰"/>
  </r>
  <r>
    <s v="889"/>
    <x v="2"/>
    <n v="207000"/>
    <s v="2021-08-22"/>
    <s v="柚子"/>
    <s v="林阿杰"/>
  </r>
  <r>
    <s v="890"/>
    <x v="1"/>
    <n v="109000"/>
    <s v="2021-08-22"/>
    <s v="蘋果"/>
    <s v="林小玉"/>
  </r>
  <r>
    <s v="891"/>
    <x v="2"/>
    <n v="79000"/>
    <s v="2021-08-23"/>
    <s v="香蕉"/>
    <s v="葉小美"/>
  </r>
  <r>
    <s v="892"/>
    <x v="5"/>
    <n v="49000"/>
    <s v="2021-08-23"/>
    <s v="鳳梨"/>
    <s v="楊小杉"/>
  </r>
  <r>
    <s v="893"/>
    <x v="4"/>
    <n v="139000"/>
    <s v="2021-08-23"/>
    <s v="柚子"/>
    <s v="吳小亮"/>
  </r>
  <r>
    <s v="894"/>
    <x v="4"/>
    <n v="241000"/>
    <s v="2021-08-25"/>
    <s v="芒果"/>
    <s v="林小玉"/>
  </r>
  <r>
    <s v="895"/>
    <x v="0"/>
    <n v="68000"/>
    <s v="2021-08-25"/>
    <s v="西瓜"/>
    <s v="楊小杉"/>
  </r>
  <r>
    <s v="896"/>
    <x v="4"/>
    <n v="193000"/>
    <s v="2021-08-25"/>
    <s v="香蕉"/>
    <s v="郭小婷"/>
  </r>
  <r>
    <s v="897"/>
    <x v="2"/>
    <n v="96000"/>
    <s v="2021-08-26"/>
    <s v="鳳梨"/>
    <s v="江小花"/>
  </r>
  <r>
    <s v="898"/>
    <x v="0"/>
    <n v="252000"/>
    <s v="2021-08-26"/>
    <s v="鳳梨"/>
    <s v="吳小亮"/>
  </r>
  <r>
    <s v="899"/>
    <x v="0"/>
    <n v="108000"/>
    <s v="2021-08-26"/>
    <s v="柚子"/>
    <s v="郭小婷"/>
  </r>
  <r>
    <s v="900"/>
    <x v="3"/>
    <n v="274000"/>
    <s v="2021-08-27"/>
    <s v="西瓜"/>
    <s v="李小怡"/>
  </r>
  <r>
    <s v="901"/>
    <x v="2"/>
    <n v="184000"/>
    <s v="2021-08-28"/>
    <s v="香蕉"/>
    <s v="李小怡"/>
  </r>
  <r>
    <s v="902"/>
    <x v="2"/>
    <n v="193000"/>
    <s v="2021-08-28"/>
    <s v="西瓜"/>
    <s v="方小文"/>
  </r>
  <r>
    <s v="903"/>
    <x v="0"/>
    <n v="240000"/>
    <s v="2021-08-29"/>
    <s v="鳳梨"/>
    <s v="吳小亮"/>
  </r>
  <r>
    <s v="904"/>
    <x v="5"/>
    <n v="213000"/>
    <s v="2021-08-30"/>
    <s v="芒果"/>
    <s v="李小怡"/>
  </r>
  <r>
    <s v="905"/>
    <x v="5"/>
    <n v="237000"/>
    <s v="2021-08-31"/>
    <s v="鳳梨"/>
    <s v="林阿杰"/>
  </r>
  <r>
    <s v="906"/>
    <x v="0"/>
    <n v="189000"/>
    <s v="2021-09-02"/>
    <s v="香蕉"/>
    <s v="葉小美"/>
  </r>
  <r>
    <s v="907"/>
    <x v="3"/>
    <n v="232000"/>
    <s v="2021-09-03"/>
    <s v="柚子"/>
    <s v="李小怡"/>
  </r>
  <r>
    <s v="908"/>
    <x v="3"/>
    <n v="82000"/>
    <s v="2021-09-03"/>
    <s v="蘋果"/>
    <s v="李小怡"/>
  </r>
  <r>
    <s v="909"/>
    <x v="6"/>
    <n v="300000"/>
    <s v="2021-09-03"/>
    <s v="柚子"/>
    <s v="葉小美"/>
  </r>
  <r>
    <s v="910"/>
    <x v="3"/>
    <n v="73000"/>
    <s v="2021-09-03"/>
    <s v="西瓜"/>
    <s v="葉小美"/>
  </r>
  <r>
    <s v="911"/>
    <x v="3"/>
    <n v="175000"/>
    <s v="2021-09-06"/>
    <s v="芒果"/>
    <s v="葉小美"/>
  </r>
  <r>
    <s v="912"/>
    <x v="4"/>
    <n v="223000"/>
    <s v="2021-09-10"/>
    <s v="香蕉"/>
    <s v="李小怡"/>
  </r>
  <r>
    <s v="913"/>
    <x v="0"/>
    <n v="81000"/>
    <s v="2021-09-12"/>
    <s v="西瓜"/>
    <s v="江小花"/>
  </r>
  <r>
    <s v="914"/>
    <x v="3"/>
    <n v="277000"/>
    <s v="2021-09-13"/>
    <s v="柚子"/>
    <s v="吳小亮"/>
  </r>
  <r>
    <s v="915"/>
    <x v="5"/>
    <n v="277000"/>
    <s v="2021-09-16"/>
    <s v="香蕉"/>
    <s v="林阿杰"/>
  </r>
  <r>
    <s v="916"/>
    <x v="5"/>
    <n v="90000"/>
    <s v="2021-09-16"/>
    <s v="鳳梨"/>
    <s v="葉小美"/>
  </r>
  <r>
    <s v="917"/>
    <x v="6"/>
    <n v="38000"/>
    <s v="2021-09-16"/>
    <s v="香蕉"/>
    <s v="吳小亮"/>
  </r>
  <r>
    <s v="918"/>
    <x v="5"/>
    <n v="292000"/>
    <s v="2021-09-17"/>
    <s v="蘋果"/>
    <s v="林小玉"/>
  </r>
  <r>
    <s v="919"/>
    <x v="4"/>
    <n v="88000"/>
    <s v="2021-09-19"/>
    <s v="蘋果"/>
    <s v="吳小亮"/>
  </r>
  <r>
    <s v="920"/>
    <x v="0"/>
    <n v="292000"/>
    <s v="2021-09-20"/>
    <s v="西瓜"/>
    <s v="吳小亮"/>
  </r>
  <r>
    <s v="921"/>
    <x v="3"/>
    <n v="69000"/>
    <s v="2021-09-20"/>
    <s v="芒果"/>
    <s v="葉小美"/>
  </r>
  <r>
    <s v="922"/>
    <x v="0"/>
    <n v="83000"/>
    <s v="2021-09-21"/>
    <s v="鳳梨"/>
    <s v="林小玉"/>
  </r>
  <r>
    <s v="923"/>
    <x v="1"/>
    <n v="42000"/>
    <s v="2021-09-22"/>
    <s v="柚子"/>
    <s v="林阿杰"/>
  </r>
  <r>
    <s v="924"/>
    <x v="5"/>
    <n v="144000"/>
    <s v="2021-09-23"/>
    <s v="蘋果"/>
    <s v="吳小亮"/>
  </r>
  <r>
    <s v="925"/>
    <x v="3"/>
    <n v="88000"/>
    <s v="2021-09-25"/>
    <s v="芒果"/>
    <s v="李小怡"/>
  </r>
  <r>
    <s v="926"/>
    <x v="4"/>
    <n v="217000"/>
    <s v="2021-09-25"/>
    <s v="芒果"/>
    <s v="林小玉"/>
  </r>
  <r>
    <s v="927"/>
    <x v="1"/>
    <n v="30000"/>
    <s v="2021-09-27"/>
    <s v="香蕉"/>
    <s v="李小怡"/>
  </r>
  <r>
    <s v="928"/>
    <x v="3"/>
    <n v="143000"/>
    <s v="2021-10-02"/>
    <s v="柚子"/>
    <s v="吳小亮"/>
  </r>
  <r>
    <s v="929"/>
    <x v="1"/>
    <n v="163000"/>
    <s v="2021-10-03"/>
    <s v="柚子"/>
    <s v="林小玉"/>
  </r>
  <r>
    <s v="930"/>
    <x v="0"/>
    <n v="124000"/>
    <s v="2021-10-04"/>
    <s v="鳳梨"/>
    <s v="吳小亮"/>
  </r>
  <r>
    <s v="931"/>
    <x v="5"/>
    <n v="184000"/>
    <s v="2021-10-05"/>
    <s v="蘋果"/>
    <s v="方小文"/>
  </r>
  <r>
    <s v="932"/>
    <x v="4"/>
    <n v="111000"/>
    <s v="2021-10-06"/>
    <s v="鳳梨"/>
    <s v="葉小美"/>
  </r>
  <r>
    <s v="933"/>
    <x v="5"/>
    <n v="297000"/>
    <s v="2021-10-07"/>
    <s v="柚子"/>
    <s v="吳小亮"/>
  </r>
  <r>
    <s v="934"/>
    <x v="6"/>
    <n v="139000"/>
    <s v="2021-10-08"/>
    <s v="柚子"/>
    <s v="郭小婷"/>
  </r>
  <r>
    <s v="935"/>
    <x v="5"/>
    <n v="252000"/>
    <s v="2021-10-08"/>
    <s v="西瓜"/>
    <s v="楊小杉"/>
  </r>
  <r>
    <s v="936"/>
    <x v="4"/>
    <n v="69000"/>
    <s v="2021-10-10"/>
    <s v="柚子"/>
    <s v="吳小亮"/>
  </r>
  <r>
    <s v="937"/>
    <x v="4"/>
    <n v="64000"/>
    <s v="2021-10-10"/>
    <s v="香蕉"/>
    <s v="吳小亮"/>
  </r>
  <r>
    <s v="938"/>
    <x v="6"/>
    <n v="86000"/>
    <s v="2021-10-10"/>
    <s v="鳳梨"/>
    <s v="郭小婷"/>
  </r>
  <r>
    <s v="939"/>
    <x v="3"/>
    <n v="113000"/>
    <s v="2021-10-16"/>
    <s v="芒果"/>
    <s v="葉小美"/>
  </r>
  <r>
    <s v="940"/>
    <x v="2"/>
    <n v="257000"/>
    <s v="2021-10-20"/>
    <s v="西瓜"/>
    <s v="林阿杰"/>
  </r>
  <r>
    <s v="941"/>
    <x v="6"/>
    <n v="200000"/>
    <s v="2021-10-21"/>
    <s v="西瓜"/>
    <s v="林小玉"/>
  </r>
  <r>
    <s v="942"/>
    <x v="3"/>
    <n v="71000"/>
    <s v="2021-10-21"/>
    <s v="芒果"/>
    <s v="葉小美"/>
  </r>
  <r>
    <s v="943"/>
    <x v="0"/>
    <n v="32000"/>
    <s v="2021-10-23"/>
    <s v="香蕉"/>
    <s v="吳小亮"/>
  </r>
  <r>
    <s v="944"/>
    <x v="6"/>
    <n v="154000"/>
    <s v="2021-10-23"/>
    <s v="芒果"/>
    <s v="方小文"/>
  </r>
  <r>
    <s v="945"/>
    <x v="0"/>
    <n v="106000"/>
    <s v="2021-10-23"/>
    <s v="芒果"/>
    <s v="吳小亮"/>
  </r>
  <r>
    <s v="946"/>
    <x v="1"/>
    <n v="298000"/>
    <s v="2021-10-25"/>
    <s v="香蕉"/>
    <s v="林小玉"/>
  </r>
  <r>
    <s v="947"/>
    <x v="2"/>
    <n v="72000"/>
    <s v="2021-10-26"/>
    <s v="鳳梨"/>
    <s v="葉小美"/>
  </r>
  <r>
    <s v="948"/>
    <x v="2"/>
    <n v="98000"/>
    <s v="2021-10-27"/>
    <s v="西瓜"/>
    <s v="楊小杉"/>
  </r>
  <r>
    <s v="949"/>
    <x v="0"/>
    <n v="41000"/>
    <s v="2021-10-28"/>
    <s v="鳳梨"/>
    <s v="方小文"/>
  </r>
  <r>
    <s v="950"/>
    <x v="6"/>
    <n v="260000"/>
    <s v="2021-10-29"/>
    <s v="鳳梨"/>
    <s v="方小文"/>
  </r>
  <r>
    <s v="951"/>
    <x v="5"/>
    <n v="230000"/>
    <s v="2021-11-03"/>
    <s v="香蕉"/>
    <s v="楊小杉"/>
  </r>
  <r>
    <s v="952"/>
    <x v="2"/>
    <n v="95000"/>
    <s v="2021-11-04"/>
    <s v="芒果"/>
    <s v="林小玉"/>
  </r>
  <r>
    <s v="953"/>
    <x v="4"/>
    <n v="285000"/>
    <s v="2021-11-05"/>
    <s v="西瓜"/>
    <s v="葉小美"/>
  </r>
  <r>
    <s v="954"/>
    <x v="0"/>
    <n v="115000"/>
    <s v="2021-11-07"/>
    <s v="香蕉"/>
    <s v="林阿杰"/>
  </r>
  <r>
    <s v="955"/>
    <x v="6"/>
    <n v="232000"/>
    <s v="2021-11-08"/>
    <s v="香蕉"/>
    <s v="林阿杰"/>
  </r>
  <r>
    <s v="956"/>
    <x v="6"/>
    <n v="279000"/>
    <s v="2021-11-09"/>
    <s v="香蕉"/>
    <s v="江小花"/>
  </r>
  <r>
    <s v="957"/>
    <x v="2"/>
    <n v="275000"/>
    <s v="2021-11-09"/>
    <s v="柚子"/>
    <s v="楊小杉"/>
  </r>
  <r>
    <s v="958"/>
    <x v="3"/>
    <n v="181000"/>
    <s v="2021-11-09"/>
    <s v="柚子"/>
    <s v="方小文"/>
  </r>
  <r>
    <s v="959"/>
    <x v="5"/>
    <n v="257000"/>
    <s v="2021-11-10"/>
    <s v="蘋果"/>
    <s v="楊小杉"/>
  </r>
  <r>
    <s v="960"/>
    <x v="6"/>
    <n v="178000"/>
    <s v="2021-11-11"/>
    <s v="香蕉"/>
    <s v="葉小美"/>
  </r>
  <r>
    <s v="961"/>
    <x v="4"/>
    <n v="271000"/>
    <s v="2021-11-12"/>
    <s v="芒果"/>
    <s v="楊小杉"/>
  </r>
  <r>
    <s v="962"/>
    <x v="2"/>
    <n v="299000"/>
    <s v="2021-11-13"/>
    <s v="鳳梨"/>
    <s v="吳小亮"/>
  </r>
  <r>
    <s v="963"/>
    <x v="2"/>
    <n v="110000"/>
    <s v="2021-11-13"/>
    <s v="芒果"/>
    <s v="楊小杉"/>
  </r>
  <r>
    <s v="964"/>
    <x v="2"/>
    <n v="276000"/>
    <s v="2021-11-15"/>
    <s v="香蕉"/>
    <s v="吳小亮"/>
  </r>
  <r>
    <s v="965"/>
    <x v="5"/>
    <n v="268000"/>
    <s v="2021-11-15"/>
    <s v="鳳梨"/>
    <s v="方小文"/>
  </r>
  <r>
    <s v="966"/>
    <x v="4"/>
    <n v="210000"/>
    <s v="2021-11-17"/>
    <s v="西瓜"/>
    <s v="林阿杰"/>
  </r>
  <r>
    <s v="967"/>
    <x v="1"/>
    <n v="169000"/>
    <s v="2021-11-18"/>
    <s v="蘋果"/>
    <s v="葉小美"/>
  </r>
  <r>
    <s v="968"/>
    <x v="0"/>
    <n v="284000"/>
    <s v="2021-11-18"/>
    <s v="鳳梨"/>
    <s v="方小文"/>
  </r>
  <r>
    <s v="969"/>
    <x v="2"/>
    <n v="160000"/>
    <s v="2021-11-18"/>
    <s v="芒果"/>
    <s v="郭小婷"/>
  </r>
  <r>
    <s v="970"/>
    <x v="1"/>
    <n v="288000"/>
    <s v="2021-11-19"/>
    <s v="蘋果"/>
    <s v="楊小杉"/>
  </r>
  <r>
    <s v="971"/>
    <x v="2"/>
    <n v="92000"/>
    <s v="2021-11-20"/>
    <s v="芒果"/>
    <s v="林阿杰"/>
  </r>
  <r>
    <s v="972"/>
    <x v="0"/>
    <n v="61000"/>
    <s v="2021-11-21"/>
    <s v="西瓜"/>
    <s v="葉小美"/>
  </r>
  <r>
    <s v="973"/>
    <x v="2"/>
    <n v="137000"/>
    <s v="2021-11-23"/>
    <s v="芒果"/>
    <s v="郭小婷"/>
  </r>
  <r>
    <s v="974"/>
    <x v="0"/>
    <n v="263000"/>
    <s v="2021-11-24"/>
    <s v="西瓜"/>
    <s v="葉小美"/>
  </r>
  <r>
    <s v="975"/>
    <x v="1"/>
    <n v="234000"/>
    <s v="2021-11-26"/>
    <s v="蘋果"/>
    <s v="林小玉"/>
  </r>
  <r>
    <s v="976"/>
    <x v="0"/>
    <n v="270000"/>
    <s v="2021-11-27"/>
    <s v="西瓜"/>
    <s v="江小花"/>
  </r>
  <r>
    <s v="977"/>
    <x v="0"/>
    <n v="114000"/>
    <s v="2021-11-27"/>
    <s v="蘋果"/>
    <s v="林小玉"/>
  </r>
  <r>
    <s v="978"/>
    <x v="3"/>
    <n v="224000"/>
    <s v="2021-11-29"/>
    <s v="蘋果"/>
    <s v="李小怡"/>
  </r>
  <r>
    <s v="979"/>
    <x v="4"/>
    <n v="207000"/>
    <s v="2021-11-29"/>
    <s v="芒果"/>
    <s v="郭小婷"/>
  </r>
  <r>
    <s v="980"/>
    <x v="3"/>
    <n v="137000"/>
    <s v="2021-11-30"/>
    <s v="香蕉"/>
    <s v="李小怡"/>
  </r>
  <r>
    <s v="981"/>
    <x v="3"/>
    <n v="257000"/>
    <s v="2021-12-01"/>
    <s v="柚子"/>
    <s v="江小花"/>
  </r>
  <r>
    <s v="982"/>
    <x v="0"/>
    <n v="46000"/>
    <s v="2021-12-05"/>
    <s v="西瓜"/>
    <s v="吳小亮"/>
  </r>
  <r>
    <s v="983"/>
    <x v="5"/>
    <n v="155000"/>
    <s v="2021-12-07"/>
    <s v="蘋果"/>
    <s v="楊小杉"/>
  </r>
  <r>
    <s v="984"/>
    <x v="5"/>
    <n v="121000"/>
    <s v="2021-12-08"/>
    <s v="西瓜"/>
    <s v="楊小杉"/>
  </r>
  <r>
    <s v="985"/>
    <x v="5"/>
    <n v="283000"/>
    <s v="2021-12-08"/>
    <s v="香蕉"/>
    <s v="葉小美"/>
  </r>
  <r>
    <s v="986"/>
    <x v="1"/>
    <n v="289000"/>
    <s v="2021-12-11"/>
    <s v="香蕉"/>
    <s v="林小玉"/>
  </r>
  <r>
    <s v="987"/>
    <x v="5"/>
    <n v="120000"/>
    <s v="2021-12-13"/>
    <s v="香蕉"/>
    <s v="李小怡"/>
  </r>
  <r>
    <s v="988"/>
    <x v="0"/>
    <n v="236000"/>
    <s v="2021-12-13"/>
    <s v="鳳梨"/>
    <s v="林阿杰"/>
  </r>
  <r>
    <s v="989"/>
    <x v="6"/>
    <n v="227000"/>
    <s v="2021-12-14"/>
    <s v="西瓜"/>
    <s v="李小怡"/>
  </r>
  <r>
    <s v="990"/>
    <x v="2"/>
    <n v="278000"/>
    <s v="2021-12-14"/>
    <s v="柚子"/>
    <s v="江小花"/>
  </r>
  <r>
    <s v="991"/>
    <x v="5"/>
    <n v="126000"/>
    <s v="2021-12-16"/>
    <s v="鳳梨"/>
    <s v="郭小婷"/>
  </r>
  <r>
    <s v="992"/>
    <x v="4"/>
    <n v="96000"/>
    <s v="2021-12-18"/>
    <s v="蘋果"/>
    <s v="方小文"/>
  </r>
  <r>
    <s v="993"/>
    <x v="2"/>
    <n v="291000"/>
    <s v="2021-12-19"/>
    <s v="柚子"/>
    <s v="楊小杉"/>
  </r>
  <r>
    <s v="994"/>
    <x v="1"/>
    <n v="106000"/>
    <s v="2021-12-22"/>
    <s v="芒果"/>
    <s v="吳小亮"/>
  </r>
  <r>
    <s v="995"/>
    <x v="0"/>
    <n v="126000"/>
    <s v="2021-12-23"/>
    <s v="西瓜"/>
    <s v="郭小婷"/>
  </r>
  <r>
    <s v="996"/>
    <x v="3"/>
    <n v="279000"/>
    <s v="2021-12-25"/>
    <s v="柚子"/>
    <s v="李小怡"/>
  </r>
  <r>
    <s v="997"/>
    <x v="6"/>
    <n v="277000"/>
    <s v="2021-12-26"/>
    <s v="香蕉"/>
    <s v="吳小亮"/>
  </r>
  <r>
    <s v="998"/>
    <x v="4"/>
    <n v="248000"/>
    <s v="2021-12-27"/>
    <s v="柚子"/>
    <s v="林小玉"/>
  </r>
  <r>
    <s v="999"/>
    <x v="2"/>
    <n v="183000"/>
    <s v="2021-12-29"/>
    <s v="香蕉"/>
    <s v="郭小婷"/>
  </r>
  <r>
    <s v="1000"/>
    <x v="6"/>
    <n v="77000"/>
    <s v="2021-12-31"/>
    <s v="鳳梨"/>
    <s v="吳小亮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07611-65F9-4349-81AC-67BEDF8D01E9}" name="樞紐分析表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3" rowHeaderCaption="客戶名稱">
  <location ref="I2:J10" firstHeaderRow="1" firstDataRow="1" firstDataCol="1"/>
  <pivotFields count="6">
    <pivotField showAll="0"/>
    <pivotField axis="axisRow" showAll="0" sortType="descending">
      <items count="8">
        <item x="2"/>
        <item x="0"/>
        <item x="4"/>
        <item x="1"/>
        <item x="6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5"/>
    </i>
    <i>
      <x v="6"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消費額總計" fld="2" baseField="0" baseItem="0"/>
  </dataField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9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29FD8-0338-4FC1-A249-086D8BC07ED1}" name="樞紐分析表6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2" rowHeaderCaption="月份">
  <location ref="K3:L16" firstHeaderRow="1" firstDataRow="1" firstDataCol="1" rowPageCount="1" colPageCount="1"/>
  <pivotFields count="8">
    <pivotField showAll="0"/>
    <pivotField showAll="0"/>
    <pivotField showAll="0"/>
    <pivotField showAll="0"/>
    <pivotField dataField="1" showAll="0"/>
    <pivotField showAll="0">
      <items count="671"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72"/>
        <item x="187"/>
        <item x="173"/>
        <item x="174"/>
        <item x="175"/>
        <item x="194"/>
        <item x="195"/>
        <item x="196"/>
        <item x="197"/>
        <item x="198"/>
        <item x="199"/>
        <item x="200"/>
        <item x="188"/>
        <item x="201"/>
        <item x="202"/>
        <item x="203"/>
        <item x="204"/>
        <item x="205"/>
        <item x="189"/>
        <item x="190"/>
        <item x="191"/>
        <item x="192"/>
        <item x="193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06"/>
        <item x="207"/>
        <item x="208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x="21"/>
        <item x="1"/>
        <item x="2"/>
        <item x="3"/>
        <item x="4"/>
        <item x="5"/>
        <item x="6"/>
        <item x="29"/>
        <item x="30"/>
        <item x="31"/>
        <item x="32"/>
        <item x="33"/>
        <item x="34"/>
        <item x="35"/>
        <item x="22"/>
        <item x="36"/>
        <item x="37"/>
        <item x="38"/>
        <item x="39"/>
        <item x="40"/>
        <item x="41"/>
        <item x="23"/>
        <item x="24"/>
        <item x="25"/>
        <item x="26"/>
        <item x="27"/>
        <item x="28"/>
        <item x="50"/>
        <item x="51"/>
        <item x="42"/>
        <item x="52"/>
        <item x="53"/>
        <item x="54"/>
        <item x="55"/>
        <item x="56"/>
        <item x="57"/>
        <item x="43"/>
        <item x="58"/>
        <item x="59"/>
        <item x="44"/>
        <item x="45"/>
        <item x="46"/>
        <item x="47"/>
        <item x="48"/>
        <item x="49"/>
        <item x="66"/>
        <item x="67"/>
        <item x="68"/>
        <item x="69"/>
        <item x="70"/>
        <item x="71"/>
        <item x="72"/>
        <item x="73"/>
        <item x="74"/>
        <item x="75"/>
        <item x="60"/>
        <item x="61"/>
        <item x="62"/>
        <item x="63"/>
        <item x="64"/>
        <item x="65"/>
        <item x="83"/>
        <item x="84"/>
        <item x="85"/>
        <item x="86"/>
        <item x="87"/>
        <item x="88"/>
        <item x="89"/>
        <item x="90"/>
        <item x="76"/>
        <item x="91"/>
        <item x="92"/>
        <item x="93"/>
        <item x="94"/>
        <item x="95"/>
        <item x="77"/>
        <item x="96"/>
        <item x="78"/>
        <item x="79"/>
        <item x="80"/>
        <item x="81"/>
        <item x="82"/>
        <item x="104"/>
        <item x="105"/>
        <item x="106"/>
        <item x="97"/>
        <item x="107"/>
        <item x="108"/>
        <item x="109"/>
        <item x="110"/>
        <item x="111"/>
        <item x="112"/>
        <item x="113"/>
        <item x="114"/>
        <item x="115"/>
        <item x="116"/>
        <item x="98"/>
        <item x="99"/>
        <item x="100"/>
        <item x="101"/>
        <item x="102"/>
        <item x="103"/>
        <item x="123"/>
        <item x="124"/>
        <item x="125"/>
        <item x="126"/>
        <item x="127"/>
        <item x="128"/>
        <item x="129"/>
        <item x="117"/>
        <item x="130"/>
        <item x="131"/>
        <item x="132"/>
        <item x="133"/>
        <item x="118"/>
        <item x="134"/>
        <item x="119"/>
        <item x="120"/>
        <item x="121"/>
        <item x="122"/>
        <item x="142"/>
        <item x="143"/>
        <item x="144"/>
        <item x="145"/>
        <item x="135"/>
        <item x="146"/>
        <item x="147"/>
        <item x="148"/>
        <item x="149"/>
        <item x="150"/>
        <item x="151"/>
        <item x="152"/>
        <item x="153"/>
        <item x="154"/>
        <item x="136"/>
        <item x="155"/>
        <item x="137"/>
        <item x="138"/>
        <item x="139"/>
        <item x="140"/>
        <item x="141"/>
        <item x="160"/>
        <item x="161"/>
        <item x="162"/>
        <item x="163"/>
        <item x="164"/>
        <item x="156"/>
        <item x="165"/>
        <item x="166"/>
        <item x="167"/>
        <item x="168"/>
        <item x="169"/>
        <item x="170"/>
        <item x="171"/>
        <item x="157"/>
        <item x="158"/>
        <item x="159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397"/>
        <item x="414"/>
        <item x="398"/>
        <item x="399"/>
        <item x="400"/>
        <item x="401"/>
        <item x="420"/>
        <item x="421"/>
        <item x="422"/>
        <item x="423"/>
        <item x="424"/>
        <item x="425"/>
        <item x="426"/>
        <item x="415"/>
        <item x="427"/>
        <item x="428"/>
        <item x="429"/>
        <item x="416"/>
        <item x="430"/>
        <item x="417"/>
        <item x="418"/>
        <item x="419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31"/>
        <item x="432"/>
        <item x="433"/>
        <item x="434"/>
        <item x="435"/>
        <item x="436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21"/>
        <item x="239"/>
        <item x="222"/>
        <item x="223"/>
        <item x="224"/>
        <item x="225"/>
        <item x="226"/>
        <item x="227"/>
        <item x="247"/>
        <item x="248"/>
        <item x="249"/>
        <item x="250"/>
        <item x="251"/>
        <item x="252"/>
        <item x="253"/>
        <item x="254"/>
        <item x="255"/>
        <item x="256"/>
        <item x="240"/>
        <item x="241"/>
        <item x="242"/>
        <item x="243"/>
        <item x="244"/>
        <item x="245"/>
        <item x="246"/>
        <item x="262"/>
        <item x="263"/>
        <item x="264"/>
        <item x="265"/>
        <item x="266"/>
        <item x="267"/>
        <item x="268"/>
        <item x="269"/>
        <item x="257"/>
        <item x="270"/>
        <item x="271"/>
        <item x="272"/>
        <item x="273"/>
        <item x="274"/>
        <item x="275"/>
        <item x="276"/>
        <item x="277"/>
        <item x="258"/>
        <item x="259"/>
        <item x="260"/>
        <item x="261"/>
        <item x="284"/>
        <item x="285"/>
        <item x="286"/>
        <item x="287"/>
        <item x="288"/>
        <item x="289"/>
        <item x="290"/>
        <item x="278"/>
        <item x="291"/>
        <item x="292"/>
        <item x="293"/>
        <item x="279"/>
        <item x="294"/>
        <item x="280"/>
        <item x="281"/>
        <item x="282"/>
        <item x="283"/>
        <item x="302"/>
        <item x="303"/>
        <item x="304"/>
        <item x="305"/>
        <item x="306"/>
        <item x="307"/>
        <item x="308"/>
        <item x="309"/>
        <item x="295"/>
        <item x="310"/>
        <item x="311"/>
        <item x="312"/>
        <item x="313"/>
        <item x="314"/>
        <item x="315"/>
        <item x="316"/>
        <item x="317"/>
        <item x="296"/>
        <item x="318"/>
        <item x="319"/>
        <item x="297"/>
        <item x="298"/>
        <item x="299"/>
        <item x="300"/>
        <item x="301"/>
        <item x="327"/>
        <item x="328"/>
        <item x="329"/>
        <item x="330"/>
        <item x="331"/>
        <item x="320"/>
        <item x="332"/>
        <item x="333"/>
        <item x="334"/>
        <item x="335"/>
        <item x="336"/>
        <item x="321"/>
        <item x="337"/>
        <item x="322"/>
        <item x="323"/>
        <item x="324"/>
        <item x="325"/>
        <item x="326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38"/>
        <item x="359"/>
        <item x="360"/>
        <item x="339"/>
        <item x="340"/>
        <item x="341"/>
        <item x="342"/>
        <item x="343"/>
        <item x="344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61"/>
        <item x="379"/>
        <item x="380"/>
        <item x="362"/>
        <item x="363"/>
        <item x="364"/>
        <item x="365"/>
        <item x="366"/>
        <item x="384"/>
        <item x="385"/>
        <item x="386"/>
        <item x="387"/>
        <item x="388"/>
        <item x="389"/>
        <item x="390"/>
        <item x="381"/>
        <item x="391"/>
        <item x="392"/>
        <item x="393"/>
        <item x="394"/>
        <item x="395"/>
        <item x="396"/>
        <item x="382"/>
        <item x="383"/>
        <item x="621"/>
        <item x="622"/>
        <item x="623"/>
        <item x="624"/>
        <item x="625"/>
        <item x="626"/>
        <item x="627"/>
        <item x="628"/>
        <item x="629"/>
        <item x="630"/>
        <item x="614"/>
        <item x="615"/>
        <item x="616"/>
        <item x="617"/>
        <item x="618"/>
        <item x="619"/>
        <item x="620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31"/>
        <item x="632"/>
        <item x="633"/>
        <item x="634"/>
        <item x="635"/>
        <item x="636"/>
        <item x="657"/>
        <item x="658"/>
        <item x="659"/>
        <item x="660"/>
        <item x="661"/>
        <item x="662"/>
        <item x="653"/>
        <item x="663"/>
        <item x="664"/>
        <item x="665"/>
        <item x="666"/>
        <item x="667"/>
        <item x="668"/>
        <item x="669"/>
        <item x="654"/>
        <item x="655"/>
        <item x="656"/>
        <item x="456"/>
        <item x="457"/>
        <item x="458"/>
        <item x="459"/>
        <item x="451"/>
        <item x="460"/>
        <item x="461"/>
        <item x="462"/>
        <item x="463"/>
        <item x="464"/>
        <item x="465"/>
        <item x="466"/>
        <item x="452"/>
        <item x="453"/>
        <item x="454"/>
        <item x="455"/>
        <item x="472"/>
        <item x="473"/>
        <item x="474"/>
        <item x="475"/>
        <item x="476"/>
        <item x="477"/>
        <item x="467"/>
        <item x="478"/>
        <item x="479"/>
        <item x="480"/>
        <item x="481"/>
        <item x="468"/>
        <item x="469"/>
        <item x="470"/>
        <item x="471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82"/>
        <item x="499"/>
        <item x="500"/>
        <item x="483"/>
        <item x="484"/>
        <item x="485"/>
        <item x="486"/>
        <item x="487"/>
        <item x="506"/>
        <item x="507"/>
        <item x="508"/>
        <item x="509"/>
        <item x="510"/>
        <item x="511"/>
        <item x="512"/>
        <item x="513"/>
        <item x="514"/>
        <item x="515"/>
        <item x="501"/>
        <item x="516"/>
        <item x="502"/>
        <item x="503"/>
        <item x="504"/>
        <item x="505"/>
        <item x="523"/>
        <item x="524"/>
        <item x="525"/>
        <item x="526"/>
        <item x="527"/>
        <item x="528"/>
        <item x="529"/>
        <item x="517"/>
        <item x="530"/>
        <item x="531"/>
        <item x="532"/>
        <item x="533"/>
        <item x="534"/>
        <item x="535"/>
        <item x="536"/>
        <item x="537"/>
        <item x="538"/>
        <item x="518"/>
        <item x="539"/>
        <item x="519"/>
        <item x="520"/>
        <item x="521"/>
        <item x="522"/>
        <item x="546"/>
        <item x="547"/>
        <item x="548"/>
        <item x="549"/>
        <item x="550"/>
        <item x="551"/>
        <item x="540"/>
        <item x="552"/>
        <item x="553"/>
        <item x="554"/>
        <item x="555"/>
        <item x="556"/>
        <item x="557"/>
        <item x="558"/>
        <item x="559"/>
        <item x="541"/>
        <item x="542"/>
        <item x="543"/>
        <item x="544"/>
        <item x="545"/>
        <item x="566"/>
        <item x="567"/>
        <item x="568"/>
        <item x="569"/>
        <item x="570"/>
        <item x="560"/>
        <item x="571"/>
        <item x="572"/>
        <item x="573"/>
        <item x="574"/>
        <item x="575"/>
        <item x="561"/>
        <item x="562"/>
        <item x="563"/>
        <item x="564"/>
        <item x="565"/>
        <item x="582"/>
        <item x="583"/>
        <item x="584"/>
        <item x="585"/>
        <item x="586"/>
        <item x="587"/>
        <item x="588"/>
        <item x="576"/>
        <item x="589"/>
        <item x="590"/>
        <item x="591"/>
        <item x="592"/>
        <item x="593"/>
        <item x="594"/>
        <item x="595"/>
        <item x="596"/>
        <item x="577"/>
        <item x="597"/>
        <item x="598"/>
        <item x="578"/>
        <item x="579"/>
        <item x="580"/>
        <item x="58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599"/>
        <item x="600"/>
        <item x="60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6" item="0" hier="-1"/>
  </pageFields>
  <dataFields count="1">
    <dataField name="業績統計" fld="4" baseField="0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80CA1-E6DB-4DEC-A706-B561371459B4}" name="樞紐分析表2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 rowHeaderCaption="業務員">
  <location ref="J2:K12" firstHeaderRow="1" firstDataRow="1" firstDataCol="1"/>
  <pivotFields count="6">
    <pivotField showAll="0"/>
    <pivotField showAll="0"/>
    <pivotField dataField="1" showAll="0"/>
    <pivotField showAll="0"/>
    <pivotField showAll="0"/>
    <pivotField axis="axisRow" showAll="0" sortType="descending">
      <items count="10">
        <item x="0"/>
        <item x="8"/>
        <item x="5"/>
        <item x="3"/>
        <item x="4"/>
        <item x="6"/>
        <item x="7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10">
    <i>
      <x v="1"/>
    </i>
    <i>
      <x v="8"/>
    </i>
    <i>
      <x v="7"/>
    </i>
    <i>
      <x v="3"/>
    </i>
    <i>
      <x v="6"/>
    </i>
    <i>
      <x v="2"/>
    </i>
    <i>
      <x/>
    </i>
    <i>
      <x v="4"/>
    </i>
    <i>
      <x v="5"/>
    </i>
    <i t="grand">
      <x/>
    </i>
  </rowItems>
  <colItems count="1">
    <i/>
  </colItems>
  <dataFields count="1">
    <dataField name="業績統計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6D885-9EB6-4ECD-91E3-20BFA10DB16D}" name="樞紐分析表2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rowHeaderCaption="客戶名稱">
  <location ref="J2:M10" firstHeaderRow="0" firstDataRow="1" firstDataCol="1"/>
  <pivotFields count="6">
    <pivotField showAll="0"/>
    <pivotField axis="axisRow" showAll="0" sortType="descending">
      <items count="8">
        <item x="2"/>
        <item x="0"/>
        <item x="4"/>
        <item x="1"/>
        <item x="6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5"/>
    </i>
    <i>
      <x v="6"/>
    </i>
    <i>
      <x v="1"/>
    </i>
    <i>
      <x v="3"/>
    </i>
    <i>
      <x v="2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營收統計" fld="2" baseField="0" baseItem="0"/>
    <dataField name="營收百分比" fld="2" showDataAs="percentOfTotal" baseField="1" baseItem="0" numFmtId="10"/>
    <dataField name="客戶排名" fld="2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152E-9B6E-40BF-AB6C-DDB12E7A1B7B}">
  <dimension ref="A1:P18"/>
  <sheetViews>
    <sheetView showGridLines="0" workbookViewId="0">
      <pane ySplit="1" topLeftCell="A13" activePane="bottomLeft" state="frozen"/>
      <selection pane="bottomLeft" activeCell="H19" sqref="H19"/>
    </sheetView>
  </sheetViews>
  <sheetFormatPr defaultRowHeight="16.5" x14ac:dyDescent="0.25"/>
  <cols>
    <col min="6" max="9" width="30.625" customWidth="1"/>
  </cols>
  <sheetData>
    <row r="1" spans="1:16" ht="44.2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x14ac:dyDescent="0.25">
      <c r="A2" s="3" t="s">
        <v>33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x14ac:dyDescent="0.25">
      <c r="A3" s="3" t="s">
        <v>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</row>
    <row r="5" spans="1:16" ht="44.25" customHeight="1" x14ac:dyDescent="0.25">
      <c r="A5" s="20" t="s">
        <v>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 x14ac:dyDescent="0.25">
      <c r="A6" s="6" t="s">
        <v>2</v>
      </c>
      <c r="P6" s="2"/>
    </row>
    <row r="7" spans="1:16" x14ac:dyDescent="0.25">
      <c r="A7" s="6" t="s">
        <v>3</v>
      </c>
      <c r="P7" s="2"/>
    </row>
    <row r="8" spans="1:16" x14ac:dyDescent="0.25">
      <c r="A8" s="6" t="s">
        <v>5</v>
      </c>
      <c r="P8" s="2"/>
    </row>
    <row r="9" spans="1:16" x14ac:dyDescent="0.25">
      <c r="A9" s="6" t="s">
        <v>4</v>
      </c>
      <c r="P9" s="2"/>
    </row>
    <row r="11" spans="1:16" ht="44.25" customHeight="1" x14ac:dyDescent="0.25">
      <c r="A11" s="20" t="s">
        <v>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3" spans="1:16" ht="50.1" customHeight="1" x14ac:dyDescent="0.25">
      <c r="F13" s="14" t="s">
        <v>7</v>
      </c>
      <c r="G13" s="15" t="s">
        <v>27</v>
      </c>
      <c r="H13" s="15" t="s">
        <v>28</v>
      </c>
      <c r="I13" s="15" t="s">
        <v>8</v>
      </c>
    </row>
    <row r="14" spans="1:16" ht="50.1" customHeight="1" x14ac:dyDescent="0.25">
      <c r="F14" s="8" t="s">
        <v>29</v>
      </c>
      <c r="G14" s="8" t="s">
        <v>2672</v>
      </c>
      <c r="H14" s="8" t="s">
        <v>2679</v>
      </c>
      <c r="I14" s="7"/>
    </row>
    <row r="15" spans="1:16" ht="50.1" customHeight="1" x14ac:dyDescent="0.25">
      <c r="F15" s="8" t="s">
        <v>2682</v>
      </c>
      <c r="G15" s="8" t="s">
        <v>2687</v>
      </c>
      <c r="H15" s="8" t="s">
        <v>2686</v>
      </c>
      <c r="I15" s="7"/>
    </row>
    <row r="16" spans="1:16" ht="50.1" customHeight="1" x14ac:dyDescent="0.25">
      <c r="F16" s="8" t="s">
        <v>30</v>
      </c>
      <c r="G16" s="8" t="s">
        <v>2695</v>
      </c>
      <c r="H16" s="8" t="s">
        <v>2696</v>
      </c>
      <c r="I16" s="7"/>
    </row>
    <row r="17" spans="6:9" ht="50.1" customHeight="1" x14ac:dyDescent="0.25">
      <c r="F17" s="8" t="s">
        <v>31</v>
      </c>
      <c r="G17" s="8" t="s">
        <v>2700</v>
      </c>
      <c r="H17" s="8" t="s">
        <v>2701</v>
      </c>
      <c r="I17" s="7"/>
    </row>
    <row r="18" spans="6:9" ht="50.1" customHeight="1" x14ac:dyDescent="0.25">
      <c r="F18" s="8" t="s">
        <v>32</v>
      </c>
      <c r="G18" s="8" t="s">
        <v>2704</v>
      </c>
      <c r="H18" s="8" t="s">
        <v>2710</v>
      </c>
      <c r="I18" s="7"/>
    </row>
  </sheetData>
  <mergeCells count="3">
    <mergeCell ref="A11:P11"/>
    <mergeCell ref="A5:P5"/>
    <mergeCell ref="A1:P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A99D-C6B2-4737-B308-C3B781316666}">
  <dimension ref="B1:M11"/>
  <sheetViews>
    <sheetView showGridLines="0" workbookViewId="0">
      <selection activeCell="D9" sqref="D9"/>
    </sheetView>
  </sheetViews>
  <sheetFormatPr defaultRowHeight="15.75" x14ac:dyDescent="0.25"/>
  <cols>
    <col min="1" max="1" width="9" style="9"/>
    <col min="2" max="4" width="10.625" style="9" customWidth="1"/>
    <col min="5" max="16384" width="9" style="9"/>
  </cols>
  <sheetData>
    <row r="1" spans="2:13" x14ac:dyDescent="0.25">
      <c r="B1" s="9" t="s">
        <v>2676</v>
      </c>
      <c r="C1" s="9">
        <f>COUNTA(Sales!D:D)-1</f>
        <v>1000</v>
      </c>
    </row>
    <row r="2" spans="2:13" x14ac:dyDescent="0.25">
      <c r="B2" s="9" t="s">
        <v>2677</v>
      </c>
      <c r="C2" s="9">
        <f>COUNTIF(D6:D11,"已交易")</f>
        <v>6</v>
      </c>
    </row>
    <row r="3" spans="2:13" x14ac:dyDescent="0.25">
      <c r="B3" s="9" t="s">
        <v>2678</v>
      </c>
      <c r="C3" s="9">
        <f>COUNTIF(D6:D11,"無交易")</f>
        <v>0</v>
      </c>
    </row>
    <row r="5" spans="2:13" x14ac:dyDescent="0.25">
      <c r="B5" s="11" t="s">
        <v>9</v>
      </c>
      <c r="C5" s="12" t="s">
        <v>10</v>
      </c>
      <c r="D5" s="12" t="s">
        <v>2673</v>
      </c>
    </row>
    <row r="6" spans="2:13" x14ac:dyDescent="0.25">
      <c r="B6" s="10" t="s">
        <v>34</v>
      </c>
      <c r="C6" s="10" t="s">
        <v>62</v>
      </c>
      <c r="D6" s="10" t="str">
        <f>IF(COUNTIF(Sales!D:D,B6)&gt;0,"已交易","無交易")</f>
        <v>已交易</v>
      </c>
      <c r="F6" s="21" t="s">
        <v>2674</v>
      </c>
      <c r="G6" s="21"/>
      <c r="H6" s="21"/>
      <c r="I6" s="21"/>
      <c r="J6" s="21"/>
      <c r="K6" s="21"/>
      <c r="L6" s="21"/>
      <c r="M6" s="21"/>
    </row>
    <row r="7" spans="2:13" x14ac:dyDescent="0.25">
      <c r="B7" s="10" t="s">
        <v>35</v>
      </c>
      <c r="C7" s="10" t="s">
        <v>63</v>
      </c>
      <c r="D7" s="10" t="str">
        <f>IF(COUNTIF(Sales!D:D,B7)&gt;0,"已交易","無交易")</f>
        <v>已交易</v>
      </c>
      <c r="F7" s="21" t="s">
        <v>2675</v>
      </c>
      <c r="G7" s="21"/>
      <c r="H7" s="21"/>
      <c r="I7" s="21"/>
      <c r="J7" s="21"/>
      <c r="K7" s="21"/>
      <c r="L7" s="21"/>
    </row>
    <row r="8" spans="2:13" x14ac:dyDescent="0.25">
      <c r="B8" s="10" t="s">
        <v>36</v>
      </c>
      <c r="C8" s="10" t="s">
        <v>64</v>
      </c>
      <c r="D8" s="10" t="str">
        <f>IF(COUNTIF(Sales!D:D,B8)&gt;0,"已交易","無交易")</f>
        <v>已交易</v>
      </c>
    </row>
    <row r="9" spans="2:13" x14ac:dyDescent="0.25">
      <c r="B9" s="10" t="s">
        <v>37</v>
      </c>
      <c r="C9" s="10" t="s">
        <v>65</v>
      </c>
      <c r="D9" s="10" t="str">
        <f>IF(COUNTIF(Sales!D:D,B9)&gt;0,"已交易","無交易")</f>
        <v>已交易</v>
      </c>
    </row>
    <row r="10" spans="2:13" x14ac:dyDescent="0.25">
      <c r="B10" s="10" t="s">
        <v>38</v>
      </c>
      <c r="C10" s="10" t="s">
        <v>66</v>
      </c>
      <c r="D10" s="10" t="str">
        <f>IF(COUNTIF(Sales!D:D,B10)&gt;0,"已交易","無交易")</f>
        <v>已交易</v>
      </c>
    </row>
    <row r="11" spans="2:13" x14ac:dyDescent="0.25">
      <c r="B11" s="10" t="s">
        <v>39</v>
      </c>
      <c r="C11" s="10" t="s">
        <v>67</v>
      </c>
      <c r="D11" s="10" t="str">
        <f>IF(COUNTIF(Sales!D:D,B11)&gt;0,"已交易","無交易")</f>
        <v>已交易</v>
      </c>
    </row>
  </sheetData>
  <mergeCells count="2">
    <mergeCell ref="F6:M6"/>
    <mergeCell ref="F7:L7"/>
  </mergeCells>
  <phoneticPr fontId="2" type="noConversion"/>
  <conditionalFormatting sqref="D1:D1048576">
    <cfRule type="containsText" dxfId="11" priority="1" operator="containsText" text="已交易">
      <formula>NOT(ISERROR(SEARCH("已交易",D1)))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7B99-0561-41A0-A93A-8BB1EE18DD92}">
  <dimension ref="B1:R1001"/>
  <sheetViews>
    <sheetView showGridLines="0" workbookViewId="0">
      <selection activeCell="K6" sqref="K6"/>
    </sheetView>
  </sheetViews>
  <sheetFormatPr defaultRowHeight="15.75" x14ac:dyDescent="0.25"/>
  <cols>
    <col min="1" max="2" width="9" style="9"/>
    <col min="3" max="3" width="15.125" style="9" bestFit="1" customWidth="1"/>
    <col min="4" max="8" width="9" style="9"/>
    <col min="9" max="9" width="16.125" style="9" bestFit="1" customWidth="1"/>
    <col min="10" max="10" width="12.625" style="9" bestFit="1" customWidth="1"/>
    <col min="11" max="11" width="9" style="9"/>
    <col min="12" max="12" width="22" style="9" bestFit="1" customWidth="1"/>
    <col min="13" max="13" width="13.75" style="9" customWidth="1"/>
    <col min="14" max="16384" width="9" style="9"/>
  </cols>
  <sheetData>
    <row r="1" spans="2:18" x14ac:dyDescent="0.25">
      <c r="B1" s="9" t="s">
        <v>9</v>
      </c>
      <c r="C1" s="9" t="s">
        <v>1999</v>
      </c>
      <c r="D1" s="9" t="s">
        <v>71</v>
      </c>
      <c r="E1" s="9" t="s">
        <v>72</v>
      </c>
      <c r="F1" s="9" t="s">
        <v>2000</v>
      </c>
      <c r="G1" s="9" t="s">
        <v>2001</v>
      </c>
    </row>
    <row r="2" spans="2:18" ht="16.5" x14ac:dyDescent="0.25">
      <c r="B2" s="9" t="s">
        <v>34</v>
      </c>
      <c r="C2" s="9" t="s">
        <v>18</v>
      </c>
      <c r="D2" s="9">
        <v>41000</v>
      </c>
      <c r="E2" s="9" t="s">
        <v>2002</v>
      </c>
      <c r="F2" s="9" t="s">
        <v>67</v>
      </c>
      <c r="G2" s="9" t="s">
        <v>61</v>
      </c>
      <c r="I2" s="13" t="s">
        <v>2683</v>
      </c>
      <c r="J2" t="s">
        <v>2684</v>
      </c>
      <c r="K2"/>
      <c r="L2" s="1" t="s">
        <v>2681</v>
      </c>
      <c r="M2">
        <f>AVERAGE(J3:J9)</f>
        <v>23867285.714285713</v>
      </c>
      <c r="N2"/>
    </row>
    <row r="3" spans="2:18" ht="16.5" customHeight="1" x14ac:dyDescent="0.25">
      <c r="B3" s="9" t="s">
        <v>35</v>
      </c>
      <c r="C3" s="9" t="s">
        <v>22</v>
      </c>
      <c r="D3" s="9">
        <v>230000</v>
      </c>
      <c r="E3" s="9" t="s">
        <v>2003</v>
      </c>
      <c r="F3" s="9" t="s">
        <v>65</v>
      </c>
      <c r="G3" s="9" t="s">
        <v>49</v>
      </c>
      <c r="I3" s="6" t="s">
        <v>12</v>
      </c>
      <c r="J3">
        <v>27017000</v>
      </c>
      <c r="K3"/>
      <c r="L3" s="22" t="s">
        <v>2685</v>
      </c>
      <c r="M3" s="22"/>
      <c r="N3" s="1"/>
      <c r="O3" s="1"/>
      <c r="P3" s="1"/>
      <c r="Q3" s="1"/>
      <c r="R3" s="1"/>
    </row>
    <row r="4" spans="2:18" ht="16.5" x14ac:dyDescent="0.25">
      <c r="B4" s="9" t="s">
        <v>36</v>
      </c>
      <c r="C4" s="9" t="s">
        <v>12</v>
      </c>
      <c r="D4" s="9">
        <v>154000</v>
      </c>
      <c r="E4" s="9" t="s">
        <v>2004</v>
      </c>
      <c r="F4" s="9" t="s">
        <v>64</v>
      </c>
      <c r="G4" s="9" t="s">
        <v>45</v>
      </c>
      <c r="I4" s="6" t="s">
        <v>16</v>
      </c>
      <c r="J4">
        <v>26950000</v>
      </c>
      <c r="K4"/>
      <c r="L4" s="22"/>
      <c r="M4" s="22"/>
    </row>
    <row r="5" spans="2:18" ht="16.5" x14ac:dyDescent="0.25">
      <c r="B5" s="9" t="s">
        <v>37</v>
      </c>
      <c r="C5" s="9" t="s">
        <v>16</v>
      </c>
      <c r="D5" s="9">
        <v>170000</v>
      </c>
      <c r="E5" s="9" t="s">
        <v>2005</v>
      </c>
      <c r="F5" s="9" t="s">
        <v>64</v>
      </c>
      <c r="G5" s="9" t="s">
        <v>58</v>
      </c>
      <c r="I5" s="6" t="s">
        <v>14</v>
      </c>
      <c r="J5">
        <v>26310000</v>
      </c>
      <c r="K5"/>
      <c r="L5" s="22"/>
      <c r="M5" s="22"/>
    </row>
    <row r="6" spans="2:18" ht="16.5" x14ac:dyDescent="0.25">
      <c r="B6" s="9" t="s">
        <v>38</v>
      </c>
      <c r="C6" s="9" t="s">
        <v>20</v>
      </c>
      <c r="D6" s="9">
        <v>100000</v>
      </c>
      <c r="E6" s="9" t="s">
        <v>2005</v>
      </c>
      <c r="F6" s="9" t="s">
        <v>63</v>
      </c>
      <c r="G6" s="9" t="s">
        <v>43</v>
      </c>
      <c r="I6" s="6" t="s">
        <v>18</v>
      </c>
      <c r="J6">
        <v>25627000</v>
      </c>
      <c r="K6"/>
      <c r="L6" s="22"/>
      <c r="M6" s="22"/>
    </row>
    <row r="7" spans="2:18" ht="16.5" x14ac:dyDescent="0.25">
      <c r="B7" s="9" t="s">
        <v>39</v>
      </c>
      <c r="C7" s="9" t="s">
        <v>14</v>
      </c>
      <c r="D7" s="9">
        <v>139000</v>
      </c>
      <c r="E7" s="9" t="s">
        <v>2006</v>
      </c>
      <c r="F7" s="9" t="s">
        <v>65</v>
      </c>
      <c r="G7" s="9" t="s">
        <v>53</v>
      </c>
      <c r="I7" s="6" t="s">
        <v>22</v>
      </c>
      <c r="J7">
        <v>22289000</v>
      </c>
      <c r="K7"/>
      <c r="L7" s="22"/>
      <c r="M7" s="22"/>
    </row>
    <row r="8" spans="2:18" ht="16.5" x14ac:dyDescent="0.25">
      <c r="B8" s="9" t="s">
        <v>40</v>
      </c>
      <c r="C8" s="9" t="s">
        <v>12</v>
      </c>
      <c r="D8" s="9">
        <v>93000</v>
      </c>
      <c r="E8" s="9" t="s">
        <v>2007</v>
      </c>
      <c r="F8" s="9" t="s">
        <v>62</v>
      </c>
      <c r="G8" s="9" t="s">
        <v>55</v>
      </c>
      <c r="I8" s="6" t="s">
        <v>20</v>
      </c>
      <c r="J8">
        <v>20949000</v>
      </c>
      <c r="K8"/>
      <c r="L8" s="22"/>
      <c r="M8" s="22"/>
    </row>
    <row r="9" spans="2:18" ht="16.5" x14ac:dyDescent="0.25">
      <c r="B9" s="9" t="s">
        <v>56</v>
      </c>
      <c r="C9" s="9" t="s">
        <v>12</v>
      </c>
      <c r="D9" s="9">
        <v>247000</v>
      </c>
      <c r="E9" s="9" t="s">
        <v>2008</v>
      </c>
      <c r="F9" s="9" t="s">
        <v>64</v>
      </c>
      <c r="G9" s="9" t="s">
        <v>61</v>
      </c>
      <c r="I9" s="6" t="s">
        <v>24</v>
      </c>
      <c r="J9">
        <v>17929000</v>
      </c>
      <c r="K9"/>
      <c r="L9" s="22"/>
      <c r="M9" s="22"/>
    </row>
    <row r="10" spans="2:18" ht="16.5" x14ac:dyDescent="0.25">
      <c r="B10" s="9" t="s">
        <v>59</v>
      </c>
      <c r="C10" s="9" t="s">
        <v>16</v>
      </c>
      <c r="D10" s="9">
        <v>58000</v>
      </c>
      <c r="E10" s="9" t="s">
        <v>2009</v>
      </c>
      <c r="F10" s="9" t="s">
        <v>66</v>
      </c>
      <c r="G10" s="9" t="s">
        <v>49</v>
      </c>
      <c r="I10" s="6" t="s">
        <v>2680</v>
      </c>
      <c r="J10">
        <v>167071000</v>
      </c>
      <c r="K10"/>
      <c r="L10" s="22"/>
      <c r="M10" s="22"/>
    </row>
    <row r="11" spans="2:18" ht="16.5" x14ac:dyDescent="0.25">
      <c r="B11" s="9" t="s">
        <v>90</v>
      </c>
      <c r="C11" s="9" t="s">
        <v>16</v>
      </c>
      <c r="D11" s="9">
        <v>231000</v>
      </c>
      <c r="E11" s="9" t="s">
        <v>2009</v>
      </c>
      <c r="F11" s="9" t="s">
        <v>62</v>
      </c>
      <c r="G11" s="9" t="s">
        <v>45</v>
      </c>
      <c r="I11"/>
      <c r="J11"/>
      <c r="K11"/>
    </row>
    <row r="12" spans="2:18" ht="15.75" customHeight="1" x14ac:dyDescent="0.25">
      <c r="B12" s="9" t="s">
        <v>92</v>
      </c>
      <c r="C12" s="9" t="s">
        <v>22</v>
      </c>
      <c r="D12" s="9">
        <v>183000</v>
      </c>
      <c r="E12" s="9" t="s">
        <v>2009</v>
      </c>
      <c r="F12" s="9" t="s">
        <v>67</v>
      </c>
      <c r="G12" s="9" t="s">
        <v>58</v>
      </c>
    </row>
    <row r="13" spans="2:18" ht="15.75" customHeight="1" x14ac:dyDescent="0.25">
      <c r="B13" s="9" t="s">
        <v>94</v>
      </c>
      <c r="C13" s="9" t="s">
        <v>14</v>
      </c>
      <c r="D13" s="9">
        <v>156000</v>
      </c>
      <c r="E13" s="9" t="s">
        <v>2010</v>
      </c>
      <c r="F13" s="9" t="s">
        <v>64</v>
      </c>
      <c r="G13" s="9" t="s">
        <v>58</v>
      </c>
    </row>
    <row r="14" spans="2:18" ht="16.5" x14ac:dyDescent="0.25">
      <c r="B14" s="9" t="s">
        <v>97</v>
      </c>
      <c r="C14" s="9" t="s">
        <v>18</v>
      </c>
      <c r="D14" s="9">
        <v>66000</v>
      </c>
      <c r="E14" s="9" t="s">
        <v>2010</v>
      </c>
      <c r="F14" s="9" t="s">
        <v>64</v>
      </c>
      <c r="G14" s="9" t="s">
        <v>55</v>
      </c>
      <c r="I14"/>
      <c r="J14"/>
      <c r="K14"/>
    </row>
    <row r="15" spans="2:18" ht="16.5" x14ac:dyDescent="0.25">
      <c r="B15" s="9" t="s">
        <v>99</v>
      </c>
      <c r="C15" s="9" t="s">
        <v>20</v>
      </c>
      <c r="D15" s="9">
        <v>80000</v>
      </c>
      <c r="E15" s="9" t="s">
        <v>2011</v>
      </c>
      <c r="F15" s="9" t="s">
        <v>63</v>
      </c>
      <c r="G15" s="9" t="s">
        <v>45</v>
      </c>
      <c r="I15"/>
      <c r="J15"/>
      <c r="K15"/>
    </row>
    <row r="16" spans="2:18" ht="16.5" x14ac:dyDescent="0.25">
      <c r="B16" s="9" t="s">
        <v>102</v>
      </c>
      <c r="C16" s="9" t="s">
        <v>22</v>
      </c>
      <c r="D16" s="9">
        <v>31000</v>
      </c>
      <c r="E16" s="9" t="s">
        <v>2011</v>
      </c>
      <c r="F16" s="9" t="s">
        <v>65</v>
      </c>
      <c r="G16" s="9" t="s">
        <v>51</v>
      </c>
      <c r="I16"/>
      <c r="J16"/>
      <c r="K16"/>
    </row>
    <row r="17" spans="2:11" ht="16.5" x14ac:dyDescent="0.25">
      <c r="B17" s="9" t="s">
        <v>104</v>
      </c>
      <c r="C17" s="9" t="s">
        <v>14</v>
      </c>
      <c r="D17" s="9">
        <v>217000</v>
      </c>
      <c r="E17" s="9" t="s">
        <v>2011</v>
      </c>
      <c r="F17" s="9" t="s">
        <v>66</v>
      </c>
      <c r="G17" s="9" t="s">
        <v>61</v>
      </c>
      <c r="I17"/>
      <c r="J17"/>
      <c r="K17"/>
    </row>
    <row r="18" spans="2:11" ht="16.5" x14ac:dyDescent="0.25">
      <c r="B18" s="9" t="s">
        <v>106</v>
      </c>
      <c r="C18" s="9" t="s">
        <v>16</v>
      </c>
      <c r="D18" s="9">
        <v>239000</v>
      </c>
      <c r="E18" s="9" t="s">
        <v>2011</v>
      </c>
      <c r="F18" s="9" t="s">
        <v>62</v>
      </c>
      <c r="G18" s="9" t="s">
        <v>61</v>
      </c>
      <c r="I18"/>
      <c r="J18"/>
      <c r="K18"/>
    </row>
    <row r="19" spans="2:11" ht="16.5" x14ac:dyDescent="0.25">
      <c r="B19" s="9" t="s">
        <v>108</v>
      </c>
      <c r="C19" s="9" t="s">
        <v>22</v>
      </c>
      <c r="D19" s="9">
        <v>120000</v>
      </c>
      <c r="E19" s="9" t="s">
        <v>2012</v>
      </c>
      <c r="F19" s="9" t="s">
        <v>65</v>
      </c>
      <c r="G19" s="9" t="s">
        <v>45</v>
      </c>
      <c r="I19"/>
      <c r="J19"/>
      <c r="K19"/>
    </row>
    <row r="20" spans="2:11" x14ac:dyDescent="0.25">
      <c r="B20" s="9" t="s">
        <v>111</v>
      </c>
      <c r="C20" s="9" t="s">
        <v>22</v>
      </c>
      <c r="D20" s="9">
        <v>246000</v>
      </c>
      <c r="E20" s="9" t="s">
        <v>2012</v>
      </c>
      <c r="F20" s="9" t="s">
        <v>62</v>
      </c>
      <c r="G20" s="9" t="s">
        <v>45</v>
      </c>
    </row>
    <row r="21" spans="2:11" x14ac:dyDescent="0.25">
      <c r="B21" s="9" t="s">
        <v>113</v>
      </c>
      <c r="C21" s="9" t="s">
        <v>14</v>
      </c>
      <c r="D21" s="9">
        <v>79000</v>
      </c>
      <c r="E21" s="9" t="s">
        <v>2013</v>
      </c>
      <c r="F21" s="9" t="s">
        <v>66</v>
      </c>
      <c r="G21" s="9" t="s">
        <v>49</v>
      </c>
    </row>
    <row r="22" spans="2:11" x14ac:dyDescent="0.25">
      <c r="B22" s="9" t="s">
        <v>116</v>
      </c>
      <c r="C22" s="9" t="s">
        <v>16</v>
      </c>
      <c r="D22" s="9">
        <v>167000</v>
      </c>
      <c r="E22" s="9" t="s">
        <v>2013</v>
      </c>
      <c r="F22" s="9" t="s">
        <v>65</v>
      </c>
      <c r="G22" s="9" t="s">
        <v>45</v>
      </c>
    </row>
    <row r="23" spans="2:11" x14ac:dyDescent="0.25">
      <c r="B23" s="9" t="s">
        <v>118</v>
      </c>
      <c r="C23" s="9" t="s">
        <v>22</v>
      </c>
      <c r="D23" s="9">
        <v>111000</v>
      </c>
      <c r="E23" s="9" t="s">
        <v>2014</v>
      </c>
      <c r="F23" s="9" t="s">
        <v>67</v>
      </c>
      <c r="G23" s="9" t="s">
        <v>49</v>
      </c>
    </row>
    <row r="24" spans="2:11" x14ac:dyDescent="0.25">
      <c r="B24" s="9" t="s">
        <v>121</v>
      </c>
      <c r="C24" s="9" t="s">
        <v>14</v>
      </c>
      <c r="D24" s="9">
        <v>215000</v>
      </c>
      <c r="E24" s="9" t="s">
        <v>2014</v>
      </c>
      <c r="F24" s="9" t="s">
        <v>66</v>
      </c>
      <c r="G24" s="9" t="s">
        <v>51</v>
      </c>
    </row>
    <row r="25" spans="2:11" x14ac:dyDescent="0.25">
      <c r="B25" s="9" t="s">
        <v>123</v>
      </c>
      <c r="C25" s="9" t="s">
        <v>18</v>
      </c>
      <c r="D25" s="9">
        <v>84000</v>
      </c>
      <c r="E25" s="9" t="s">
        <v>2014</v>
      </c>
      <c r="F25" s="9" t="s">
        <v>63</v>
      </c>
      <c r="G25" s="9" t="s">
        <v>47</v>
      </c>
    </row>
    <row r="26" spans="2:11" x14ac:dyDescent="0.25">
      <c r="B26" s="9" t="s">
        <v>125</v>
      </c>
      <c r="C26" s="9" t="s">
        <v>16</v>
      </c>
      <c r="D26" s="9">
        <v>275000</v>
      </c>
      <c r="E26" s="9" t="s">
        <v>2014</v>
      </c>
      <c r="F26" s="9" t="s">
        <v>62</v>
      </c>
      <c r="G26" s="9" t="s">
        <v>45</v>
      </c>
    </row>
    <row r="27" spans="2:11" x14ac:dyDescent="0.25">
      <c r="B27" s="9" t="s">
        <v>127</v>
      </c>
      <c r="C27" s="9" t="s">
        <v>14</v>
      </c>
      <c r="D27" s="9">
        <v>119000</v>
      </c>
      <c r="E27" s="9" t="s">
        <v>2015</v>
      </c>
      <c r="F27" s="9" t="s">
        <v>63</v>
      </c>
      <c r="G27" s="9" t="s">
        <v>49</v>
      </c>
    </row>
    <row r="28" spans="2:11" x14ac:dyDescent="0.25">
      <c r="B28" s="9" t="s">
        <v>130</v>
      </c>
      <c r="C28" s="9" t="s">
        <v>22</v>
      </c>
      <c r="D28" s="9">
        <v>88000</v>
      </c>
      <c r="E28" s="9" t="s">
        <v>2016</v>
      </c>
      <c r="F28" s="9" t="s">
        <v>63</v>
      </c>
      <c r="G28" s="9" t="s">
        <v>47</v>
      </c>
    </row>
    <row r="29" spans="2:11" x14ac:dyDescent="0.25">
      <c r="B29" s="9" t="s">
        <v>133</v>
      </c>
      <c r="C29" s="9" t="s">
        <v>12</v>
      </c>
      <c r="D29" s="9">
        <v>199000</v>
      </c>
      <c r="E29" s="9" t="s">
        <v>2017</v>
      </c>
      <c r="F29" s="9" t="s">
        <v>64</v>
      </c>
      <c r="G29" s="9" t="s">
        <v>45</v>
      </c>
    </row>
    <row r="30" spans="2:11" x14ac:dyDescent="0.25">
      <c r="B30" s="9" t="s">
        <v>136</v>
      </c>
      <c r="C30" s="9" t="s">
        <v>20</v>
      </c>
      <c r="D30" s="9">
        <v>47000</v>
      </c>
      <c r="E30" s="9" t="s">
        <v>2017</v>
      </c>
      <c r="F30" s="9" t="s">
        <v>64</v>
      </c>
      <c r="G30" s="9" t="s">
        <v>51</v>
      </c>
    </row>
    <row r="31" spans="2:11" x14ac:dyDescent="0.25">
      <c r="B31" s="9" t="s">
        <v>138</v>
      </c>
      <c r="C31" s="9" t="s">
        <v>14</v>
      </c>
      <c r="D31" s="9">
        <v>52000</v>
      </c>
      <c r="E31" s="9" t="s">
        <v>2018</v>
      </c>
      <c r="F31" s="9" t="s">
        <v>62</v>
      </c>
      <c r="G31" s="9" t="s">
        <v>45</v>
      </c>
    </row>
    <row r="32" spans="2:11" x14ac:dyDescent="0.25">
      <c r="B32" s="9" t="s">
        <v>141</v>
      </c>
      <c r="C32" s="9" t="s">
        <v>24</v>
      </c>
      <c r="D32" s="9">
        <v>141000</v>
      </c>
      <c r="E32" s="9" t="s">
        <v>2019</v>
      </c>
      <c r="F32" s="9" t="s">
        <v>64</v>
      </c>
      <c r="G32" s="9" t="s">
        <v>43</v>
      </c>
    </row>
    <row r="33" spans="2:7" x14ac:dyDescent="0.25">
      <c r="B33" s="9" t="s">
        <v>144</v>
      </c>
      <c r="C33" s="9" t="s">
        <v>22</v>
      </c>
      <c r="D33" s="9">
        <v>273000</v>
      </c>
      <c r="E33" s="9" t="s">
        <v>2019</v>
      </c>
      <c r="F33" s="9" t="s">
        <v>63</v>
      </c>
      <c r="G33" s="9" t="s">
        <v>47</v>
      </c>
    </row>
    <row r="34" spans="2:7" x14ac:dyDescent="0.25">
      <c r="B34" s="9" t="s">
        <v>146</v>
      </c>
      <c r="C34" s="9" t="s">
        <v>22</v>
      </c>
      <c r="D34" s="9">
        <v>268000</v>
      </c>
      <c r="E34" s="9" t="s">
        <v>2020</v>
      </c>
      <c r="F34" s="9" t="s">
        <v>66</v>
      </c>
      <c r="G34" s="9" t="s">
        <v>58</v>
      </c>
    </row>
    <row r="35" spans="2:7" x14ac:dyDescent="0.25">
      <c r="B35" s="9" t="s">
        <v>149</v>
      </c>
      <c r="C35" s="9" t="s">
        <v>12</v>
      </c>
      <c r="D35" s="9">
        <v>255000</v>
      </c>
      <c r="E35" s="9" t="s">
        <v>2020</v>
      </c>
      <c r="F35" s="9" t="s">
        <v>66</v>
      </c>
      <c r="G35" s="9" t="s">
        <v>43</v>
      </c>
    </row>
    <row r="36" spans="2:7" x14ac:dyDescent="0.25">
      <c r="B36" s="9" t="s">
        <v>151</v>
      </c>
      <c r="C36" s="9" t="s">
        <v>24</v>
      </c>
      <c r="D36" s="9">
        <v>105000</v>
      </c>
      <c r="E36" s="9" t="s">
        <v>2021</v>
      </c>
      <c r="F36" s="9" t="s">
        <v>67</v>
      </c>
      <c r="G36" s="9" t="s">
        <v>45</v>
      </c>
    </row>
    <row r="37" spans="2:7" x14ac:dyDescent="0.25">
      <c r="B37" s="9" t="s">
        <v>154</v>
      </c>
      <c r="C37" s="9" t="s">
        <v>14</v>
      </c>
      <c r="D37" s="9">
        <v>238000</v>
      </c>
      <c r="E37" s="9" t="s">
        <v>2022</v>
      </c>
      <c r="F37" s="9" t="s">
        <v>67</v>
      </c>
      <c r="G37" s="9" t="s">
        <v>61</v>
      </c>
    </row>
    <row r="38" spans="2:7" x14ac:dyDescent="0.25">
      <c r="B38" s="9" t="s">
        <v>157</v>
      </c>
      <c r="C38" s="9" t="s">
        <v>18</v>
      </c>
      <c r="D38" s="9">
        <v>222000</v>
      </c>
      <c r="E38" s="9" t="s">
        <v>2022</v>
      </c>
      <c r="F38" s="9" t="s">
        <v>64</v>
      </c>
      <c r="G38" s="9" t="s">
        <v>53</v>
      </c>
    </row>
    <row r="39" spans="2:7" x14ac:dyDescent="0.25">
      <c r="B39" s="9" t="s">
        <v>159</v>
      </c>
      <c r="C39" s="9" t="s">
        <v>16</v>
      </c>
      <c r="D39" s="9">
        <v>270000</v>
      </c>
      <c r="E39" s="9" t="s">
        <v>2023</v>
      </c>
      <c r="F39" s="9" t="s">
        <v>63</v>
      </c>
      <c r="G39" s="9" t="s">
        <v>49</v>
      </c>
    </row>
    <row r="40" spans="2:7" x14ac:dyDescent="0.25">
      <c r="B40" s="9" t="s">
        <v>162</v>
      </c>
      <c r="C40" s="9" t="s">
        <v>14</v>
      </c>
      <c r="D40" s="9">
        <v>244000</v>
      </c>
      <c r="E40" s="9" t="s">
        <v>2023</v>
      </c>
      <c r="F40" s="9" t="s">
        <v>67</v>
      </c>
      <c r="G40" s="9" t="s">
        <v>51</v>
      </c>
    </row>
    <row r="41" spans="2:7" x14ac:dyDescent="0.25">
      <c r="B41" s="9" t="s">
        <v>164</v>
      </c>
      <c r="C41" s="9" t="s">
        <v>18</v>
      </c>
      <c r="D41" s="9">
        <v>64000</v>
      </c>
      <c r="E41" s="9" t="s">
        <v>2024</v>
      </c>
      <c r="F41" s="9" t="s">
        <v>67</v>
      </c>
      <c r="G41" s="9" t="s">
        <v>58</v>
      </c>
    </row>
    <row r="42" spans="2:7" x14ac:dyDescent="0.25">
      <c r="B42" s="9" t="s">
        <v>167</v>
      </c>
      <c r="C42" s="9" t="s">
        <v>12</v>
      </c>
      <c r="D42" s="9">
        <v>130000</v>
      </c>
      <c r="E42" s="9" t="s">
        <v>2025</v>
      </c>
      <c r="F42" s="9" t="s">
        <v>67</v>
      </c>
      <c r="G42" s="9" t="s">
        <v>58</v>
      </c>
    </row>
    <row r="43" spans="2:7" x14ac:dyDescent="0.25">
      <c r="B43" s="9" t="s">
        <v>170</v>
      </c>
      <c r="C43" s="9" t="s">
        <v>12</v>
      </c>
      <c r="D43" s="9">
        <v>296000</v>
      </c>
      <c r="E43" s="9" t="s">
        <v>2026</v>
      </c>
      <c r="F43" s="9" t="s">
        <v>62</v>
      </c>
      <c r="G43" s="9" t="s">
        <v>53</v>
      </c>
    </row>
    <row r="44" spans="2:7" x14ac:dyDescent="0.25">
      <c r="B44" s="9" t="s">
        <v>173</v>
      </c>
      <c r="C44" s="9" t="s">
        <v>22</v>
      </c>
      <c r="D44" s="9">
        <v>173000</v>
      </c>
      <c r="E44" s="9" t="s">
        <v>2027</v>
      </c>
      <c r="F44" s="9" t="s">
        <v>66</v>
      </c>
      <c r="G44" s="9" t="s">
        <v>45</v>
      </c>
    </row>
    <row r="45" spans="2:7" x14ac:dyDescent="0.25">
      <c r="B45" s="9" t="s">
        <v>176</v>
      </c>
      <c r="C45" s="9" t="s">
        <v>20</v>
      </c>
      <c r="D45" s="9">
        <v>108000</v>
      </c>
      <c r="E45" s="9" t="s">
        <v>2028</v>
      </c>
      <c r="F45" s="9" t="s">
        <v>67</v>
      </c>
      <c r="G45" s="9" t="s">
        <v>51</v>
      </c>
    </row>
    <row r="46" spans="2:7" x14ac:dyDescent="0.25">
      <c r="B46" s="9" t="s">
        <v>179</v>
      </c>
      <c r="C46" s="9" t="s">
        <v>22</v>
      </c>
      <c r="D46" s="9">
        <v>138000</v>
      </c>
      <c r="E46" s="9" t="s">
        <v>2029</v>
      </c>
      <c r="F46" s="9" t="s">
        <v>64</v>
      </c>
      <c r="G46" s="9" t="s">
        <v>58</v>
      </c>
    </row>
    <row r="47" spans="2:7" x14ac:dyDescent="0.25">
      <c r="B47" s="9" t="s">
        <v>182</v>
      </c>
      <c r="C47" s="9" t="s">
        <v>12</v>
      </c>
      <c r="D47" s="9">
        <v>228000</v>
      </c>
      <c r="E47" s="9" t="s">
        <v>2029</v>
      </c>
      <c r="F47" s="9" t="s">
        <v>62</v>
      </c>
      <c r="G47" s="9" t="s">
        <v>61</v>
      </c>
    </row>
    <row r="48" spans="2:7" x14ac:dyDescent="0.25">
      <c r="B48" s="9" t="s">
        <v>184</v>
      </c>
      <c r="C48" s="9" t="s">
        <v>20</v>
      </c>
      <c r="D48" s="9">
        <v>60000</v>
      </c>
      <c r="E48" s="9" t="s">
        <v>2030</v>
      </c>
      <c r="F48" s="9" t="s">
        <v>66</v>
      </c>
      <c r="G48" s="9" t="s">
        <v>53</v>
      </c>
    </row>
    <row r="49" spans="2:7" x14ac:dyDescent="0.25">
      <c r="B49" s="9" t="s">
        <v>187</v>
      </c>
      <c r="C49" s="9" t="s">
        <v>12</v>
      </c>
      <c r="D49" s="9">
        <v>98000</v>
      </c>
      <c r="E49" s="9" t="s">
        <v>2031</v>
      </c>
      <c r="F49" s="9" t="s">
        <v>67</v>
      </c>
      <c r="G49" s="9" t="s">
        <v>55</v>
      </c>
    </row>
    <row r="50" spans="2:7" x14ac:dyDescent="0.25">
      <c r="B50" s="9" t="s">
        <v>190</v>
      </c>
      <c r="C50" s="9" t="s">
        <v>20</v>
      </c>
      <c r="D50" s="9">
        <v>251000</v>
      </c>
      <c r="E50" s="9" t="s">
        <v>2032</v>
      </c>
      <c r="F50" s="9" t="s">
        <v>66</v>
      </c>
      <c r="G50" s="9" t="s">
        <v>47</v>
      </c>
    </row>
    <row r="51" spans="2:7" x14ac:dyDescent="0.25">
      <c r="B51" s="9" t="s">
        <v>193</v>
      </c>
      <c r="C51" s="9" t="s">
        <v>20</v>
      </c>
      <c r="D51" s="9">
        <v>256000</v>
      </c>
      <c r="E51" s="9" t="s">
        <v>2033</v>
      </c>
      <c r="F51" s="9" t="s">
        <v>63</v>
      </c>
      <c r="G51" s="9" t="s">
        <v>61</v>
      </c>
    </row>
    <row r="52" spans="2:7" x14ac:dyDescent="0.25">
      <c r="B52" s="9" t="s">
        <v>196</v>
      </c>
      <c r="C52" s="9" t="s">
        <v>16</v>
      </c>
      <c r="D52" s="9">
        <v>120000</v>
      </c>
      <c r="E52" s="9" t="s">
        <v>2034</v>
      </c>
      <c r="F52" s="9" t="s">
        <v>63</v>
      </c>
      <c r="G52" s="9" t="s">
        <v>53</v>
      </c>
    </row>
    <row r="53" spans="2:7" x14ac:dyDescent="0.25">
      <c r="B53" s="9" t="s">
        <v>198</v>
      </c>
      <c r="C53" s="9" t="s">
        <v>14</v>
      </c>
      <c r="D53" s="9">
        <v>70000</v>
      </c>
      <c r="E53" s="9" t="s">
        <v>2035</v>
      </c>
      <c r="F53" s="9" t="s">
        <v>63</v>
      </c>
      <c r="G53" s="9" t="s">
        <v>47</v>
      </c>
    </row>
    <row r="54" spans="2:7" x14ac:dyDescent="0.25">
      <c r="B54" s="9" t="s">
        <v>201</v>
      </c>
      <c r="C54" s="9" t="s">
        <v>22</v>
      </c>
      <c r="D54" s="9">
        <v>33000</v>
      </c>
      <c r="E54" s="9" t="s">
        <v>2035</v>
      </c>
      <c r="F54" s="9" t="s">
        <v>62</v>
      </c>
      <c r="G54" s="9" t="s">
        <v>47</v>
      </c>
    </row>
    <row r="55" spans="2:7" x14ac:dyDescent="0.25">
      <c r="B55" s="9" t="s">
        <v>203</v>
      </c>
      <c r="C55" s="9" t="s">
        <v>18</v>
      </c>
      <c r="D55" s="9">
        <v>186000</v>
      </c>
      <c r="E55" s="9" t="s">
        <v>2036</v>
      </c>
      <c r="F55" s="9" t="s">
        <v>63</v>
      </c>
      <c r="G55" s="9" t="s">
        <v>43</v>
      </c>
    </row>
    <row r="56" spans="2:7" x14ac:dyDescent="0.25">
      <c r="B56" s="9" t="s">
        <v>206</v>
      </c>
      <c r="C56" s="9" t="s">
        <v>20</v>
      </c>
      <c r="D56" s="9">
        <v>204000</v>
      </c>
      <c r="E56" s="9" t="s">
        <v>2037</v>
      </c>
      <c r="F56" s="9" t="s">
        <v>63</v>
      </c>
      <c r="G56" s="9" t="s">
        <v>53</v>
      </c>
    </row>
    <row r="57" spans="2:7" x14ac:dyDescent="0.25">
      <c r="B57" s="9" t="s">
        <v>209</v>
      </c>
      <c r="C57" s="9" t="s">
        <v>12</v>
      </c>
      <c r="D57" s="9">
        <v>239000</v>
      </c>
      <c r="E57" s="9" t="s">
        <v>2037</v>
      </c>
      <c r="F57" s="9" t="s">
        <v>66</v>
      </c>
      <c r="G57" s="9" t="s">
        <v>43</v>
      </c>
    </row>
    <row r="58" spans="2:7" x14ac:dyDescent="0.25">
      <c r="B58" s="9" t="s">
        <v>210</v>
      </c>
      <c r="C58" s="9" t="s">
        <v>24</v>
      </c>
      <c r="D58" s="9">
        <v>258000</v>
      </c>
      <c r="E58" s="9" t="s">
        <v>2038</v>
      </c>
      <c r="F58" s="9" t="s">
        <v>67</v>
      </c>
      <c r="G58" s="9" t="s">
        <v>61</v>
      </c>
    </row>
    <row r="59" spans="2:7" x14ac:dyDescent="0.25">
      <c r="B59" s="9" t="s">
        <v>213</v>
      </c>
      <c r="C59" s="9" t="s">
        <v>14</v>
      </c>
      <c r="D59" s="9">
        <v>264000</v>
      </c>
      <c r="E59" s="9" t="s">
        <v>2039</v>
      </c>
      <c r="F59" s="9" t="s">
        <v>67</v>
      </c>
      <c r="G59" s="9" t="s">
        <v>58</v>
      </c>
    </row>
    <row r="60" spans="2:7" x14ac:dyDescent="0.25">
      <c r="B60" s="9" t="s">
        <v>216</v>
      </c>
      <c r="C60" s="9" t="s">
        <v>16</v>
      </c>
      <c r="D60" s="9">
        <v>287000</v>
      </c>
      <c r="E60" s="9" t="s">
        <v>2039</v>
      </c>
      <c r="F60" s="9" t="s">
        <v>62</v>
      </c>
      <c r="G60" s="9" t="s">
        <v>49</v>
      </c>
    </row>
    <row r="61" spans="2:7" x14ac:dyDescent="0.25">
      <c r="B61" s="9" t="s">
        <v>218</v>
      </c>
      <c r="C61" s="9" t="s">
        <v>14</v>
      </c>
      <c r="D61" s="9">
        <v>226000</v>
      </c>
      <c r="E61" s="9" t="s">
        <v>2039</v>
      </c>
      <c r="F61" s="9" t="s">
        <v>64</v>
      </c>
      <c r="G61" s="9" t="s">
        <v>58</v>
      </c>
    </row>
    <row r="62" spans="2:7" x14ac:dyDescent="0.25">
      <c r="B62" s="9" t="s">
        <v>220</v>
      </c>
      <c r="C62" s="9" t="s">
        <v>24</v>
      </c>
      <c r="D62" s="9">
        <v>246000</v>
      </c>
      <c r="E62" s="9" t="s">
        <v>2039</v>
      </c>
      <c r="F62" s="9" t="s">
        <v>62</v>
      </c>
      <c r="G62" s="9" t="s">
        <v>45</v>
      </c>
    </row>
    <row r="63" spans="2:7" x14ac:dyDescent="0.25">
      <c r="B63" s="9" t="s">
        <v>221</v>
      </c>
      <c r="C63" s="9" t="s">
        <v>16</v>
      </c>
      <c r="D63" s="9">
        <v>213000</v>
      </c>
      <c r="E63" s="9" t="s">
        <v>2040</v>
      </c>
      <c r="F63" s="9" t="s">
        <v>65</v>
      </c>
      <c r="G63" s="9" t="s">
        <v>61</v>
      </c>
    </row>
    <row r="64" spans="2:7" x14ac:dyDescent="0.25">
      <c r="B64" s="9" t="s">
        <v>224</v>
      </c>
      <c r="C64" s="9" t="s">
        <v>16</v>
      </c>
      <c r="D64" s="9">
        <v>249000</v>
      </c>
      <c r="E64" s="9" t="s">
        <v>2041</v>
      </c>
      <c r="F64" s="9" t="s">
        <v>64</v>
      </c>
      <c r="G64" s="9" t="s">
        <v>45</v>
      </c>
    </row>
    <row r="65" spans="2:7" x14ac:dyDescent="0.25">
      <c r="B65" s="9" t="s">
        <v>227</v>
      </c>
      <c r="C65" s="9" t="s">
        <v>18</v>
      </c>
      <c r="D65" s="9">
        <v>297000</v>
      </c>
      <c r="E65" s="9" t="s">
        <v>2041</v>
      </c>
      <c r="F65" s="9" t="s">
        <v>66</v>
      </c>
      <c r="G65" s="9" t="s">
        <v>49</v>
      </c>
    </row>
    <row r="66" spans="2:7" x14ac:dyDescent="0.25">
      <c r="B66" s="9" t="s">
        <v>229</v>
      </c>
      <c r="C66" s="9" t="s">
        <v>16</v>
      </c>
      <c r="D66" s="9">
        <v>180000</v>
      </c>
      <c r="E66" s="9" t="s">
        <v>2042</v>
      </c>
      <c r="F66" s="9" t="s">
        <v>63</v>
      </c>
      <c r="G66" s="9" t="s">
        <v>55</v>
      </c>
    </row>
    <row r="67" spans="2:7" x14ac:dyDescent="0.25">
      <c r="B67" s="9" t="s">
        <v>232</v>
      </c>
      <c r="C67" s="9" t="s">
        <v>20</v>
      </c>
      <c r="D67" s="9">
        <v>30000</v>
      </c>
      <c r="E67" s="9" t="s">
        <v>2043</v>
      </c>
      <c r="F67" s="9" t="s">
        <v>63</v>
      </c>
      <c r="G67" s="9" t="s">
        <v>58</v>
      </c>
    </row>
    <row r="68" spans="2:7" x14ac:dyDescent="0.25">
      <c r="B68" s="9" t="s">
        <v>235</v>
      </c>
      <c r="C68" s="9" t="s">
        <v>14</v>
      </c>
      <c r="D68" s="9">
        <v>106000</v>
      </c>
      <c r="E68" s="9" t="s">
        <v>2044</v>
      </c>
      <c r="F68" s="9" t="s">
        <v>67</v>
      </c>
      <c r="G68" s="9" t="s">
        <v>49</v>
      </c>
    </row>
    <row r="69" spans="2:7" x14ac:dyDescent="0.25">
      <c r="B69" s="9" t="s">
        <v>238</v>
      </c>
      <c r="C69" s="9" t="s">
        <v>20</v>
      </c>
      <c r="D69" s="9">
        <v>281000</v>
      </c>
      <c r="E69" s="9" t="s">
        <v>2045</v>
      </c>
      <c r="F69" s="9" t="s">
        <v>64</v>
      </c>
      <c r="G69" s="9" t="s">
        <v>45</v>
      </c>
    </row>
    <row r="70" spans="2:7" x14ac:dyDescent="0.25">
      <c r="B70" s="9" t="s">
        <v>241</v>
      </c>
      <c r="C70" s="9" t="s">
        <v>18</v>
      </c>
      <c r="D70" s="9">
        <v>92000</v>
      </c>
      <c r="E70" s="9" t="s">
        <v>2045</v>
      </c>
      <c r="F70" s="9" t="s">
        <v>66</v>
      </c>
      <c r="G70" s="9" t="s">
        <v>61</v>
      </c>
    </row>
    <row r="71" spans="2:7" x14ac:dyDescent="0.25">
      <c r="B71" s="9" t="s">
        <v>243</v>
      </c>
      <c r="C71" s="9" t="s">
        <v>16</v>
      </c>
      <c r="D71" s="9">
        <v>78000</v>
      </c>
      <c r="E71" s="9" t="s">
        <v>2046</v>
      </c>
      <c r="F71" s="9" t="s">
        <v>65</v>
      </c>
      <c r="G71" s="9" t="s">
        <v>45</v>
      </c>
    </row>
    <row r="72" spans="2:7" x14ac:dyDescent="0.25">
      <c r="B72" s="9" t="s">
        <v>246</v>
      </c>
      <c r="C72" s="9" t="s">
        <v>18</v>
      </c>
      <c r="D72" s="9">
        <v>192000</v>
      </c>
      <c r="E72" s="9" t="s">
        <v>2046</v>
      </c>
      <c r="F72" s="9" t="s">
        <v>67</v>
      </c>
      <c r="G72" s="9" t="s">
        <v>47</v>
      </c>
    </row>
    <row r="73" spans="2:7" x14ac:dyDescent="0.25">
      <c r="B73" s="9" t="s">
        <v>248</v>
      </c>
      <c r="C73" s="9" t="s">
        <v>14</v>
      </c>
      <c r="D73" s="9">
        <v>126000</v>
      </c>
      <c r="E73" s="9" t="s">
        <v>2047</v>
      </c>
      <c r="F73" s="9" t="s">
        <v>63</v>
      </c>
      <c r="G73" s="9" t="s">
        <v>51</v>
      </c>
    </row>
    <row r="74" spans="2:7" x14ac:dyDescent="0.25">
      <c r="B74" s="9" t="s">
        <v>251</v>
      </c>
      <c r="C74" s="9" t="s">
        <v>14</v>
      </c>
      <c r="D74" s="9">
        <v>115000</v>
      </c>
      <c r="E74" s="9" t="s">
        <v>2047</v>
      </c>
      <c r="F74" s="9" t="s">
        <v>67</v>
      </c>
      <c r="G74" s="9" t="s">
        <v>58</v>
      </c>
    </row>
    <row r="75" spans="2:7" x14ac:dyDescent="0.25">
      <c r="B75" s="9" t="s">
        <v>253</v>
      </c>
      <c r="C75" s="9" t="s">
        <v>20</v>
      </c>
      <c r="D75" s="9">
        <v>191000</v>
      </c>
      <c r="E75" s="9" t="s">
        <v>2048</v>
      </c>
      <c r="F75" s="9" t="s">
        <v>62</v>
      </c>
      <c r="G75" s="9" t="s">
        <v>49</v>
      </c>
    </row>
    <row r="76" spans="2:7" x14ac:dyDescent="0.25">
      <c r="B76" s="9" t="s">
        <v>256</v>
      </c>
      <c r="C76" s="9" t="s">
        <v>18</v>
      </c>
      <c r="D76" s="9">
        <v>289000</v>
      </c>
      <c r="E76" s="9" t="s">
        <v>2049</v>
      </c>
      <c r="F76" s="9" t="s">
        <v>65</v>
      </c>
      <c r="G76" s="9" t="s">
        <v>51</v>
      </c>
    </row>
    <row r="77" spans="2:7" x14ac:dyDescent="0.25">
      <c r="B77" s="9" t="s">
        <v>259</v>
      </c>
      <c r="C77" s="9" t="s">
        <v>20</v>
      </c>
      <c r="D77" s="9">
        <v>127000</v>
      </c>
      <c r="E77" s="9" t="s">
        <v>2049</v>
      </c>
      <c r="F77" s="9" t="s">
        <v>67</v>
      </c>
      <c r="G77" s="9" t="s">
        <v>53</v>
      </c>
    </row>
    <row r="78" spans="2:7" x14ac:dyDescent="0.25">
      <c r="B78" s="9" t="s">
        <v>261</v>
      </c>
      <c r="C78" s="9" t="s">
        <v>14</v>
      </c>
      <c r="D78" s="9">
        <v>207000</v>
      </c>
      <c r="E78" s="9" t="s">
        <v>2049</v>
      </c>
      <c r="F78" s="9" t="s">
        <v>66</v>
      </c>
      <c r="G78" s="9" t="s">
        <v>45</v>
      </c>
    </row>
    <row r="79" spans="2:7" x14ac:dyDescent="0.25">
      <c r="B79" s="9" t="s">
        <v>263</v>
      </c>
      <c r="C79" s="9" t="s">
        <v>18</v>
      </c>
      <c r="D79" s="9">
        <v>152000</v>
      </c>
      <c r="E79" s="9" t="s">
        <v>2050</v>
      </c>
      <c r="F79" s="9" t="s">
        <v>65</v>
      </c>
      <c r="G79" s="9" t="s">
        <v>45</v>
      </c>
    </row>
    <row r="80" spans="2:7" x14ac:dyDescent="0.25">
      <c r="B80" s="9" t="s">
        <v>266</v>
      </c>
      <c r="C80" s="9" t="s">
        <v>22</v>
      </c>
      <c r="D80" s="9">
        <v>113000</v>
      </c>
      <c r="E80" s="9" t="s">
        <v>2051</v>
      </c>
      <c r="F80" s="9" t="s">
        <v>65</v>
      </c>
      <c r="G80" s="9" t="s">
        <v>55</v>
      </c>
    </row>
    <row r="81" spans="2:7" x14ac:dyDescent="0.25">
      <c r="B81" s="9" t="s">
        <v>269</v>
      </c>
      <c r="C81" s="9" t="s">
        <v>16</v>
      </c>
      <c r="D81" s="9">
        <v>112000</v>
      </c>
      <c r="E81" s="9" t="s">
        <v>2052</v>
      </c>
      <c r="F81" s="9" t="s">
        <v>65</v>
      </c>
      <c r="G81" s="9" t="s">
        <v>53</v>
      </c>
    </row>
    <row r="82" spans="2:7" x14ac:dyDescent="0.25">
      <c r="B82" s="9" t="s">
        <v>272</v>
      </c>
      <c r="C82" s="9" t="s">
        <v>24</v>
      </c>
      <c r="D82" s="9">
        <v>256000</v>
      </c>
      <c r="E82" s="9" t="s">
        <v>2053</v>
      </c>
      <c r="F82" s="9" t="s">
        <v>65</v>
      </c>
      <c r="G82" s="9" t="s">
        <v>49</v>
      </c>
    </row>
    <row r="83" spans="2:7" x14ac:dyDescent="0.25">
      <c r="B83" s="9" t="s">
        <v>274</v>
      </c>
      <c r="C83" s="9" t="s">
        <v>14</v>
      </c>
      <c r="D83" s="9">
        <v>202000</v>
      </c>
      <c r="E83" s="9" t="s">
        <v>2054</v>
      </c>
      <c r="F83" s="9" t="s">
        <v>67</v>
      </c>
      <c r="G83" s="9" t="s">
        <v>47</v>
      </c>
    </row>
    <row r="84" spans="2:7" x14ac:dyDescent="0.25">
      <c r="B84" s="9" t="s">
        <v>277</v>
      </c>
      <c r="C84" s="9" t="s">
        <v>18</v>
      </c>
      <c r="D84" s="9">
        <v>163000</v>
      </c>
      <c r="E84" s="9" t="s">
        <v>2054</v>
      </c>
      <c r="F84" s="9" t="s">
        <v>65</v>
      </c>
      <c r="G84" s="9" t="s">
        <v>43</v>
      </c>
    </row>
    <row r="85" spans="2:7" x14ac:dyDescent="0.25">
      <c r="B85" s="9" t="s">
        <v>279</v>
      </c>
      <c r="C85" s="9" t="s">
        <v>22</v>
      </c>
      <c r="D85" s="9">
        <v>188000</v>
      </c>
      <c r="E85" s="9" t="s">
        <v>2055</v>
      </c>
      <c r="F85" s="9" t="s">
        <v>63</v>
      </c>
      <c r="G85" s="9" t="s">
        <v>61</v>
      </c>
    </row>
    <row r="86" spans="2:7" x14ac:dyDescent="0.25">
      <c r="B86" s="9" t="s">
        <v>282</v>
      </c>
      <c r="C86" s="9" t="s">
        <v>24</v>
      </c>
      <c r="D86" s="9">
        <v>199000</v>
      </c>
      <c r="E86" s="9" t="s">
        <v>2055</v>
      </c>
      <c r="F86" s="9" t="s">
        <v>63</v>
      </c>
      <c r="G86" s="9" t="s">
        <v>43</v>
      </c>
    </row>
    <row r="87" spans="2:7" x14ac:dyDescent="0.25">
      <c r="B87" s="9" t="s">
        <v>283</v>
      </c>
      <c r="C87" s="9" t="s">
        <v>24</v>
      </c>
      <c r="D87" s="9">
        <v>174000</v>
      </c>
      <c r="E87" s="9" t="s">
        <v>2055</v>
      </c>
      <c r="F87" s="9" t="s">
        <v>63</v>
      </c>
      <c r="G87" s="9" t="s">
        <v>55</v>
      </c>
    </row>
    <row r="88" spans="2:7" x14ac:dyDescent="0.25">
      <c r="B88" s="9" t="s">
        <v>285</v>
      </c>
      <c r="C88" s="9" t="s">
        <v>24</v>
      </c>
      <c r="D88" s="9">
        <v>55000</v>
      </c>
      <c r="E88" s="9" t="s">
        <v>2056</v>
      </c>
      <c r="F88" s="9" t="s">
        <v>62</v>
      </c>
      <c r="G88" s="9" t="s">
        <v>53</v>
      </c>
    </row>
    <row r="89" spans="2:7" x14ac:dyDescent="0.25">
      <c r="B89" s="9" t="s">
        <v>288</v>
      </c>
      <c r="C89" s="9" t="s">
        <v>18</v>
      </c>
      <c r="D89" s="9">
        <v>147000</v>
      </c>
      <c r="E89" s="9" t="s">
        <v>2056</v>
      </c>
      <c r="F89" s="9" t="s">
        <v>63</v>
      </c>
      <c r="G89" s="9" t="s">
        <v>55</v>
      </c>
    </row>
    <row r="90" spans="2:7" x14ac:dyDescent="0.25">
      <c r="B90" s="9" t="s">
        <v>290</v>
      </c>
      <c r="C90" s="9" t="s">
        <v>14</v>
      </c>
      <c r="D90" s="9">
        <v>54000</v>
      </c>
      <c r="E90" s="9" t="s">
        <v>2057</v>
      </c>
      <c r="F90" s="9" t="s">
        <v>67</v>
      </c>
      <c r="G90" s="9" t="s">
        <v>49</v>
      </c>
    </row>
    <row r="91" spans="2:7" x14ac:dyDescent="0.25">
      <c r="B91" s="9" t="s">
        <v>293</v>
      </c>
      <c r="C91" s="9" t="s">
        <v>24</v>
      </c>
      <c r="D91" s="9">
        <v>100000</v>
      </c>
      <c r="E91" s="9" t="s">
        <v>2057</v>
      </c>
      <c r="F91" s="9" t="s">
        <v>66</v>
      </c>
      <c r="G91" s="9" t="s">
        <v>53</v>
      </c>
    </row>
    <row r="92" spans="2:7" x14ac:dyDescent="0.25">
      <c r="B92" s="9" t="s">
        <v>294</v>
      </c>
      <c r="C92" s="9" t="s">
        <v>22</v>
      </c>
      <c r="D92" s="9">
        <v>51000</v>
      </c>
      <c r="E92" s="9" t="s">
        <v>2057</v>
      </c>
      <c r="F92" s="9" t="s">
        <v>62</v>
      </c>
      <c r="G92" s="9" t="s">
        <v>47</v>
      </c>
    </row>
    <row r="93" spans="2:7" x14ac:dyDescent="0.25">
      <c r="B93" s="9" t="s">
        <v>296</v>
      </c>
      <c r="C93" s="9" t="s">
        <v>24</v>
      </c>
      <c r="D93" s="9">
        <v>116000</v>
      </c>
      <c r="E93" s="9" t="s">
        <v>2058</v>
      </c>
      <c r="F93" s="9" t="s">
        <v>62</v>
      </c>
      <c r="G93" s="9" t="s">
        <v>47</v>
      </c>
    </row>
    <row r="94" spans="2:7" x14ac:dyDescent="0.25">
      <c r="B94" s="9" t="s">
        <v>299</v>
      </c>
      <c r="C94" s="9" t="s">
        <v>14</v>
      </c>
      <c r="D94" s="9">
        <v>125000</v>
      </c>
      <c r="E94" s="9" t="s">
        <v>2059</v>
      </c>
      <c r="F94" s="9" t="s">
        <v>62</v>
      </c>
      <c r="G94" s="9" t="s">
        <v>47</v>
      </c>
    </row>
    <row r="95" spans="2:7" x14ac:dyDescent="0.25">
      <c r="B95" s="9" t="s">
        <v>302</v>
      </c>
      <c r="C95" s="9" t="s">
        <v>20</v>
      </c>
      <c r="D95" s="9">
        <v>196000</v>
      </c>
      <c r="E95" s="9" t="s">
        <v>2060</v>
      </c>
      <c r="F95" s="9" t="s">
        <v>67</v>
      </c>
      <c r="G95" s="9" t="s">
        <v>45</v>
      </c>
    </row>
    <row r="96" spans="2:7" x14ac:dyDescent="0.25">
      <c r="B96" s="9" t="s">
        <v>305</v>
      </c>
      <c r="C96" s="9" t="s">
        <v>14</v>
      </c>
      <c r="D96" s="9">
        <v>138000</v>
      </c>
      <c r="E96" s="9" t="s">
        <v>2060</v>
      </c>
      <c r="F96" s="9" t="s">
        <v>63</v>
      </c>
      <c r="G96" s="9" t="s">
        <v>55</v>
      </c>
    </row>
    <row r="97" spans="2:7" x14ac:dyDescent="0.25">
      <c r="B97" s="9" t="s">
        <v>306</v>
      </c>
      <c r="C97" s="9" t="s">
        <v>14</v>
      </c>
      <c r="D97" s="9">
        <v>69000</v>
      </c>
      <c r="E97" s="9" t="s">
        <v>2061</v>
      </c>
      <c r="F97" s="9" t="s">
        <v>67</v>
      </c>
      <c r="G97" s="9" t="s">
        <v>45</v>
      </c>
    </row>
    <row r="98" spans="2:7" x14ac:dyDescent="0.25">
      <c r="B98" s="9" t="s">
        <v>309</v>
      </c>
      <c r="C98" s="9" t="s">
        <v>20</v>
      </c>
      <c r="D98" s="9">
        <v>60000</v>
      </c>
      <c r="E98" s="9" t="s">
        <v>2062</v>
      </c>
      <c r="F98" s="9" t="s">
        <v>65</v>
      </c>
      <c r="G98" s="9" t="s">
        <v>49</v>
      </c>
    </row>
    <row r="99" spans="2:7" x14ac:dyDescent="0.25">
      <c r="B99" s="9" t="s">
        <v>311</v>
      </c>
      <c r="C99" s="9" t="s">
        <v>16</v>
      </c>
      <c r="D99" s="9">
        <v>216000</v>
      </c>
      <c r="E99" s="9" t="s">
        <v>2063</v>
      </c>
      <c r="F99" s="9" t="s">
        <v>67</v>
      </c>
      <c r="G99" s="9" t="s">
        <v>43</v>
      </c>
    </row>
    <row r="100" spans="2:7" x14ac:dyDescent="0.25">
      <c r="B100" s="9" t="s">
        <v>314</v>
      </c>
      <c r="C100" s="9" t="s">
        <v>22</v>
      </c>
      <c r="D100" s="9">
        <v>193000</v>
      </c>
      <c r="E100" s="9" t="s">
        <v>2064</v>
      </c>
      <c r="F100" s="9" t="s">
        <v>64</v>
      </c>
      <c r="G100" s="9" t="s">
        <v>55</v>
      </c>
    </row>
    <row r="101" spans="2:7" x14ac:dyDescent="0.25">
      <c r="B101" s="9" t="s">
        <v>317</v>
      </c>
      <c r="C101" s="9" t="s">
        <v>16</v>
      </c>
      <c r="D101" s="9">
        <v>88000</v>
      </c>
      <c r="E101" s="9" t="s">
        <v>2065</v>
      </c>
      <c r="F101" s="9" t="s">
        <v>67</v>
      </c>
      <c r="G101" s="9" t="s">
        <v>58</v>
      </c>
    </row>
    <row r="102" spans="2:7" x14ac:dyDescent="0.25">
      <c r="B102" s="9" t="s">
        <v>319</v>
      </c>
      <c r="C102" s="9" t="s">
        <v>24</v>
      </c>
      <c r="D102" s="9">
        <v>239000</v>
      </c>
      <c r="E102" s="9" t="s">
        <v>2066</v>
      </c>
      <c r="F102" s="9" t="s">
        <v>63</v>
      </c>
      <c r="G102" s="9" t="s">
        <v>53</v>
      </c>
    </row>
    <row r="103" spans="2:7" x14ac:dyDescent="0.25">
      <c r="B103" s="9" t="s">
        <v>321</v>
      </c>
      <c r="C103" s="9" t="s">
        <v>12</v>
      </c>
      <c r="D103" s="9">
        <v>41000</v>
      </c>
      <c r="E103" s="9" t="s">
        <v>2067</v>
      </c>
      <c r="F103" s="9" t="s">
        <v>64</v>
      </c>
      <c r="G103" s="9" t="s">
        <v>51</v>
      </c>
    </row>
    <row r="104" spans="2:7" x14ac:dyDescent="0.25">
      <c r="B104" s="9" t="s">
        <v>323</v>
      </c>
      <c r="C104" s="9" t="s">
        <v>14</v>
      </c>
      <c r="D104" s="9">
        <v>155000</v>
      </c>
      <c r="E104" s="9" t="s">
        <v>2067</v>
      </c>
      <c r="F104" s="9" t="s">
        <v>65</v>
      </c>
      <c r="G104" s="9" t="s">
        <v>45</v>
      </c>
    </row>
    <row r="105" spans="2:7" x14ac:dyDescent="0.25">
      <c r="B105" s="9" t="s">
        <v>325</v>
      </c>
      <c r="C105" s="9" t="s">
        <v>14</v>
      </c>
      <c r="D105" s="9">
        <v>51000</v>
      </c>
      <c r="E105" s="9" t="s">
        <v>2068</v>
      </c>
      <c r="F105" s="9" t="s">
        <v>65</v>
      </c>
      <c r="G105" s="9" t="s">
        <v>51</v>
      </c>
    </row>
    <row r="106" spans="2:7" x14ac:dyDescent="0.25">
      <c r="B106" s="9" t="s">
        <v>327</v>
      </c>
      <c r="C106" s="9" t="s">
        <v>12</v>
      </c>
      <c r="D106" s="9">
        <v>99000</v>
      </c>
      <c r="E106" s="9" t="s">
        <v>2069</v>
      </c>
      <c r="F106" s="9" t="s">
        <v>64</v>
      </c>
      <c r="G106" s="9" t="s">
        <v>43</v>
      </c>
    </row>
    <row r="107" spans="2:7" x14ac:dyDescent="0.25">
      <c r="B107" s="9" t="s">
        <v>330</v>
      </c>
      <c r="C107" s="9" t="s">
        <v>22</v>
      </c>
      <c r="D107" s="9">
        <v>213000</v>
      </c>
      <c r="E107" s="9" t="s">
        <v>2070</v>
      </c>
      <c r="F107" s="9" t="s">
        <v>62</v>
      </c>
      <c r="G107" s="9" t="s">
        <v>45</v>
      </c>
    </row>
    <row r="108" spans="2:7" x14ac:dyDescent="0.25">
      <c r="B108" s="9" t="s">
        <v>332</v>
      </c>
      <c r="C108" s="9" t="s">
        <v>14</v>
      </c>
      <c r="D108" s="9">
        <v>91000</v>
      </c>
      <c r="E108" s="9" t="s">
        <v>2071</v>
      </c>
      <c r="F108" s="9" t="s">
        <v>63</v>
      </c>
      <c r="G108" s="9" t="s">
        <v>49</v>
      </c>
    </row>
    <row r="109" spans="2:7" x14ac:dyDescent="0.25">
      <c r="B109" s="9" t="s">
        <v>335</v>
      </c>
      <c r="C109" s="9" t="s">
        <v>22</v>
      </c>
      <c r="D109" s="9">
        <v>155000</v>
      </c>
      <c r="E109" s="9" t="s">
        <v>2072</v>
      </c>
      <c r="F109" s="9" t="s">
        <v>63</v>
      </c>
      <c r="G109" s="9" t="s">
        <v>43</v>
      </c>
    </row>
    <row r="110" spans="2:7" x14ac:dyDescent="0.25">
      <c r="B110" s="9" t="s">
        <v>337</v>
      </c>
      <c r="C110" s="9" t="s">
        <v>24</v>
      </c>
      <c r="D110" s="9">
        <v>124000</v>
      </c>
      <c r="E110" s="9" t="s">
        <v>2072</v>
      </c>
      <c r="F110" s="9" t="s">
        <v>62</v>
      </c>
      <c r="G110" s="9" t="s">
        <v>51</v>
      </c>
    </row>
    <row r="111" spans="2:7" x14ac:dyDescent="0.25">
      <c r="B111" s="9" t="s">
        <v>339</v>
      </c>
      <c r="C111" s="9" t="s">
        <v>14</v>
      </c>
      <c r="D111" s="9">
        <v>198000</v>
      </c>
      <c r="E111" s="9" t="s">
        <v>2073</v>
      </c>
      <c r="F111" s="9" t="s">
        <v>67</v>
      </c>
      <c r="G111" s="9" t="s">
        <v>45</v>
      </c>
    </row>
    <row r="112" spans="2:7" x14ac:dyDescent="0.25">
      <c r="B112" s="9" t="s">
        <v>342</v>
      </c>
      <c r="C112" s="9" t="s">
        <v>18</v>
      </c>
      <c r="D112" s="9">
        <v>279000</v>
      </c>
      <c r="E112" s="9" t="s">
        <v>2074</v>
      </c>
      <c r="F112" s="9" t="s">
        <v>67</v>
      </c>
      <c r="G112" s="9" t="s">
        <v>61</v>
      </c>
    </row>
    <row r="113" spans="2:7" x14ac:dyDescent="0.25">
      <c r="B113" s="9" t="s">
        <v>345</v>
      </c>
      <c r="C113" s="9" t="s">
        <v>14</v>
      </c>
      <c r="D113" s="9">
        <v>271000</v>
      </c>
      <c r="E113" s="9" t="s">
        <v>2075</v>
      </c>
      <c r="F113" s="9" t="s">
        <v>64</v>
      </c>
      <c r="G113" s="9" t="s">
        <v>47</v>
      </c>
    </row>
    <row r="114" spans="2:7" x14ac:dyDescent="0.25">
      <c r="B114" s="9" t="s">
        <v>348</v>
      </c>
      <c r="C114" s="9" t="s">
        <v>18</v>
      </c>
      <c r="D114" s="9">
        <v>98000</v>
      </c>
      <c r="E114" s="9" t="s">
        <v>2076</v>
      </c>
      <c r="F114" s="9" t="s">
        <v>63</v>
      </c>
      <c r="G114" s="9" t="s">
        <v>49</v>
      </c>
    </row>
    <row r="115" spans="2:7" x14ac:dyDescent="0.25">
      <c r="B115" s="9" t="s">
        <v>350</v>
      </c>
      <c r="C115" s="9" t="s">
        <v>24</v>
      </c>
      <c r="D115" s="9">
        <v>82000</v>
      </c>
      <c r="E115" s="9" t="s">
        <v>2077</v>
      </c>
      <c r="F115" s="9" t="s">
        <v>66</v>
      </c>
      <c r="G115" s="9" t="s">
        <v>55</v>
      </c>
    </row>
    <row r="116" spans="2:7" x14ac:dyDescent="0.25">
      <c r="B116" s="9" t="s">
        <v>353</v>
      </c>
      <c r="C116" s="9" t="s">
        <v>20</v>
      </c>
      <c r="D116" s="9">
        <v>257000</v>
      </c>
      <c r="E116" s="9" t="s">
        <v>2077</v>
      </c>
      <c r="F116" s="9" t="s">
        <v>62</v>
      </c>
      <c r="G116" s="9" t="s">
        <v>53</v>
      </c>
    </row>
    <row r="117" spans="2:7" x14ac:dyDescent="0.25">
      <c r="B117" s="9" t="s">
        <v>355</v>
      </c>
      <c r="C117" s="9" t="s">
        <v>12</v>
      </c>
      <c r="D117" s="9">
        <v>239000</v>
      </c>
      <c r="E117" s="9" t="s">
        <v>2078</v>
      </c>
      <c r="F117" s="9" t="s">
        <v>67</v>
      </c>
      <c r="G117" s="9" t="s">
        <v>61</v>
      </c>
    </row>
    <row r="118" spans="2:7" x14ac:dyDescent="0.25">
      <c r="B118" s="9" t="s">
        <v>357</v>
      </c>
      <c r="C118" s="9" t="s">
        <v>20</v>
      </c>
      <c r="D118" s="9">
        <v>98000</v>
      </c>
      <c r="E118" s="9" t="s">
        <v>2078</v>
      </c>
      <c r="F118" s="9" t="s">
        <v>62</v>
      </c>
      <c r="G118" s="9" t="s">
        <v>43</v>
      </c>
    </row>
    <row r="119" spans="2:7" x14ac:dyDescent="0.25">
      <c r="B119" s="9" t="s">
        <v>358</v>
      </c>
      <c r="C119" s="9" t="s">
        <v>16</v>
      </c>
      <c r="D119" s="9">
        <v>188000</v>
      </c>
      <c r="E119" s="9" t="s">
        <v>2078</v>
      </c>
      <c r="F119" s="9" t="s">
        <v>66</v>
      </c>
      <c r="G119" s="9" t="s">
        <v>49</v>
      </c>
    </row>
    <row r="120" spans="2:7" x14ac:dyDescent="0.25">
      <c r="B120" s="9" t="s">
        <v>359</v>
      </c>
      <c r="C120" s="9" t="s">
        <v>18</v>
      </c>
      <c r="D120" s="9">
        <v>246000</v>
      </c>
      <c r="E120" s="9" t="s">
        <v>2079</v>
      </c>
      <c r="F120" s="9" t="s">
        <v>67</v>
      </c>
      <c r="G120" s="9" t="s">
        <v>45</v>
      </c>
    </row>
    <row r="121" spans="2:7" x14ac:dyDescent="0.25">
      <c r="B121" s="9" t="s">
        <v>361</v>
      </c>
      <c r="C121" s="9" t="s">
        <v>12</v>
      </c>
      <c r="D121" s="9">
        <v>156000</v>
      </c>
      <c r="E121" s="9" t="s">
        <v>2079</v>
      </c>
      <c r="F121" s="9" t="s">
        <v>62</v>
      </c>
      <c r="G121" s="9" t="s">
        <v>61</v>
      </c>
    </row>
    <row r="122" spans="2:7" x14ac:dyDescent="0.25">
      <c r="B122" s="9" t="s">
        <v>362</v>
      </c>
      <c r="C122" s="9" t="s">
        <v>22</v>
      </c>
      <c r="D122" s="9">
        <v>252000</v>
      </c>
      <c r="E122" s="9" t="s">
        <v>2079</v>
      </c>
      <c r="F122" s="9" t="s">
        <v>64</v>
      </c>
      <c r="G122" s="9" t="s">
        <v>53</v>
      </c>
    </row>
    <row r="123" spans="2:7" x14ac:dyDescent="0.25">
      <c r="B123" s="9" t="s">
        <v>364</v>
      </c>
      <c r="C123" s="9" t="s">
        <v>22</v>
      </c>
      <c r="D123" s="9">
        <v>161000</v>
      </c>
      <c r="E123" s="9" t="s">
        <v>2080</v>
      </c>
      <c r="F123" s="9" t="s">
        <v>66</v>
      </c>
      <c r="G123" s="9" t="s">
        <v>51</v>
      </c>
    </row>
    <row r="124" spans="2:7" x14ac:dyDescent="0.25">
      <c r="B124" s="9" t="s">
        <v>367</v>
      </c>
      <c r="C124" s="9" t="s">
        <v>16</v>
      </c>
      <c r="D124" s="9">
        <v>79000</v>
      </c>
      <c r="E124" s="9" t="s">
        <v>2081</v>
      </c>
      <c r="F124" s="9" t="s">
        <v>67</v>
      </c>
      <c r="G124" s="9" t="s">
        <v>49</v>
      </c>
    </row>
    <row r="125" spans="2:7" x14ac:dyDescent="0.25">
      <c r="B125" s="9" t="s">
        <v>369</v>
      </c>
      <c r="C125" s="9" t="s">
        <v>12</v>
      </c>
      <c r="D125" s="9">
        <v>91000</v>
      </c>
      <c r="E125" s="9" t="s">
        <v>2081</v>
      </c>
      <c r="F125" s="9" t="s">
        <v>64</v>
      </c>
      <c r="G125" s="9" t="s">
        <v>49</v>
      </c>
    </row>
    <row r="126" spans="2:7" x14ac:dyDescent="0.25">
      <c r="B126" s="9" t="s">
        <v>370</v>
      </c>
      <c r="C126" s="9" t="s">
        <v>12</v>
      </c>
      <c r="D126" s="9">
        <v>274000</v>
      </c>
      <c r="E126" s="9" t="s">
        <v>2082</v>
      </c>
      <c r="F126" s="9" t="s">
        <v>66</v>
      </c>
      <c r="G126" s="9" t="s">
        <v>58</v>
      </c>
    </row>
    <row r="127" spans="2:7" x14ac:dyDescent="0.25">
      <c r="B127" s="9" t="s">
        <v>373</v>
      </c>
      <c r="C127" s="9" t="s">
        <v>14</v>
      </c>
      <c r="D127" s="9">
        <v>225000</v>
      </c>
      <c r="E127" s="9" t="s">
        <v>2082</v>
      </c>
      <c r="F127" s="9" t="s">
        <v>64</v>
      </c>
      <c r="G127" s="9" t="s">
        <v>53</v>
      </c>
    </row>
    <row r="128" spans="2:7" x14ac:dyDescent="0.25">
      <c r="B128" s="9" t="s">
        <v>375</v>
      </c>
      <c r="C128" s="9" t="s">
        <v>20</v>
      </c>
      <c r="D128" s="9">
        <v>60000</v>
      </c>
      <c r="E128" s="9" t="s">
        <v>2083</v>
      </c>
      <c r="F128" s="9" t="s">
        <v>65</v>
      </c>
      <c r="G128" s="9" t="s">
        <v>53</v>
      </c>
    </row>
    <row r="129" spans="2:7" x14ac:dyDescent="0.25">
      <c r="B129" s="9" t="s">
        <v>377</v>
      </c>
      <c r="C129" s="9" t="s">
        <v>18</v>
      </c>
      <c r="D129" s="9">
        <v>232000</v>
      </c>
      <c r="E129" s="9" t="s">
        <v>2083</v>
      </c>
      <c r="F129" s="9" t="s">
        <v>66</v>
      </c>
      <c r="G129" s="9" t="s">
        <v>58</v>
      </c>
    </row>
    <row r="130" spans="2:7" x14ac:dyDescent="0.25">
      <c r="B130" s="9" t="s">
        <v>379</v>
      </c>
      <c r="C130" s="9" t="s">
        <v>12</v>
      </c>
      <c r="D130" s="9">
        <v>258000</v>
      </c>
      <c r="E130" s="9" t="s">
        <v>2084</v>
      </c>
      <c r="F130" s="9" t="s">
        <v>63</v>
      </c>
      <c r="G130" s="9" t="s">
        <v>53</v>
      </c>
    </row>
    <row r="131" spans="2:7" x14ac:dyDescent="0.25">
      <c r="B131" s="9" t="s">
        <v>381</v>
      </c>
      <c r="C131" s="9" t="s">
        <v>14</v>
      </c>
      <c r="D131" s="9">
        <v>214000</v>
      </c>
      <c r="E131" s="9" t="s">
        <v>2085</v>
      </c>
      <c r="F131" s="9" t="s">
        <v>66</v>
      </c>
      <c r="G131" s="9" t="s">
        <v>45</v>
      </c>
    </row>
    <row r="132" spans="2:7" x14ac:dyDescent="0.25">
      <c r="B132" s="9" t="s">
        <v>384</v>
      </c>
      <c r="C132" s="9" t="s">
        <v>12</v>
      </c>
      <c r="D132" s="9">
        <v>160000</v>
      </c>
      <c r="E132" s="9" t="s">
        <v>2085</v>
      </c>
      <c r="F132" s="9" t="s">
        <v>62</v>
      </c>
      <c r="G132" s="9" t="s">
        <v>53</v>
      </c>
    </row>
    <row r="133" spans="2:7" x14ac:dyDescent="0.25">
      <c r="B133" s="9" t="s">
        <v>386</v>
      </c>
      <c r="C133" s="9" t="s">
        <v>22</v>
      </c>
      <c r="D133" s="9">
        <v>172000</v>
      </c>
      <c r="E133" s="9" t="s">
        <v>2086</v>
      </c>
      <c r="F133" s="9" t="s">
        <v>65</v>
      </c>
      <c r="G133" s="9" t="s">
        <v>55</v>
      </c>
    </row>
    <row r="134" spans="2:7" x14ac:dyDescent="0.25">
      <c r="B134" s="9" t="s">
        <v>389</v>
      </c>
      <c r="C134" s="9" t="s">
        <v>18</v>
      </c>
      <c r="D134" s="9">
        <v>218000</v>
      </c>
      <c r="E134" s="9" t="s">
        <v>2086</v>
      </c>
      <c r="F134" s="9" t="s">
        <v>62</v>
      </c>
      <c r="G134" s="9" t="s">
        <v>53</v>
      </c>
    </row>
    <row r="135" spans="2:7" x14ac:dyDescent="0.25">
      <c r="B135" s="9" t="s">
        <v>391</v>
      </c>
      <c r="C135" s="9" t="s">
        <v>14</v>
      </c>
      <c r="D135" s="9">
        <v>99000</v>
      </c>
      <c r="E135" s="9" t="s">
        <v>2087</v>
      </c>
      <c r="F135" s="9" t="s">
        <v>62</v>
      </c>
      <c r="G135" s="9" t="s">
        <v>61</v>
      </c>
    </row>
    <row r="136" spans="2:7" x14ac:dyDescent="0.25">
      <c r="B136" s="9" t="s">
        <v>393</v>
      </c>
      <c r="C136" s="9" t="s">
        <v>16</v>
      </c>
      <c r="D136" s="9">
        <v>252000</v>
      </c>
      <c r="E136" s="9" t="s">
        <v>2087</v>
      </c>
      <c r="F136" s="9" t="s">
        <v>66</v>
      </c>
      <c r="G136" s="9" t="s">
        <v>61</v>
      </c>
    </row>
    <row r="137" spans="2:7" x14ac:dyDescent="0.25">
      <c r="B137" s="9" t="s">
        <v>394</v>
      </c>
      <c r="C137" s="9" t="s">
        <v>12</v>
      </c>
      <c r="D137" s="9">
        <v>58000</v>
      </c>
      <c r="E137" s="9" t="s">
        <v>2088</v>
      </c>
      <c r="F137" s="9" t="s">
        <v>62</v>
      </c>
      <c r="G137" s="9" t="s">
        <v>51</v>
      </c>
    </row>
    <row r="138" spans="2:7" x14ac:dyDescent="0.25">
      <c r="B138" s="9" t="s">
        <v>396</v>
      </c>
      <c r="C138" s="9" t="s">
        <v>24</v>
      </c>
      <c r="D138" s="9">
        <v>272000</v>
      </c>
      <c r="E138" s="9" t="s">
        <v>2089</v>
      </c>
      <c r="F138" s="9" t="s">
        <v>62</v>
      </c>
      <c r="G138" s="9" t="s">
        <v>47</v>
      </c>
    </row>
    <row r="139" spans="2:7" x14ac:dyDescent="0.25">
      <c r="B139" s="9" t="s">
        <v>399</v>
      </c>
      <c r="C139" s="9" t="s">
        <v>18</v>
      </c>
      <c r="D139" s="9">
        <v>245000</v>
      </c>
      <c r="E139" s="9" t="s">
        <v>2089</v>
      </c>
      <c r="F139" s="9" t="s">
        <v>64</v>
      </c>
      <c r="G139" s="9" t="s">
        <v>43</v>
      </c>
    </row>
    <row r="140" spans="2:7" x14ac:dyDescent="0.25">
      <c r="B140" s="9" t="s">
        <v>401</v>
      </c>
      <c r="C140" s="9" t="s">
        <v>14</v>
      </c>
      <c r="D140" s="9">
        <v>199000</v>
      </c>
      <c r="E140" s="9" t="s">
        <v>2090</v>
      </c>
      <c r="F140" s="9" t="s">
        <v>62</v>
      </c>
      <c r="G140" s="9" t="s">
        <v>55</v>
      </c>
    </row>
    <row r="141" spans="2:7" x14ac:dyDescent="0.25">
      <c r="B141" s="9" t="s">
        <v>403</v>
      </c>
      <c r="C141" s="9" t="s">
        <v>14</v>
      </c>
      <c r="D141" s="9">
        <v>55000</v>
      </c>
      <c r="E141" s="9" t="s">
        <v>2091</v>
      </c>
      <c r="F141" s="9" t="s">
        <v>66</v>
      </c>
      <c r="G141" s="9" t="s">
        <v>61</v>
      </c>
    </row>
    <row r="142" spans="2:7" x14ac:dyDescent="0.25">
      <c r="B142" s="9" t="s">
        <v>405</v>
      </c>
      <c r="C142" s="9" t="s">
        <v>24</v>
      </c>
      <c r="D142" s="9">
        <v>167000</v>
      </c>
      <c r="E142" s="9" t="s">
        <v>2091</v>
      </c>
      <c r="F142" s="9" t="s">
        <v>63</v>
      </c>
      <c r="G142" s="9" t="s">
        <v>45</v>
      </c>
    </row>
    <row r="143" spans="2:7" x14ac:dyDescent="0.25">
      <c r="B143" s="9" t="s">
        <v>406</v>
      </c>
      <c r="C143" s="9" t="s">
        <v>14</v>
      </c>
      <c r="D143" s="9">
        <v>270000</v>
      </c>
      <c r="E143" s="9" t="s">
        <v>2092</v>
      </c>
      <c r="F143" s="9" t="s">
        <v>62</v>
      </c>
      <c r="G143" s="9" t="s">
        <v>43</v>
      </c>
    </row>
    <row r="144" spans="2:7" x14ac:dyDescent="0.25">
      <c r="B144" s="9" t="s">
        <v>408</v>
      </c>
      <c r="C144" s="9" t="s">
        <v>14</v>
      </c>
      <c r="D144" s="9">
        <v>208000</v>
      </c>
      <c r="E144" s="9" t="s">
        <v>2092</v>
      </c>
      <c r="F144" s="9" t="s">
        <v>63</v>
      </c>
      <c r="G144" s="9" t="s">
        <v>53</v>
      </c>
    </row>
    <row r="145" spans="2:7" x14ac:dyDescent="0.25">
      <c r="B145" s="9" t="s">
        <v>410</v>
      </c>
      <c r="C145" s="9" t="s">
        <v>14</v>
      </c>
      <c r="D145" s="9">
        <v>269000</v>
      </c>
      <c r="E145" s="9" t="s">
        <v>2092</v>
      </c>
      <c r="F145" s="9" t="s">
        <v>62</v>
      </c>
      <c r="G145" s="9" t="s">
        <v>51</v>
      </c>
    </row>
    <row r="146" spans="2:7" x14ac:dyDescent="0.25">
      <c r="B146" s="9" t="s">
        <v>412</v>
      </c>
      <c r="C146" s="9" t="s">
        <v>18</v>
      </c>
      <c r="D146" s="9">
        <v>200000</v>
      </c>
      <c r="E146" s="9" t="s">
        <v>2093</v>
      </c>
      <c r="F146" s="9" t="s">
        <v>66</v>
      </c>
      <c r="G146" s="9" t="s">
        <v>47</v>
      </c>
    </row>
    <row r="147" spans="2:7" x14ac:dyDescent="0.25">
      <c r="B147" s="9" t="s">
        <v>415</v>
      </c>
      <c r="C147" s="9" t="s">
        <v>22</v>
      </c>
      <c r="D147" s="9">
        <v>213000</v>
      </c>
      <c r="E147" s="9" t="s">
        <v>2094</v>
      </c>
      <c r="F147" s="9" t="s">
        <v>64</v>
      </c>
      <c r="G147" s="9" t="s">
        <v>61</v>
      </c>
    </row>
    <row r="148" spans="2:7" x14ac:dyDescent="0.25">
      <c r="B148" s="9" t="s">
        <v>417</v>
      </c>
      <c r="C148" s="9" t="s">
        <v>24</v>
      </c>
      <c r="D148" s="9">
        <v>144000</v>
      </c>
      <c r="E148" s="9" t="s">
        <v>2095</v>
      </c>
      <c r="F148" s="9" t="s">
        <v>65</v>
      </c>
      <c r="G148" s="9" t="s">
        <v>53</v>
      </c>
    </row>
    <row r="149" spans="2:7" x14ac:dyDescent="0.25">
      <c r="B149" s="9" t="s">
        <v>420</v>
      </c>
      <c r="C149" s="9" t="s">
        <v>12</v>
      </c>
      <c r="D149" s="9">
        <v>149000</v>
      </c>
      <c r="E149" s="9" t="s">
        <v>2095</v>
      </c>
      <c r="F149" s="9" t="s">
        <v>67</v>
      </c>
      <c r="G149" s="9" t="s">
        <v>45</v>
      </c>
    </row>
    <row r="150" spans="2:7" x14ac:dyDescent="0.25">
      <c r="B150" s="9" t="s">
        <v>422</v>
      </c>
      <c r="C150" s="9" t="s">
        <v>16</v>
      </c>
      <c r="D150" s="9">
        <v>102000</v>
      </c>
      <c r="E150" s="9" t="s">
        <v>2096</v>
      </c>
      <c r="F150" s="9" t="s">
        <v>63</v>
      </c>
      <c r="G150" s="9" t="s">
        <v>53</v>
      </c>
    </row>
    <row r="151" spans="2:7" x14ac:dyDescent="0.25">
      <c r="B151" s="9" t="s">
        <v>425</v>
      </c>
      <c r="C151" s="9" t="s">
        <v>16</v>
      </c>
      <c r="D151" s="9">
        <v>120000</v>
      </c>
      <c r="E151" s="9" t="s">
        <v>2097</v>
      </c>
      <c r="F151" s="9" t="s">
        <v>67</v>
      </c>
      <c r="G151" s="9" t="s">
        <v>45</v>
      </c>
    </row>
    <row r="152" spans="2:7" x14ac:dyDescent="0.25">
      <c r="B152" s="9" t="s">
        <v>427</v>
      </c>
      <c r="C152" s="9" t="s">
        <v>18</v>
      </c>
      <c r="D152" s="9">
        <v>102000</v>
      </c>
      <c r="E152" s="9" t="s">
        <v>2097</v>
      </c>
      <c r="F152" s="9" t="s">
        <v>62</v>
      </c>
      <c r="G152" s="9" t="s">
        <v>51</v>
      </c>
    </row>
    <row r="153" spans="2:7" x14ac:dyDescent="0.25">
      <c r="B153" s="9" t="s">
        <v>428</v>
      </c>
      <c r="C153" s="9" t="s">
        <v>20</v>
      </c>
      <c r="D153" s="9">
        <v>106000</v>
      </c>
      <c r="E153" s="9" t="s">
        <v>2098</v>
      </c>
      <c r="F153" s="9" t="s">
        <v>65</v>
      </c>
      <c r="G153" s="9" t="s">
        <v>55</v>
      </c>
    </row>
    <row r="154" spans="2:7" x14ac:dyDescent="0.25">
      <c r="B154" s="9" t="s">
        <v>430</v>
      </c>
      <c r="C154" s="9" t="s">
        <v>18</v>
      </c>
      <c r="D154" s="9">
        <v>172000</v>
      </c>
      <c r="E154" s="9" t="s">
        <v>2098</v>
      </c>
      <c r="F154" s="9" t="s">
        <v>66</v>
      </c>
      <c r="G154" s="9" t="s">
        <v>43</v>
      </c>
    </row>
    <row r="155" spans="2:7" x14ac:dyDescent="0.25">
      <c r="B155" s="9" t="s">
        <v>431</v>
      </c>
      <c r="C155" s="9" t="s">
        <v>14</v>
      </c>
      <c r="D155" s="9">
        <v>199000</v>
      </c>
      <c r="E155" s="9" t="s">
        <v>2099</v>
      </c>
      <c r="F155" s="9" t="s">
        <v>65</v>
      </c>
      <c r="G155" s="9" t="s">
        <v>53</v>
      </c>
    </row>
    <row r="156" spans="2:7" x14ac:dyDescent="0.25">
      <c r="B156" s="9" t="s">
        <v>433</v>
      </c>
      <c r="C156" s="9" t="s">
        <v>20</v>
      </c>
      <c r="D156" s="9">
        <v>75000</v>
      </c>
      <c r="E156" s="9" t="s">
        <v>2100</v>
      </c>
      <c r="F156" s="9" t="s">
        <v>63</v>
      </c>
      <c r="G156" s="9" t="s">
        <v>43</v>
      </c>
    </row>
    <row r="157" spans="2:7" x14ac:dyDescent="0.25">
      <c r="B157" s="9" t="s">
        <v>436</v>
      </c>
      <c r="C157" s="9" t="s">
        <v>12</v>
      </c>
      <c r="D157" s="9">
        <v>273000</v>
      </c>
      <c r="E157" s="9" t="s">
        <v>2101</v>
      </c>
      <c r="F157" s="9" t="s">
        <v>63</v>
      </c>
      <c r="G157" s="9" t="s">
        <v>49</v>
      </c>
    </row>
    <row r="158" spans="2:7" x14ac:dyDescent="0.25">
      <c r="B158" s="9" t="s">
        <v>438</v>
      </c>
      <c r="C158" s="9" t="s">
        <v>12</v>
      </c>
      <c r="D158" s="9">
        <v>228000</v>
      </c>
      <c r="E158" s="9" t="s">
        <v>2102</v>
      </c>
      <c r="F158" s="9" t="s">
        <v>65</v>
      </c>
      <c r="G158" s="9" t="s">
        <v>49</v>
      </c>
    </row>
    <row r="159" spans="2:7" x14ac:dyDescent="0.25">
      <c r="B159" s="9" t="s">
        <v>440</v>
      </c>
      <c r="C159" s="9" t="s">
        <v>20</v>
      </c>
      <c r="D159" s="9">
        <v>228000</v>
      </c>
      <c r="E159" s="9" t="s">
        <v>2103</v>
      </c>
      <c r="F159" s="9" t="s">
        <v>64</v>
      </c>
      <c r="G159" s="9" t="s">
        <v>49</v>
      </c>
    </row>
    <row r="160" spans="2:7" x14ac:dyDescent="0.25">
      <c r="B160" s="9" t="s">
        <v>442</v>
      </c>
      <c r="C160" s="9" t="s">
        <v>14</v>
      </c>
      <c r="D160" s="9">
        <v>94000</v>
      </c>
      <c r="E160" s="9" t="s">
        <v>2104</v>
      </c>
      <c r="F160" s="9" t="s">
        <v>66</v>
      </c>
      <c r="G160" s="9" t="s">
        <v>47</v>
      </c>
    </row>
    <row r="161" spans="2:7" x14ac:dyDescent="0.25">
      <c r="B161" s="9" t="s">
        <v>445</v>
      </c>
      <c r="C161" s="9" t="s">
        <v>18</v>
      </c>
      <c r="D161" s="9">
        <v>104000</v>
      </c>
      <c r="E161" s="9" t="s">
        <v>2104</v>
      </c>
      <c r="F161" s="9" t="s">
        <v>63</v>
      </c>
      <c r="G161" s="9" t="s">
        <v>53</v>
      </c>
    </row>
    <row r="162" spans="2:7" x14ac:dyDescent="0.25">
      <c r="B162" s="9" t="s">
        <v>447</v>
      </c>
      <c r="C162" s="9" t="s">
        <v>20</v>
      </c>
      <c r="D162" s="9">
        <v>79000</v>
      </c>
      <c r="E162" s="9" t="s">
        <v>2104</v>
      </c>
      <c r="F162" s="9" t="s">
        <v>63</v>
      </c>
      <c r="G162" s="9" t="s">
        <v>53</v>
      </c>
    </row>
    <row r="163" spans="2:7" x14ac:dyDescent="0.25">
      <c r="B163" s="9" t="s">
        <v>448</v>
      </c>
      <c r="C163" s="9" t="s">
        <v>24</v>
      </c>
      <c r="D163" s="9">
        <v>30000</v>
      </c>
      <c r="E163" s="9" t="s">
        <v>2105</v>
      </c>
      <c r="F163" s="9" t="s">
        <v>63</v>
      </c>
      <c r="G163" s="9" t="s">
        <v>51</v>
      </c>
    </row>
    <row r="164" spans="2:7" x14ac:dyDescent="0.25">
      <c r="B164" s="9" t="s">
        <v>450</v>
      </c>
      <c r="C164" s="9" t="s">
        <v>24</v>
      </c>
      <c r="D164" s="9">
        <v>225000</v>
      </c>
      <c r="E164" s="9" t="s">
        <v>2106</v>
      </c>
      <c r="F164" s="9" t="s">
        <v>63</v>
      </c>
      <c r="G164" s="9" t="s">
        <v>49</v>
      </c>
    </row>
    <row r="165" spans="2:7" x14ac:dyDescent="0.25">
      <c r="B165" s="9" t="s">
        <v>452</v>
      </c>
      <c r="C165" s="9" t="s">
        <v>12</v>
      </c>
      <c r="D165" s="9">
        <v>121000</v>
      </c>
      <c r="E165" s="9" t="s">
        <v>2107</v>
      </c>
      <c r="F165" s="9" t="s">
        <v>67</v>
      </c>
      <c r="G165" s="9" t="s">
        <v>51</v>
      </c>
    </row>
    <row r="166" spans="2:7" x14ac:dyDescent="0.25">
      <c r="B166" s="9" t="s">
        <v>455</v>
      </c>
      <c r="C166" s="9" t="s">
        <v>14</v>
      </c>
      <c r="D166" s="9">
        <v>286000</v>
      </c>
      <c r="E166" s="9" t="s">
        <v>2107</v>
      </c>
      <c r="F166" s="9" t="s">
        <v>64</v>
      </c>
      <c r="G166" s="9" t="s">
        <v>43</v>
      </c>
    </row>
    <row r="167" spans="2:7" x14ac:dyDescent="0.25">
      <c r="B167" s="9" t="s">
        <v>457</v>
      </c>
      <c r="C167" s="9" t="s">
        <v>24</v>
      </c>
      <c r="D167" s="9">
        <v>152000</v>
      </c>
      <c r="E167" s="9" t="s">
        <v>2107</v>
      </c>
      <c r="F167" s="9" t="s">
        <v>62</v>
      </c>
      <c r="G167" s="9" t="s">
        <v>49</v>
      </c>
    </row>
    <row r="168" spans="2:7" x14ac:dyDescent="0.25">
      <c r="B168" s="9" t="s">
        <v>458</v>
      </c>
      <c r="C168" s="9" t="s">
        <v>18</v>
      </c>
      <c r="D168" s="9">
        <v>264000</v>
      </c>
      <c r="E168" s="9" t="s">
        <v>2108</v>
      </c>
      <c r="F168" s="9" t="s">
        <v>64</v>
      </c>
      <c r="G168" s="9" t="s">
        <v>47</v>
      </c>
    </row>
    <row r="169" spans="2:7" x14ac:dyDescent="0.25">
      <c r="B169" s="9" t="s">
        <v>460</v>
      </c>
      <c r="C169" s="9" t="s">
        <v>18</v>
      </c>
      <c r="D169" s="9">
        <v>172000</v>
      </c>
      <c r="E169" s="9" t="s">
        <v>2108</v>
      </c>
      <c r="F169" s="9" t="s">
        <v>67</v>
      </c>
      <c r="G169" s="9" t="s">
        <v>55</v>
      </c>
    </row>
    <row r="170" spans="2:7" x14ac:dyDescent="0.25">
      <c r="B170" s="9" t="s">
        <v>461</v>
      </c>
      <c r="C170" s="9" t="s">
        <v>22</v>
      </c>
      <c r="D170" s="9">
        <v>170000</v>
      </c>
      <c r="E170" s="9" t="s">
        <v>2109</v>
      </c>
      <c r="F170" s="9" t="s">
        <v>63</v>
      </c>
      <c r="G170" s="9" t="s">
        <v>61</v>
      </c>
    </row>
    <row r="171" spans="2:7" x14ac:dyDescent="0.25">
      <c r="B171" s="9" t="s">
        <v>463</v>
      </c>
      <c r="C171" s="9" t="s">
        <v>24</v>
      </c>
      <c r="D171" s="9">
        <v>111000</v>
      </c>
      <c r="E171" s="9" t="s">
        <v>2110</v>
      </c>
      <c r="F171" s="9" t="s">
        <v>66</v>
      </c>
      <c r="G171" s="9" t="s">
        <v>53</v>
      </c>
    </row>
    <row r="172" spans="2:7" x14ac:dyDescent="0.25">
      <c r="B172" s="9" t="s">
        <v>465</v>
      </c>
      <c r="C172" s="9" t="s">
        <v>14</v>
      </c>
      <c r="D172" s="9">
        <v>153000</v>
      </c>
      <c r="E172" s="9" t="s">
        <v>2110</v>
      </c>
      <c r="F172" s="9" t="s">
        <v>62</v>
      </c>
      <c r="G172" s="9" t="s">
        <v>47</v>
      </c>
    </row>
    <row r="173" spans="2:7" x14ac:dyDescent="0.25">
      <c r="B173" s="9" t="s">
        <v>467</v>
      </c>
      <c r="C173" s="9" t="s">
        <v>22</v>
      </c>
      <c r="D173" s="9">
        <v>273000</v>
      </c>
      <c r="E173" s="9" t="s">
        <v>2111</v>
      </c>
      <c r="F173" s="9" t="s">
        <v>65</v>
      </c>
      <c r="G173" s="9" t="s">
        <v>43</v>
      </c>
    </row>
    <row r="174" spans="2:7" x14ac:dyDescent="0.25">
      <c r="B174" s="9" t="s">
        <v>469</v>
      </c>
      <c r="C174" s="9" t="s">
        <v>20</v>
      </c>
      <c r="D174" s="9">
        <v>261000</v>
      </c>
      <c r="E174" s="9" t="s">
        <v>2112</v>
      </c>
      <c r="F174" s="9" t="s">
        <v>63</v>
      </c>
      <c r="G174" s="9" t="s">
        <v>47</v>
      </c>
    </row>
    <row r="175" spans="2:7" x14ac:dyDescent="0.25">
      <c r="B175" s="9" t="s">
        <v>472</v>
      </c>
      <c r="C175" s="9" t="s">
        <v>18</v>
      </c>
      <c r="D175" s="9">
        <v>124000</v>
      </c>
      <c r="E175" s="9" t="s">
        <v>2112</v>
      </c>
      <c r="F175" s="9" t="s">
        <v>65</v>
      </c>
      <c r="G175" s="9" t="s">
        <v>45</v>
      </c>
    </row>
    <row r="176" spans="2:7" x14ac:dyDescent="0.25">
      <c r="B176" s="9" t="s">
        <v>473</v>
      </c>
      <c r="C176" s="9" t="s">
        <v>12</v>
      </c>
      <c r="D176" s="9">
        <v>249000</v>
      </c>
      <c r="E176" s="9" t="s">
        <v>2113</v>
      </c>
      <c r="F176" s="9" t="s">
        <v>67</v>
      </c>
      <c r="G176" s="9" t="s">
        <v>43</v>
      </c>
    </row>
    <row r="177" spans="2:7" x14ac:dyDescent="0.25">
      <c r="B177" s="9" t="s">
        <v>475</v>
      </c>
      <c r="C177" s="9" t="s">
        <v>12</v>
      </c>
      <c r="D177" s="9">
        <v>30000</v>
      </c>
      <c r="E177" s="9" t="s">
        <v>2114</v>
      </c>
      <c r="F177" s="9" t="s">
        <v>63</v>
      </c>
      <c r="G177" s="9" t="s">
        <v>47</v>
      </c>
    </row>
    <row r="178" spans="2:7" x14ac:dyDescent="0.25">
      <c r="B178" s="9" t="s">
        <v>477</v>
      </c>
      <c r="C178" s="9" t="s">
        <v>18</v>
      </c>
      <c r="D178" s="9">
        <v>166000</v>
      </c>
      <c r="E178" s="9" t="s">
        <v>2115</v>
      </c>
      <c r="F178" s="9" t="s">
        <v>66</v>
      </c>
      <c r="G178" s="9" t="s">
        <v>61</v>
      </c>
    </row>
    <row r="179" spans="2:7" x14ac:dyDescent="0.25">
      <c r="B179" s="9" t="s">
        <v>480</v>
      </c>
      <c r="C179" s="9" t="s">
        <v>18</v>
      </c>
      <c r="D179" s="9">
        <v>71000</v>
      </c>
      <c r="E179" s="9" t="s">
        <v>2116</v>
      </c>
      <c r="F179" s="9" t="s">
        <v>64</v>
      </c>
      <c r="G179" s="9" t="s">
        <v>58</v>
      </c>
    </row>
    <row r="180" spans="2:7" x14ac:dyDescent="0.25">
      <c r="B180" s="9" t="s">
        <v>483</v>
      </c>
      <c r="C180" s="9" t="s">
        <v>20</v>
      </c>
      <c r="D180" s="9">
        <v>136000</v>
      </c>
      <c r="E180" s="9" t="s">
        <v>2116</v>
      </c>
      <c r="F180" s="9" t="s">
        <v>67</v>
      </c>
      <c r="G180" s="9" t="s">
        <v>55</v>
      </c>
    </row>
    <row r="181" spans="2:7" x14ac:dyDescent="0.25">
      <c r="B181" s="9" t="s">
        <v>485</v>
      </c>
      <c r="C181" s="9" t="s">
        <v>24</v>
      </c>
      <c r="D181" s="9">
        <v>102000</v>
      </c>
      <c r="E181" s="9" t="s">
        <v>2116</v>
      </c>
      <c r="F181" s="9" t="s">
        <v>62</v>
      </c>
      <c r="G181" s="9" t="s">
        <v>61</v>
      </c>
    </row>
    <row r="182" spans="2:7" x14ac:dyDescent="0.25">
      <c r="B182" s="9" t="s">
        <v>486</v>
      </c>
      <c r="C182" s="9" t="s">
        <v>12</v>
      </c>
      <c r="D182" s="9">
        <v>238000</v>
      </c>
      <c r="E182" s="9" t="s">
        <v>2116</v>
      </c>
      <c r="F182" s="9" t="s">
        <v>64</v>
      </c>
      <c r="G182" s="9" t="s">
        <v>55</v>
      </c>
    </row>
    <row r="183" spans="2:7" x14ac:dyDescent="0.25">
      <c r="B183" s="9" t="s">
        <v>487</v>
      </c>
      <c r="C183" s="9" t="s">
        <v>18</v>
      </c>
      <c r="D183" s="9">
        <v>100000</v>
      </c>
      <c r="E183" s="9" t="s">
        <v>2116</v>
      </c>
      <c r="F183" s="9" t="s">
        <v>63</v>
      </c>
      <c r="G183" s="9" t="s">
        <v>53</v>
      </c>
    </row>
    <row r="184" spans="2:7" x14ac:dyDescent="0.25">
      <c r="B184" s="9" t="s">
        <v>488</v>
      </c>
      <c r="C184" s="9" t="s">
        <v>14</v>
      </c>
      <c r="D184" s="9">
        <v>63000</v>
      </c>
      <c r="E184" s="9" t="s">
        <v>2117</v>
      </c>
      <c r="F184" s="9" t="s">
        <v>62</v>
      </c>
      <c r="G184" s="9" t="s">
        <v>49</v>
      </c>
    </row>
    <row r="185" spans="2:7" x14ac:dyDescent="0.25">
      <c r="B185" s="9" t="s">
        <v>491</v>
      </c>
      <c r="C185" s="9" t="s">
        <v>18</v>
      </c>
      <c r="D185" s="9">
        <v>65000</v>
      </c>
      <c r="E185" s="9" t="s">
        <v>2117</v>
      </c>
      <c r="F185" s="9" t="s">
        <v>65</v>
      </c>
      <c r="G185" s="9" t="s">
        <v>58</v>
      </c>
    </row>
    <row r="186" spans="2:7" x14ac:dyDescent="0.25">
      <c r="B186" s="9" t="s">
        <v>493</v>
      </c>
      <c r="C186" s="9" t="s">
        <v>16</v>
      </c>
      <c r="D186" s="9">
        <v>266000</v>
      </c>
      <c r="E186" s="9" t="s">
        <v>2118</v>
      </c>
      <c r="F186" s="9" t="s">
        <v>64</v>
      </c>
      <c r="G186" s="9" t="s">
        <v>45</v>
      </c>
    </row>
    <row r="187" spans="2:7" x14ac:dyDescent="0.25">
      <c r="B187" s="9" t="s">
        <v>496</v>
      </c>
      <c r="C187" s="9" t="s">
        <v>24</v>
      </c>
      <c r="D187" s="9">
        <v>259000</v>
      </c>
      <c r="E187" s="9" t="s">
        <v>2118</v>
      </c>
      <c r="F187" s="9" t="s">
        <v>62</v>
      </c>
      <c r="G187" s="9" t="s">
        <v>61</v>
      </c>
    </row>
    <row r="188" spans="2:7" x14ac:dyDescent="0.25">
      <c r="B188" s="9" t="s">
        <v>498</v>
      </c>
      <c r="C188" s="9" t="s">
        <v>16</v>
      </c>
      <c r="D188" s="9">
        <v>216000</v>
      </c>
      <c r="E188" s="9" t="s">
        <v>2119</v>
      </c>
      <c r="F188" s="9" t="s">
        <v>66</v>
      </c>
      <c r="G188" s="9" t="s">
        <v>58</v>
      </c>
    </row>
    <row r="189" spans="2:7" x14ac:dyDescent="0.25">
      <c r="B189" s="9" t="s">
        <v>500</v>
      </c>
      <c r="C189" s="9" t="s">
        <v>20</v>
      </c>
      <c r="D189" s="9">
        <v>260000</v>
      </c>
      <c r="E189" s="9" t="s">
        <v>2119</v>
      </c>
      <c r="F189" s="9" t="s">
        <v>63</v>
      </c>
      <c r="G189" s="9" t="s">
        <v>47</v>
      </c>
    </row>
    <row r="190" spans="2:7" x14ac:dyDescent="0.25">
      <c r="B190" s="9" t="s">
        <v>502</v>
      </c>
      <c r="C190" s="9" t="s">
        <v>16</v>
      </c>
      <c r="D190" s="9">
        <v>132000</v>
      </c>
      <c r="E190" s="9" t="s">
        <v>2120</v>
      </c>
      <c r="F190" s="9" t="s">
        <v>67</v>
      </c>
      <c r="G190" s="9" t="s">
        <v>53</v>
      </c>
    </row>
    <row r="191" spans="2:7" x14ac:dyDescent="0.25">
      <c r="B191" s="9" t="s">
        <v>505</v>
      </c>
      <c r="C191" s="9" t="s">
        <v>14</v>
      </c>
      <c r="D191" s="9">
        <v>139000</v>
      </c>
      <c r="E191" s="9" t="s">
        <v>2120</v>
      </c>
      <c r="F191" s="9" t="s">
        <v>66</v>
      </c>
      <c r="G191" s="9" t="s">
        <v>51</v>
      </c>
    </row>
    <row r="192" spans="2:7" x14ac:dyDescent="0.25">
      <c r="B192" s="9" t="s">
        <v>506</v>
      </c>
      <c r="C192" s="9" t="s">
        <v>12</v>
      </c>
      <c r="D192" s="9">
        <v>145000</v>
      </c>
      <c r="E192" s="9" t="s">
        <v>2121</v>
      </c>
      <c r="F192" s="9" t="s">
        <v>63</v>
      </c>
      <c r="G192" s="9" t="s">
        <v>45</v>
      </c>
    </row>
    <row r="193" spans="2:7" x14ac:dyDescent="0.25">
      <c r="B193" s="9" t="s">
        <v>509</v>
      </c>
      <c r="C193" s="9" t="s">
        <v>12</v>
      </c>
      <c r="D193" s="9">
        <v>92000</v>
      </c>
      <c r="E193" s="9" t="s">
        <v>2122</v>
      </c>
      <c r="F193" s="9" t="s">
        <v>66</v>
      </c>
      <c r="G193" s="9" t="s">
        <v>58</v>
      </c>
    </row>
    <row r="194" spans="2:7" x14ac:dyDescent="0.25">
      <c r="B194" s="9" t="s">
        <v>511</v>
      </c>
      <c r="C194" s="9" t="s">
        <v>14</v>
      </c>
      <c r="D194" s="9">
        <v>197000</v>
      </c>
      <c r="E194" s="9" t="s">
        <v>2123</v>
      </c>
      <c r="F194" s="9" t="s">
        <v>62</v>
      </c>
      <c r="G194" s="9" t="s">
        <v>45</v>
      </c>
    </row>
    <row r="195" spans="2:7" x14ac:dyDescent="0.25">
      <c r="B195" s="9" t="s">
        <v>514</v>
      </c>
      <c r="C195" s="9" t="s">
        <v>20</v>
      </c>
      <c r="D195" s="9">
        <v>234000</v>
      </c>
      <c r="E195" s="9" t="s">
        <v>2123</v>
      </c>
      <c r="F195" s="9" t="s">
        <v>62</v>
      </c>
      <c r="G195" s="9" t="s">
        <v>43</v>
      </c>
    </row>
    <row r="196" spans="2:7" x14ac:dyDescent="0.25">
      <c r="B196" s="9" t="s">
        <v>516</v>
      </c>
      <c r="C196" s="9" t="s">
        <v>18</v>
      </c>
      <c r="D196" s="9">
        <v>142000</v>
      </c>
      <c r="E196" s="9" t="s">
        <v>2124</v>
      </c>
      <c r="F196" s="9" t="s">
        <v>65</v>
      </c>
      <c r="G196" s="9" t="s">
        <v>61</v>
      </c>
    </row>
    <row r="197" spans="2:7" x14ac:dyDescent="0.25">
      <c r="B197" s="9" t="s">
        <v>519</v>
      </c>
      <c r="C197" s="9" t="s">
        <v>18</v>
      </c>
      <c r="D197" s="9">
        <v>84000</v>
      </c>
      <c r="E197" s="9" t="s">
        <v>2125</v>
      </c>
      <c r="F197" s="9" t="s">
        <v>62</v>
      </c>
      <c r="G197" s="9" t="s">
        <v>45</v>
      </c>
    </row>
    <row r="198" spans="2:7" x14ac:dyDescent="0.25">
      <c r="B198" s="9" t="s">
        <v>521</v>
      </c>
      <c r="C198" s="9" t="s">
        <v>12</v>
      </c>
      <c r="D198" s="9">
        <v>243000</v>
      </c>
      <c r="E198" s="9" t="s">
        <v>2126</v>
      </c>
      <c r="F198" s="9" t="s">
        <v>62</v>
      </c>
      <c r="G198" s="9" t="s">
        <v>53</v>
      </c>
    </row>
    <row r="199" spans="2:7" x14ac:dyDescent="0.25">
      <c r="B199" s="9" t="s">
        <v>524</v>
      </c>
      <c r="C199" s="9" t="s">
        <v>24</v>
      </c>
      <c r="D199" s="9">
        <v>104000</v>
      </c>
      <c r="E199" s="9" t="s">
        <v>2126</v>
      </c>
      <c r="F199" s="9" t="s">
        <v>67</v>
      </c>
      <c r="G199" s="9" t="s">
        <v>49</v>
      </c>
    </row>
    <row r="200" spans="2:7" x14ac:dyDescent="0.25">
      <c r="B200" s="9" t="s">
        <v>525</v>
      </c>
      <c r="C200" s="9" t="s">
        <v>18</v>
      </c>
      <c r="D200" s="9">
        <v>252000</v>
      </c>
      <c r="E200" s="9" t="s">
        <v>2127</v>
      </c>
      <c r="F200" s="9" t="s">
        <v>66</v>
      </c>
      <c r="G200" s="9" t="s">
        <v>51</v>
      </c>
    </row>
    <row r="201" spans="2:7" x14ac:dyDescent="0.25">
      <c r="B201" s="9" t="s">
        <v>527</v>
      </c>
      <c r="C201" s="9" t="s">
        <v>14</v>
      </c>
      <c r="D201" s="9">
        <v>274000</v>
      </c>
      <c r="E201" s="9" t="s">
        <v>2128</v>
      </c>
      <c r="F201" s="9" t="s">
        <v>65</v>
      </c>
      <c r="G201" s="9" t="s">
        <v>58</v>
      </c>
    </row>
    <row r="202" spans="2:7" x14ac:dyDescent="0.25">
      <c r="B202" s="9" t="s">
        <v>529</v>
      </c>
      <c r="C202" s="9" t="s">
        <v>22</v>
      </c>
      <c r="D202" s="9">
        <v>46000</v>
      </c>
      <c r="E202" s="9" t="s">
        <v>2128</v>
      </c>
      <c r="F202" s="9" t="s">
        <v>67</v>
      </c>
      <c r="G202" s="9" t="s">
        <v>53</v>
      </c>
    </row>
    <row r="203" spans="2:7" x14ac:dyDescent="0.25">
      <c r="B203" s="9" t="s">
        <v>531</v>
      </c>
      <c r="C203" s="9" t="s">
        <v>16</v>
      </c>
      <c r="D203" s="9">
        <v>259000</v>
      </c>
      <c r="E203" s="9" t="s">
        <v>2128</v>
      </c>
      <c r="F203" s="9" t="s">
        <v>66</v>
      </c>
      <c r="G203" s="9" t="s">
        <v>53</v>
      </c>
    </row>
    <row r="204" spans="2:7" x14ac:dyDescent="0.25">
      <c r="B204" s="9" t="s">
        <v>532</v>
      </c>
      <c r="C204" s="9" t="s">
        <v>22</v>
      </c>
      <c r="D204" s="9">
        <v>218000</v>
      </c>
      <c r="E204" s="9" t="s">
        <v>2129</v>
      </c>
      <c r="F204" s="9" t="s">
        <v>63</v>
      </c>
      <c r="G204" s="9" t="s">
        <v>55</v>
      </c>
    </row>
    <row r="205" spans="2:7" x14ac:dyDescent="0.25">
      <c r="B205" s="9" t="s">
        <v>534</v>
      </c>
      <c r="C205" s="9" t="s">
        <v>18</v>
      </c>
      <c r="D205" s="9">
        <v>57000</v>
      </c>
      <c r="E205" s="9" t="s">
        <v>2129</v>
      </c>
      <c r="F205" s="9" t="s">
        <v>64</v>
      </c>
      <c r="G205" s="9" t="s">
        <v>43</v>
      </c>
    </row>
    <row r="206" spans="2:7" x14ac:dyDescent="0.25">
      <c r="B206" s="9" t="s">
        <v>536</v>
      </c>
      <c r="C206" s="9" t="s">
        <v>18</v>
      </c>
      <c r="D206" s="9">
        <v>33000</v>
      </c>
      <c r="E206" s="9" t="s">
        <v>2130</v>
      </c>
      <c r="F206" s="9" t="s">
        <v>66</v>
      </c>
      <c r="G206" s="9" t="s">
        <v>53</v>
      </c>
    </row>
    <row r="207" spans="2:7" x14ac:dyDescent="0.25">
      <c r="B207" s="9" t="s">
        <v>538</v>
      </c>
      <c r="C207" s="9" t="s">
        <v>20</v>
      </c>
      <c r="D207" s="9">
        <v>168000</v>
      </c>
      <c r="E207" s="9" t="s">
        <v>2131</v>
      </c>
      <c r="F207" s="9" t="s">
        <v>63</v>
      </c>
      <c r="G207" s="9" t="s">
        <v>45</v>
      </c>
    </row>
    <row r="208" spans="2:7" x14ac:dyDescent="0.25">
      <c r="B208" s="9" t="s">
        <v>541</v>
      </c>
      <c r="C208" s="9" t="s">
        <v>20</v>
      </c>
      <c r="D208" s="9">
        <v>48000</v>
      </c>
      <c r="E208" s="9" t="s">
        <v>2132</v>
      </c>
      <c r="F208" s="9" t="s">
        <v>64</v>
      </c>
      <c r="G208" s="9" t="s">
        <v>49</v>
      </c>
    </row>
    <row r="209" spans="2:7" x14ac:dyDescent="0.25">
      <c r="B209" s="9" t="s">
        <v>544</v>
      </c>
      <c r="C209" s="9" t="s">
        <v>12</v>
      </c>
      <c r="D209" s="9">
        <v>72000</v>
      </c>
      <c r="E209" s="9" t="s">
        <v>2132</v>
      </c>
      <c r="F209" s="9" t="s">
        <v>65</v>
      </c>
      <c r="G209" s="9" t="s">
        <v>58</v>
      </c>
    </row>
    <row r="210" spans="2:7" x14ac:dyDescent="0.25">
      <c r="B210" s="9" t="s">
        <v>546</v>
      </c>
      <c r="C210" s="9" t="s">
        <v>20</v>
      </c>
      <c r="D210" s="9">
        <v>123000</v>
      </c>
      <c r="E210" s="9" t="s">
        <v>2133</v>
      </c>
      <c r="F210" s="9" t="s">
        <v>65</v>
      </c>
      <c r="G210" s="9" t="s">
        <v>51</v>
      </c>
    </row>
    <row r="211" spans="2:7" x14ac:dyDescent="0.25">
      <c r="B211" s="9" t="s">
        <v>549</v>
      </c>
      <c r="C211" s="9" t="s">
        <v>14</v>
      </c>
      <c r="D211" s="9">
        <v>230000</v>
      </c>
      <c r="E211" s="9" t="s">
        <v>2134</v>
      </c>
      <c r="F211" s="9" t="s">
        <v>62</v>
      </c>
      <c r="G211" s="9" t="s">
        <v>51</v>
      </c>
    </row>
    <row r="212" spans="2:7" x14ac:dyDescent="0.25">
      <c r="B212" s="9" t="s">
        <v>551</v>
      </c>
      <c r="C212" s="9" t="s">
        <v>20</v>
      </c>
      <c r="D212" s="9">
        <v>43000</v>
      </c>
      <c r="E212" s="9" t="s">
        <v>2135</v>
      </c>
      <c r="F212" s="9" t="s">
        <v>63</v>
      </c>
      <c r="G212" s="9" t="s">
        <v>61</v>
      </c>
    </row>
    <row r="213" spans="2:7" x14ac:dyDescent="0.25">
      <c r="B213" s="9" t="s">
        <v>554</v>
      </c>
      <c r="C213" s="9" t="s">
        <v>16</v>
      </c>
      <c r="D213" s="9">
        <v>273000</v>
      </c>
      <c r="E213" s="9" t="s">
        <v>2136</v>
      </c>
      <c r="F213" s="9" t="s">
        <v>63</v>
      </c>
      <c r="G213" s="9" t="s">
        <v>43</v>
      </c>
    </row>
    <row r="214" spans="2:7" x14ac:dyDescent="0.25">
      <c r="B214" s="9" t="s">
        <v>556</v>
      </c>
      <c r="C214" s="9" t="s">
        <v>20</v>
      </c>
      <c r="D214" s="9">
        <v>100000</v>
      </c>
      <c r="E214" s="9" t="s">
        <v>2137</v>
      </c>
      <c r="F214" s="9" t="s">
        <v>65</v>
      </c>
      <c r="G214" s="9" t="s">
        <v>45</v>
      </c>
    </row>
    <row r="215" spans="2:7" x14ac:dyDescent="0.25">
      <c r="B215" s="9" t="s">
        <v>558</v>
      </c>
      <c r="C215" s="9" t="s">
        <v>18</v>
      </c>
      <c r="D215" s="9">
        <v>282000</v>
      </c>
      <c r="E215" s="9" t="s">
        <v>2137</v>
      </c>
      <c r="F215" s="9" t="s">
        <v>65</v>
      </c>
      <c r="G215" s="9" t="s">
        <v>51</v>
      </c>
    </row>
    <row r="216" spans="2:7" x14ac:dyDescent="0.25">
      <c r="B216" s="9" t="s">
        <v>560</v>
      </c>
      <c r="C216" s="9" t="s">
        <v>16</v>
      </c>
      <c r="D216" s="9">
        <v>296000</v>
      </c>
      <c r="E216" s="9" t="s">
        <v>2137</v>
      </c>
      <c r="F216" s="9" t="s">
        <v>66</v>
      </c>
      <c r="G216" s="9" t="s">
        <v>55</v>
      </c>
    </row>
    <row r="217" spans="2:7" x14ac:dyDescent="0.25">
      <c r="B217" s="9" t="s">
        <v>561</v>
      </c>
      <c r="C217" s="9" t="s">
        <v>12</v>
      </c>
      <c r="D217" s="9">
        <v>208000</v>
      </c>
      <c r="E217" s="9" t="s">
        <v>2138</v>
      </c>
      <c r="F217" s="9" t="s">
        <v>63</v>
      </c>
      <c r="G217" s="9" t="s">
        <v>49</v>
      </c>
    </row>
    <row r="218" spans="2:7" x14ac:dyDescent="0.25">
      <c r="B218" s="9" t="s">
        <v>563</v>
      </c>
      <c r="C218" s="9" t="s">
        <v>20</v>
      </c>
      <c r="D218" s="9">
        <v>218000</v>
      </c>
      <c r="E218" s="9" t="s">
        <v>2138</v>
      </c>
      <c r="F218" s="9" t="s">
        <v>62</v>
      </c>
      <c r="G218" s="9" t="s">
        <v>55</v>
      </c>
    </row>
    <row r="219" spans="2:7" x14ac:dyDescent="0.25">
      <c r="B219" s="9" t="s">
        <v>564</v>
      </c>
      <c r="C219" s="9" t="s">
        <v>24</v>
      </c>
      <c r="D219" s="9">
        <v>229000</v>
      </c>
      <c r="E219" s="9" t="s">
        <v>2139</v>
      </c>
      <c r="F219" s="9" t="s">
        <v>66</v>
      </c>
      <c r="G219" s="9" t="s">
        <v>47</v>
      </c>
    </row>
    <row r="220" spans="2:7" x14ac:dyDescent="0.25">
      <c r="B220" s="9" t="s">
        <v>567</v>
      </c>
      <c r="C220" s="9" t="s">
        <v>14</v>
      </c>
      <c r="D220" s="9">
        <v>238000</v>
      </c>
      <c r="E220" s="9" t="s">
        <v>2140</v>
      </c>
      <c r="F220" s="9" t="s">
        <v>67</v>
      </c>
      <c r="G220" s="9" t="s">
        <v>61</v>
      </c>
    </row>
    <row r="221" spans="2:7" x14ac:dyDescent="0.25">
      <c r="B221" s="9" t="s">
        <v>569</v>
      </c>
      <c r="C221" s="9" t="s">
        <v>18</v>
      </c>
      <c r="D221" s="9">
        <v>266000</v>
      </c>
      <c r="E221" s="9" t="s">
        <v>2140</v>
      </c>
      <c r="F221" s="9" t="s">
        <v>63</v>
      </c>
      <c r="G221" s="9" t="s">
        <v>45</v>
      </c>
    </row>
    <row r="222" spans="2:7" x14ac:dyDescent="0.25">
      <c r="B222" s="9" t="s">
        <v>570</v>
      </c>
      <c r="C222" s="9" t="s">
        <v>22</v>
      </c>
      <c r="D222" s="9">
        <v>279000</v>
      </c>
      <c r="E222" s="9" t="s">
        <v>2141</v>
      </c>
      <c r="F222" s="9" t="s">
        <v>63</v>
      </c>
      <c r="G222" s="9" t="s">
        <v>58</v>
      </c>
    </row>
    <row r="223" spans="2:7" x14ac:dyDescent="0.25">
      <c r="B223" s="9" t="s">
        <v>572</v>
      </c>
      <c r="C223" s="9" t="s">
        <v>20</v>
      </c>
      <c r="D223" s="9">
        <v>251000</v>
      </c>
      <c r="E223" s="9" t="s">
        <v>2142</v>
      </c>
      <c r="F223" s="9" t="s">
        <v>63</v>
      </c>
      <c r="G223" s="9" t="s">
        <v>49</v>
      </c>
    </row>
    <row r="224" spans="2:7" x14ac:dyDescent="0.25">
      <c r="B224" s="9" t="s">
        <v>574</v>
      </c>
      <c r="C224" s="9" t="s">
        <v>16</v>
      </c>
      <c r="D224" s="9">
        <v>231000</v>
      </c>
      <c r="E224" s="9" t="s">
        <v>2142</v>
      </c>
      <c r="F224" s="9" t="s">
        <v>66</v>
      </c>
      <c r="G224" s="9" t="s">
        <v>58</v>
      </c>
    </row>
    <row r="225" spans="2:7" x14ac:dyDescent="0.25">
      <c r="B225" s="9" t="s">
        <v>575</v>
      </c>
      <c r="C225" s="9" t="s">
        <v>18</v>
      </c>
      <c r="D225" s="9">
        <v>244000</v>
      </c>
      <c r="E225" s="9" t="s">
        <v>2142</v>
      </c>
      <c r="F225" s="9" t="s">
        <v>64</v>
      </c>
      <c r="G225" s="9" t="s">
        <v>55</v>
      </c>
    </row>
    <row r="226" spans="2:7" x14ac:dyDescent="0.25">
      <c r="B226" s="9" t="s">
        <v>576</v>
      </c>
      <c r="C226" s="9" t="s">
        <v>20</v>
      </c>
      <c r="D226" s="9">
        <v>104000</v>
      </c>
      <c r="E226" s="9" t="s">
        <v>2143</v>
      </c>
      <c r="F226" s="9" t="s">
        <v>66</v>
      </c>
      <c r="G226" s="9" t="s">
        <v>47</v>
      </c>
    </row>
    <row r="227" spans="2:7" x14ac:dyDescent="0.25">
      <c r="B227" s="9" t="s">
        <v>578</v>
      </c>
      <c r="C227" s="9" t="s">
        <v>20</v>
      </c>
      <c r="D227" s="9">
        <v>213000</v>
      </c>
      <c r="E227" s="9" t="s">
        <v>2143</v>
      </c>
      <c r="F227" s="9" t="s">
        <v>65</v>
      </c>
      <c r="G227" s="9" t="s">
        <v>51</v>
      </c>
    </row>
    <row r="228" spans="2:7" x14ac:dyDescent="0.25">
      <c r="B228" s="9" t="s">
        <v>579</v>
      </c>
      <c r="C228" s="9" t="s">
        <v>20</v>
      </c>
      <c r="D228" s="9">
        <v>211000</v>
      </c>
      <c r="E228" s="9" t="s">
        <v>2144</v>
      </c>
      <c r="F228" s="9" t="s">
        <v>65</v>
      </c>
      <c r="G228" s="9" t="s">
        <v>43</v>
      </c>
    </row>
    <row r="229" spans="2:7" x14ac:dyDescent="0.25">
      <c r="B229" s="9" t="s">
        <v>582</v>
      </c>
      <c r="C229" s="9" t="s">
        <v>16</v>
      </c>
      <c r="D229" s="9">
        <v>154000</v>
      </c>
      <c r="E229" s="9" t="s">
        <v>2145</v>
      </c>
      <c r="F229" s="9" t="s">
        <v>67</v>
      </c>
      <c r="G229" s="9" t="s">
        <v>49</v>
      </c>
    </row>
    <row r="230" spans="2:7" x14ac:dyDescent="0.25">
      <c r="B230" s="9" t="s">
        <v>584</v>
      </c>
      <c r="C230" s="9" t="s">
        <v>18</v>
      </c>
      <c r="D230" s="9">
        <v>271000</v>
      </c>
      <c r="E230" s="9" t="s">
        <v>2145</v>
      </c>
      <c r="F230" s="9" t="s">
        <v>67</v>
      </c>
      <c r="G230" s="9" t="s">
        <v>61</v>
      </c>
    </row>
    <row r="231" spans="2:7" x14ac:dyDescent="0.25">
      <c r="B231" s="9" t="s">
        <v>585</v>
      </c>
      <c r="C231" s="9" t="s">
        <v>20</v>
      </c>
      <c r="D231" s="9">
        <v>153000</v>
      </c>
      <c r="E231" s="9" t="s">
        <v>2146</v>
      </c>
      <c r="F231" s="9" t="s">
        <v>62</v>
      </c>
      <c r="G231" s="9" t="s">
        <v>43</v>
      </c>
    </row>
    <row r="232" spans="2:7" x14ac:dyDescent="0.25">
      <c r="B232" s="9" t="s">
        <v>587</v>
      </c>
      <c r="C232" s="9" t="s">
        <v>18</v>
      </c>
      <c r="D232" s="9">
        <v>69000</v>
      </c>
      <c r="E232" s="9" t="s">
        <v>2146</v>
      </c>
      <c r="F232" s="9" t="s">
        <v>63</v>
      </c>
      <c r="G232" s="9" t="s">
        <v>53</v>
      </c>
    </row>
    <row r="233" spans="2:7" x14ac:dyDescent="0.25">
      <c r="B233" s="9" t="s">
        <v>588</v>
      </c>
      <c r="C233" s="9" t="s">
        <v>18</v>
      </c>
      <c r="D233" s="9">
        <v>118000</v>
      </c>
      <c r="E233" s="9" t="s">
        <v>2147</v>
      </c>
      <c r="F233" s="9" t="s">
        <v>62</v>
      </c>
      <c r="G233" s="9" t="s">
        <v>51</v>
      </c>
    </row>
    <row r="234" spans="2:7" x14ac:dyDescent="0.25">
      <c r="B234" s="9" t="s">
        <v>591</v>
      </c>
      <c r="C234" s="9" t="s">
        <v>22</v>
      </c>
      <c r="D234" s="9">
        <v>249000</v>
      </c>
      <c r="E234" s="9" t="s">
        <v>2148</v>
      </c>
      <c r="F234" s="9" t="s">
        <v>66</v>
      </c>
      <c r="G234" s="9" t="s">
        <v>55</v>
      </c>
    </row>
    <row r="235" spans="2:7" x14ac:dyDescent="0.25">
      <c r="B235" s="9" t="s">
        <v>593</v>
      </c>
      <c r="C235" s="9" t="s">
        <v>20</v>
      </c>
      <c r="D235" s="9">
        <v>86000</v>
      </c>
      <c r="E235" s="9" t="s">
        <v>2148</v>
      </c>
      <c r="F235" s="9" t="s">
        <v>67</v>
      </c>
      <c r="G235" s="9" t="s">
        <v>49</v>
      </c>
    </row>
    <row r="236" spans="2:7" x14ac:dyDescent="0.25">
      <c r="B236" s="9" t="s">
        <v>595</v>
      </c>
      <c r="C236" s="9" t="s">
        <v>12</v>
      </c>
      <c r="D236" s="9">
        <v>173000</v>
      </c>
      <c r="E236" s="9" t="s">
        <v>2149</v>
      </c>
      <c r="F236" s="9" t="s">
        <v>62</v>
      </c>
      <c r="G236" s="9" t="s">
        <v>45</v>
      </c>
    </row>
    <row r="237" spans="2:7" x14ac:dyDescent="0.25">
      <c r="B237" s="9" t="s">
        <v>597</v>
      </c>
      <c r="C237" s="9" t="s">
        <v>12</v>
      </c>
      <c r="D237" s="9">
        <v>216000</v>
      </c>
      <c r="E237" s="9" t="s">
        <v>2150</v>
      </c>
      <c r="F237" s="9" t="s">
        <v>62</v>
      </c>
      <c r="G237" s="9" t="s">
        <v>43</v>
      </c>
    </row>
    <row r="238" spans="2:7" x14ac:dyDescent="0.25">
      <c r="B238" s="9" t="s">
        <v>599</v>
      </c>
      <c r="C238" s="9" t="s">
        <v>22</v>
      </c>
      <c r="D238" s="9">
        <v>277000</v>
      </c>
      <c r="E238" s="9" t="s">
        <v>2151</v>
      </c>
      <c r="F238" s="9" t="s">
        <v>64</v>
      </c>
      <c r="G238" s="9" t="s">
        <v>43</v>
      </c>
    </row>
    <row r="239" spans="2:7" x14ac:dyDescent="0.25">
      <c r="B239" s="9" t="s">
        <v>602</v>
      </c>
      <c r="C239" s="9" t="s">
        <v>24</v>
      </c>
      <c r="D239" s="9">
        <v>53000</v>
      </c>
      <c r="E239" s="9" t="s">
        <v>2152</v>
      </c>
      <c r="F239" s="9" t="s">
        <v>66</v>
      </c>
      <c r="G239" s="9" t="s">
        <v>51</v>
      </c>
    </row>
    <row r="240" spans="2:7" x14ac:dyDescent="0.25">
      <c r="B240" s="9" t="s">
        <v>605</v>
      </c>
      <c r="C240" s="9" t="s">
        <v>16</v>
      </c>
      <c r="D240" s="9">
        <v>58000</v>
      </c>
      <c r="E240" s="9" t="s">
        <v>2153</v>
      </c>
      <c r="F240" s="9" t="s">
        <v>65</v>
      </c>
      <c r="G240" s="9" t="s">
        <v>58</v>
      </c>
    </row>
    <row r="241" spans="2:7" x14ac:dyDescent="0.25">
      <c r="B241" s="9" t="s">
        <v>607</v>
      </c>
      <c r="C241" s="9" t="s">
        <v>18</v>
      </c>
      <c r="D241" s="9">
        <v>55000</v>
      </c>
      <c r="E241" s="9" t="s">
        <v>2154</v>
      </c>
      <c r="F241" s="9" t="s">
        <v>62</v>
      </c>
      <c r="G241" s="9" t="s">
        <v>53</v>
      </c>
    </row>
    <row r="242" spans="2:7" x14ac:dyDescent="0.25">
      <c r="B242" s="9" t="s">
        <v>609</v>
      </c>
      <c r="C242" s="9" t="s">
        <v>24</v>
      </c>
      <c r="D242" s="9">
        <v>168000</v>
      </c>
      <c r="E242" s="9" t="s">
        <v>2154</v>
      </c>
      <c r="F242" s="9" t="s">
        <v>62</v>
      </c>
      <c r="G242" s="9" t="s">
        <v>51</v>
      </c>
    </row>
    <row r="243" spans="2:7" x14ac:dyDescent="0.25">
      <c r="B243" s="9" t="s">
        <v>610</v>
      </c>
      <c r="C243" s="9" t="s">
        <v>16</v>
      </c>
      <c r="D243" s="9">
        <v>189000</v>
      </c>
      <c r="E243" s="9" t="s">
        <v>2155</v>
      </c>
      <c r="F243" s="9" t="s">
        <v>63</v>
      </c>
      <c r="G243" s="9" t="s">
        <v>55</v>
      </c>
    </row>
    <row r="244" spans="2:7" x14ac:dyDescent="0.25">
      <c r="B244" s="9" t="s">
        <v>613</v>
      </c>
      <c r="C244" s="9" t="s">
        <v>12</v>
      </c>
      <c r="D244" s="9">
        <v>222000</v>
      </c>
      <c r="E244" s="9" t="s">
        <v>2155</v>
      </c>
      <c r="F244" s="9" t="s">
        <v>63</v>
      </c>
      <c r="G244" s="9" t="s">
        <v>51</v>
      </c>
    </row>
    <row r="245" spans="2:7" x14ac:dyDescent="0.25">
      <c r="B245" s="9" t="s">
        <v>614</v>
      </c>
      <c r="C245" s="9" t="s">
        <v>22</v>
      </c>
      <c r="D245" s="9">
        <v>196000</v>
      </c>
      <c r="E245" s="9" t="s">
        <v>2156</v>
      </c>
      <c r="F245" s="9" t="s">
        <v>65</v>
      </c>
      <c r="G245" s="9" t="s">
        <v>45</v>
      </c>
    </row>
    <row r="246" spans="2:7" x14ac:dyDescent="0.25">
      <c r="B246" s="9" t="s">
        <v>616</v>
      </c>
      <c r="C246" s="9" t="s">
        <v>20</v>
      </c>
      <c r="D246" s="9">
        <v>282000</v>
      </c>
      <c r="E246" s="9" t="s">
        <v>2156</v>
      </c>
      <c r="F246" s="9" t="s">
        <v>67</v>
      </c>
      <c r="G246" s="9" t="s">
        <v>55</v>
      </c>
    </row>
    <row r="247" spans="2:7" x14ac:dyDescent="0.25">
      <c r="B247" s="9" t="s">
        <v>617</v>
      </c>
      <c r="C247" s="9" t="s">
        <v>22</v>
      </c>
      <c r="D247" s="9">
        <v>167000</v>
      </c>
      <c r="E247" s="9" t="s">
        <v>2157</v>
      </c>
      <c r="F247" s="9" t="s">
        <v>62</v>
      </c>
      <c r="G247" s="9" t="s">
        <v>47</v>
      </c>
    </row>
    <row r="248" spans="2:7" x14ac:dyDescent="0.25">
      <c r="B248" s="9" t="s">
        <v>619</v>
      </c>
      <c r="C248" s="9" t="s">
        <v>24</v>
      </c>
      <c r="D248" s="9">
        <v>37000</v>
      </c>
      <c r="E248" s="9" t="s">
        <v>2157</v>
      </c>
      <c r="F248" s="9" t="s">
        <v>63</v>
      </c>
      <c r="G248" s="9" t="s">
        <v>49</v>
      </c>
    </row>
    <row r="249" spans="2:7" x14ac:dyDescent="0.25">
      <c r="B249" s="9" t="s">
        <v>621</v>
      </c>
      <c r="C249" s="9" t="s">
        <v>18</v>
      </c>
      <c r="D249" s="9">
        <v>260000</v>
      </c>
      <c r="E249" s="9" t="s">
        <v>2158</v>
      </c>
      <c r="F249" s="9" t="s">
        <v>66</v>
      </c>
      <c r="G249" s="9" t="s">
        <v>51</v>
      </c>
    </row>
    <row r="250" spans="2:7" x14ac:dyDescent="0.25">
      <c r="B250" s="9" t="s">
        <v>623</v>
      </c>
      <c r="C250" s="9" t="s">
        <v>12</v>
      </c>
      <c r="D250" s="9">
        <v>110000</v>
      </c>
      <c r="E250" s="9" t="s">
        <v>2158</v>
      </c>
      <c r="F250" s="9" t="s">
        <v>67</v>
      </c>
      <c r="G250" s="9" t="s">
        <v>61</v>
      </c>
    </row>
    <row r="251" spans="2:7" x14ac:dyDescent="0.25">
      <c r="B251" s="9" t="s">
        <v>625</v>
      </c>
      <c r="C251" s="9" t="s">
        <v>16</v>
      </c>
      <c r="D251" s="9">
        <v>136000</v>
      </c>
      <c r="E251" s="9" t="s">
        <v>2159</v>
      </c>
      <c r="F251" s="9" t="s">
        <v>67</v>
      </c>
      <c r="G251" s="9" t="s">
        <v>61</v>
      </c>
    </row>
    <row r="252" spans="2:7" x14ac:dyDescent="0.25">
      <c r="B252" s="9" t="s">
        <v>627</v>
      </c>
      <c r="C252" s="9" t="s">
        <v>14</v>
      </c>
      <c r="D252" s="9">
        <v>285000</v>
      </c>
      <c r="E252" s="9" t="s">
        <v>2160</v>
      </c>
      <c r="F252" s="9" t="s">
        <v>64</v>
      </c>
      <c r="G252" s="9" t="s">
        <v>43</v>
      </c>
    </row>
    <row r="253" spans="2:7" x14ac:dyDescent="0.25">
      <c r="B253" s="9" t="s">
        <v>630</v>
      </c>
      <c r="C253" s="9" t="s">
        <v>18</v>
      </c>
      <c r="D253" s="9">
        <v>153000</v>
      </c>
      <c r="E253" s="9" t="s">
        <v>2161</v>
      </c>
      <c r="F253" s="9" t="s">
        <v>67</v>
      </c>
      <c r="G253" s="9" t="s">
        <v>45</v>
      </c>
    </row>
    <row r="254" spans="2:7" x14ac:dyDescent="0.25">
      <c r="B254" s="9" t="s">
        <v>632</v>
      </c>
      <c r="C254" s="9" t="s">
        <v>16</v>
      </c>
      <c r="D254" s="9">
        <v>97000</v>
      </c>
      <c r="E254" s="9" t="s">
        <v>2162</v>
      </c>
      <c r="F254" s="9" t="s">
        <v>66</v>
      </c>
      <c r="G254" s="9" t="s">
        <v>47</v>
      </c>
    </row>
    <row r="255" spans="2:7" x14ac:dyDescent="0.25">
      <c r="B255" s="9" t="s">
        <v>635</v>
      </c>
      <c r="C255" s="9" t="s">
        <v>18</v>
      </c>
      <c r="D255" s="9">
        <v>212000</v>
      </c>
      <c r="E255" s="9" t="s">
        <v>2162</v>
      </c>
      <c r="F255" s="9" t="s">
        <v>65</v>
      </c>
      <c r="G255" s="9" t="s">
        <v>53</v>
      </c>
    </row>
    <row r="256" spans="2:7" x14ac:dyDescent="0.25">
      <c r="B256" s="9" t="s">
        <v>637</v>
      </c>
      <c r="C256" s="9" t="s">
        <v>12</v>
      </c>
      <c r="D256" s="9">
        <v>168000</v>
      </c>
      <c r="E256" s="9" t="s">
        <v>2162</v>
      </c>
      <c r="F256" s="9" t="s">
        <v>66</v>
      </c>
      <c r="G256" s="9" t="s">
        <v>47</v>
      </c>
    </row>
    <row r="257" spans="2:7" x14ac:dyDescent="0.25">
      <c r="B257" s="9" t="s">
        <v>638</v>
      </c>
      <c r="C257" s="9" t="s">
        <v>16</v>
      </c>
      <c r="D257" s="9">
        <v>227000</v>
      </c>
      <c r="E257" s="9" t="s">
        <v>2162</v>
      </c>
      <c r="F257" s="9" t="s">
        <v>64</v>
      </c>
      <c r="G257" s="9" t="s">
        <v>61</v>
      </c>
    </row>
    <row r="258" spans="2:7" x14ac:dyDescent="0.25">
      <c r="B258" s="9" t="s">
        <v>640</v>
      </c>
      <c r="C258" s="9" t="s">
        <v>12</v>
      </c>
      <c r="D258" s="9">
        <v>40000</v>
      </c>
      <c r="E258" s="9" t="s">
        <v>2163</v>
      </c>
      <c r="F258" s="9" t="s">
        <v>62</v>
      </c>
      <c r="G258" s="9" t="s">
        <v>58</v>
      </c>
    </row>
    <row r="259" spans="2:7" x14ac:dyDescent="0.25">
      <c r="B259" s="9" t="s">
        <v>643</v>
      </c>
      <c r="C259" s="9" t="s">
        <v>20</v>
      </c>
      <c r="D259" s="9">
        <v>36000</v>
      </c>
      <c r="E259" s="9" t="s">
        <v>2164</v>
      </c>
      <c r="F259" s="9" t="s">
        <v>62</v>
      </c>
      <c r="G259" s="9" t="s">
        <v>45</v>
      </c>
    </row>
    <row r="260" spans="2:7" x14ac:dyDescent="0.25">
      <c r="B260" s="9" t="s">
        <v>646</v>
      </c>
      <c r="C260" s="9" t="s">
        <v>12</v>
      </c>
      <c r="D260" s="9">
        <v>40000</v>
      </c>
      <c r="E260" s="9" t="s">
        <v>2165</v>
      </c>
      <c r="F260" s="9" t="s">
        <v>64</v>
      </c>
      <c r="G260" s="9" t="s">
        <v>49</v>
      </c>
    </row>
    <row r="261" spans="2:7" x14ac:dyDescent="0.25">
      <c r="B261" s="9" t="s">
        <v>648</v>
      </c>
      <c r="C261" s="9" t="s">
        <v>22</v>
      </c>
      <c r="D261" s="9">
        <v>210000</v>
      </c>
      <c r="E261" s="9" t="s">
        <v>2166</v>
      </c>
      <c r="F261" s="9" t="s">
        <v>63</v>
      </c>
      <c r="G261" s="9" t="s">
        <v>51</v>
      </c>
    </row>
    <row r="262" spans="2:7" x14ac:dyDescent="0.25">
      <c r="B262" s="9" t="s">
        <v>651</v>
      </c>
      <c r="C262" s="9" t="s">
        <v>22</v>
      </c>
      <c r="D262" s="9">
        <v>96000</v>
      </c>
      <c r="E262" s="9" t="s">
        <v>2167</v>
      </c>
      <c r="F262" s="9" t="s">
        <v>65</v>
      </c>
      <c r="G262" s="9" t="s">
        <v>51</v>
      </c>
    </row>
    <row r="263" spans="2:7" x14ac:dyDescent="0.25">
      <c r="B263" s="9" t="s">
        <v>654</v>
      </c>
      <c r="C263" s="9" t="s">
        <v>20</v>
      </c>
      <c r="D263" s="9">
        <v>125000</v>
      </c>
      <c r="E263" s="9" t="s">
        <v>2168</v>
      </c>
      <c r="F263" s="9" t="s">
        <v>64</v>
      </c>
      <c r="G263" s="9" t="s">
        <v>47</v>
      </c>
    </row>
    <row r="264" spans="2:7" x14ac:dyDescent="0.25">
      <c r="B264" s="9" t="s">
        <v>656</v>
      </c>
      <c r="C264" s="9" t="s">
        <v>22</v>
      </c>
      <c r="D264" s="9">
        <v>260000</v>
      </c>
      <c r="E264" s="9" t="s">
        <v>2169</v>
      </c>
      <c r="F264" s="9" t="s">
        <v>65</v>
      </c>
      <c r="G264" s="9" t="s">
        <v>58</v>
      </c>
    </row>
    <row r="265" spans="2:7" x14ac:dyDescent="0.25">
      <c r="B265" s="9" t="s">
        <v>658</v>
      </c>
      <c r="C265" s="9" t="s">
        <v>12</v>
      </c>
      <c r="D265" s="9">
        <v>54000</v>
      </c>
      <c r="E265" s="9" t="s">
        <v>2170</v>
      </c>
      <c r="F265" s="9" t="s">
        <v>67</v>
      </c>
      <c r="G265" s="9" t="s">
        <v>51</v>
      </c>
    </row>
    <row r="266" spans="2:7" x14ac:dyDescent="0.25">
      <c r="B266" s="9" t="s">
        <v>660</v>
      </c>
      <c r="C266" s="9" t="s">
        <v>18</v>
      </c>
      <c r="D266" s="9">
        <v>234000</v>
      </c>
      <c r="E266" s="9" t="s">
        <v>2170</v>
      </c>
      <c r="F266" s="9" t="s">
        <v>62</v>
      </c>
      <c r="G266" s="9" t="s">
        <v>58</v>
      </c>
    </row>
    <row r="267" spans="2:7" x14ac:dyDescent="0.25">
      <c r="B267" s="9" t="s">
        <v>661</v>
      </c>
      <c r="C267" s="9" t="s">
        <v>16</v>
      </c>
      <c r="D267" s="9">
        <v>101000</v>
      </c>
      <c r="E267" s="9" t="s">
        <v>2171</v>
      </c>
      <c r="F267" s="9" t="s">
        <v>67</v>
      </c>
      <c r="G267" s="9" t="s">
        <v>47</v>
      </c>
    </row>
    <row r="268" spans="2:7" x14ac:dyDescent="0.25">
      <c r="B268" s="9" t="s">
        <v>664</v>
      </c>
      <c r="C268" s="9" t="s">
        <v>20</v>
      </c>
      <c r="D268" s="9">
        <v>297000</v>
      </c>
      <c r="E268" s="9" t="s">
        <v>2172</v>
      </c>
      <c r="F268" s="9" t="s">
        <v>62</v>
      </c>
      <c r="G268" s="9" t="s">
        <v>58</v>
      </c>
    </row>
    <row r="269" spans="2:7" x14ac:dyDescent="0.25">
      <c r="B269" s="9" t="s">
        <v>666</v>
      </c>
      <c r="C269" s="9" t="s">
        <v>24</v>
      </c>
      <c r="D269" s="9">
        <v>31000</v>
      </c>
      <c r="E269" s="9" t="s">
        <v>2172</v>
      </c>
      <c r="F269" s="9" t="s">
        <v>62</v>
      </c>
      <c r="G269" s="9" t="s">
        <v>53</v>
      </c>
    </row>
    <row r="270" spans="2:7" x14ac:dyDescent="0.25">
      <c r="B270" s="9" t="s">
        <v>667</v>
      </c>
      <c r="C270" s="9" t="s">
        <v>22</v>
      </c>
      <c r="D270" s="9">
        <v>70000</v>
      </c>
      <c r="E270" s="9" t="s">
        <v>2173</v>
      </c>
      <c r="F270" s="9" t="s">
        <v>65</v>
      </c>
      <c r="G270" s="9" t="s">
        <v>49</v>
      </c>
    </row>
    <row r="271" spans="2:7" x14ac:dyDescent="0.25">
      <c r="B271" s="9" t="s">
        <v>669</v>
      </c>
      <c r="C271" s="9" t="s">
        <v>20</v>
      </c>
      <c r="D271" s="9">
        <v>169000</v>
      </c>
      <c r="E271" s="9" t="s">
        <v>2174</v>
      </c>
      <c r="F271" s="9" t="s">
        <v>65</v>
      </c>
      <c r="G271" s="9" t="s">
        <v>58</v>
      </c>
    </row>
    <row r="272" spans="2:7" x14ac:dyDescent="0.25">
      <c r="B272" s="9" t="s">
        <v>672</v>
      </c>
      <c r="C272" s="9" t="s">
        <v>22</v>
      </c>
      <c r="D272" s="9">
        <v>207000</v>
      </c>
      <c r="E272" s="9" t="s">
        <v>2174</v>
      </c>
      <c r="F272" s="9" t="s">
        <v>63</v>
      </c>
      <c r="G272" s="9" t="s">
        <v>53</v>
      </c>
    </row>
    <row r="273" spans="2:7" x14ac:dyDescent="0.25">
      <c r="B273" s="9" t="s">
        <v>673</v>
      </c>
      <c r="C273" s="9" t="s">
        <v>22</v>
      </c>
      <c r="D273" s="9">
        <v>142000</v>
      </c>
      <c r="E273" s="9" t="s">
        <v>2174</v>
      </c>
      <c r="F273" s="9" t="s">
        <v>66</v>
      </c>
      <c r="G273" s="9" t="s">
        <v>58</v>
      </c>
    </row>
    <row r="274" spans="2:7" x14ac:dyDescent="0.25">
      <c r="B274" s="9" t="s">
        <v>674</v>
      </c>
      <c r="C274" s="9" t="s">
        <v>18</v>
      </c>
      <c r="D274" s="9">
        <v>290000</v>
      </c>
      <c r="E274" s="9" t="s">
        <v>2175</v>
      </c>
      <c r="F274" s="9" t="s">
        <v>66</v>
      </c>
      <c r="G274" s="9" t="s">
        <v>53</v>
      </c>
    </row>
    <row r="275" spans="2:7" x14ac:dyDescent="0.25">
      <c r="B275" s="9" t="s">
        <v>677</v>
      </c>
      <c r="C275" s="9" t="s">
        <v>18</v>
      </c>
      <c r="D275" s="9">
        <v>128000</v>
      </c>
      <c r="E275" s="9" t="s">
        <v>2176</v>
      </c>
      <c r="F275" s="9" t="s">
        <v>65</v>
      </c>
      <c r="G275" s="9" t="s">
        <v>43</v>
      </c>
    </row>
    <row r="276" spans="2:7" x14ac:dyDescent="0.25">
      <c r="B276" s="9" t="s">
        <v>680</v>
      </c>
      <c r="C276" s="9" t="s">
        <v>20</v>
      </c>
      <c r="D276" s="9">
        <v>124000</v>
      </c>
      <c r="E276" s="9" t="s">
        <v>2177</v>
      </c>
      <c r="F276" s="9" t="s">
        <v>64</v>
      </c>
      <c r="G276" s="9" t="s">
        <v>58</v>
      </c>
    </row>
    <row r="277" spans="2:7" x14ac:dyDescent="0.25">
      <c r="B277" s="9" t="s">
        <v>682</v>
      </c>
      <c r="C277" s="9" t="s">
        <v>20</v>
      </c>
      <c r="D277" s="9">
        <v>284000</v>
      </c>
      <c r="E277" s="9" t="s">
        <v>2178</v>
      </c>
      <c r="F277" s="9" t="s">
        <v>66</v>
      </c>
      <c r="G277" s="9" t="s">
        <v>61</v>
      </c>
    </row>
    <row r="278" spans="2:7" x14ac:dyDescent="0.25">
      <c r="B278" s="9" t="s">
        <v>685</v>
      </c>
      <c r="C278" s="9" t="s">
        <v>16</v>
      </c>
      <c r="D278" s="9">
        <v>191000</v>
      </c>
      <c r="E278" s="9" t="s">
        <v>2179</v>
      </c>
      <c r="F278" s="9" t="s">
        <v>67</v>
      </c>
      <c r="G278" s="9" t="s">
        <v>61</v>
      </c>
    </row>
    <row r="279" spans="2:7" x14ac:dyDescent="0.25">
      <c r="B279" s="9" t="s">
        <v>687</v>
      </c>
      <c r="C279" s="9" t="s">
        <v>14</v>
      </c>
      <c r="D279" s="9">
        <v>107000</v>
      </c>
      <c r="E279" s="9" t="s">
        <v>2180</v>
      </c>
      <c r="F279" s="9" t="s">
        <v>63</v>
      </c>
      <c r="G279" s="9" t="s">
        <v>49</v>
      </c>
    </row>
    <row r="280" spans="2:7" x14ac:dyDescent="0.25">
      <c r="B280" s="9" t="s">
        <v>690</v>
      </c>
      <c r="C280" s="9" t="s">
        <v>22</v>
      </c>
      <c r="D280" s="9">
        <v>234000</v>
      </c>
      <c r="E280" s="9" t="s">
        <v>2180</v>
      </c>
      <c r="F280" s="9" t="s">
        <v>62</v>
      </c>
      <c r="G280" s="9" t="s">
        <v>51</v>
      </c>
    </row>
    <row r="281" spans="2:7" x14ac:dyDescent="0.25">
      <c r="B281" s="9" t="s">
        <v>691</v>
      </c>
      <c r="C281" s="9" t="s">
        <v>16</v>
      </c>
      <c r="D281" s="9">
        <v>214000</v>
      </c>
      <c r="E281" s="9" t="s">
        <v>2181</v>
      </c>
      <c r="F281" s="9" t="s">
        <v>64</v>
      </c>
      <c r="G281" s="9" t="s">
        <v>43</v>
      </c>
    </row>
    <row r="282" spans="2:7" x14ac:dyDescent="0.25">
      <c r="B282" s="9" t="s">
        <v>693</v>
      </c>
      <c r="C282" s="9" t="s">
        <v>22</v>
      </c>
      <c r="D282" s="9">
        <v>182000</v>
      </c>
      <c r="E282" s="9" t="s">
        <v>2182</v>
      </c>
      <c r="F282" s="9" t="s">
        <v>62</v>
      </c>
      <c r="G282" s="9" t="s">
        <v>55</v>
      </c>
    </row>
    <row r="283" spans="2:7" x14ac:dyDescent="0.25">
      <c r="B283" s="9" t="s">
        <v>696</v>
      </c>
      <c r="C283" s="9" t="s">
        <v>20</v>
      </c>
      <c r="D283" s="9">
        <v>276000</v>
      </c>
      <c r="E283" s="9" t="s">
        <v>2183</v>
      </c>
      <c r="F283" s="9" t="s">
        <v>65</v>
      </c>
      <c r="G283" s="9" t="s">
        <v>51</v>
      </c>
    </row>
    <row r="284" spans="2:7" x14ac:dyDescent="0.25">
      <c r="B284" s="9" t="s">
        <v>699</v>
      </c>
      <c r="C284" s="9" t="s">
        <v>18</v>
      </c>
      <c r="D284" s="9">
        <v>51000</v>
      </c>
      <c r="E284" s="9" t="s">
        <v>2184</v>
      </c>
      <c r="F284" s="9" t="s">
        <v>67</v>
      </c>
      <c r="G284" s="9" t="s">
        <v>43</v>
      </c>
    </row>
    <row r="285" spans="2:7" x14ac:dyDescent="0.25">
      <c r="B285" s="9" t="s">
        <v>701</v>
      </c>
      <c r="C285" s="9" t="s">
        <v>16</v>
      </c>
      <c r="D285" s="9">
        <v>84000</v>
      </c>
      <c r="E285" s="9" t="s">
        <v>2184</v>
      </c>
      <c r="F285" s="9" t="s">
        <v>63</v>
      </c>
      <c r="G285" s="9" t="s">
        <v>47</v>
      </c>
    </row>
    <row r="286" spans="2:7" x14ac:dyDescent="0.25">
      <c r="B286" s="9" t="s">
        <v>702</v>
      </c>
      <c r="C286" s="9" t="s">
        <v>24</v>
      </c>
      <c r="D286" s="9">
        <v>61000</v>
      </c>
      <c r="E286" s="9" t="s">
        <v>2184</v>
      </c>
      <c r="F286" s="9" t="s">
        <v>64</v>
      </c>
      <c r="G286" s="9" t="s">
        <v>53</v>
      </c>
    </row>
    <row r="287" spans="2:7" x14ac:dyDescent="0.25">
      <c r="B287" s="9" t="s">
        <v>704</v>
      </c>
      <c r="C287" s="9" t="s">
        <v>12</v>
      </c>
      <c r="D287" s="9">
        <v>187000</v>
      </c>
      <c r="E287" s="9" t="s">
        <v>2184</v>
      </c>
      <c r="F287" s="9" t="s">
        <v>66</v>
      </c>
      <c r="G287" s="9" t="s">
        <v>45</v>
      </c>
    </row>
    <row r="288" spans="2:7" x14ac:dyDescent="0.25">
      <c r="B288" s="9" t="s">
        <v>706</v>
      </c>
      <c r="C288" s="9" t="s">
        <v>12</v>
      </c>
      <c r="D288" s="9">
        <v>126000</v>
      </c>
      <c r="E288" s="9" t="s">
        <v>2185</v>
      </c>
      <c r="F288" s="9" t="s">
        <v>64</v>
      </c>
      <c r="G288" s="9" t="s">
        <v>53</v>
      </c>
    </row>
    <row r="289" spans="2:7" x14ac:dyDescent="0.25">
      <c r="B289" s="9" t="s">
        <v>708</v>
      </c>
      <c r="C289" s="9" t="s">
        <v>24</v>
      </c>
      <c r="D289" s="9">
        <v>217000</v>
      </c>
      <c r="E289" s="9" t="s">
        <v>2186</v>
      </c>
      <c r="F289" s="9" t="s">
        <v>67</v>
      </c>
      <c r="G289" s="9" t="s">
        <v>58</v>
      </c>
    </row>
    <row r="290" spans="2:7" x14ac:dyDescent="0.25">
      <c r="B290" s="9" t="s">
        <v>710</v>
      </c>
      <c r="C290" s="9" t="s">
        <v>20</v>
      </c>
      <c r="D290" s="9">
        <v>153000</v>
      </c>
      <c r="E290" s="9" t="s">
        <v>2187</v>
      </c>
      <c r="F290" s="9" t="s">
        <v>64</v>
      </c>
      <c r="G290" s="9" t="s">
        <v>55</v>
      </c>
    </row>
    <row r="291" spans="2:7" x14ac:dyDescent="0.25">
      <c r="B291" s="9" t="s">
        <v>712</v>
      </c>
      <c r="C291" s="9" t="s">
        <v>22</v>
      </c>
      <c r="D291" s="9">
        <v>170000</v>
      </c>
      <c r="E291" s="9" t="s">
        <v>2188</v>
      </c>
      <c r="F291" s="9" t="s">
        <v>65</v>
      </c>
      <c r="G291" s="9" t="s">
        <v>45</v>
      </c>
    </row>
    <row r="292" spans="2:7" x14ac:dyDescent="0.25">
      <c r="B292" s="9" t="s">
        <v>714</v>
      </c>
      <c r="C292" s="9" t="s">
        <v>16</v>
      </c>
      <c r="D292" s="9">
        <v>136000</v>
      </c>
      <c r="E292" s="9" t="s">
        <v>2188</v>
      </c>
      <c r="F292" s="9" t="s">
        <v>65</v>
      </c>
      <c r="G292" s="9" t="s">
        <v>47</v>
      </c>
    </row>
    <row r="293" spans="2:7" x14ac:dyDescent="0.25">
      <c r="B293" s="9" t="s">
        <v>715</v>
      </c>
      <c r="C293" s="9" t="s">
        <v>12</v>
      </c>
      <c r="D293" s="9">
        <v>273000</v>
      </c>
      <c r="E293" s="9" t="s">
        <v>2189</v>
      </c>
      <c r="F293" s="9" t="s">
        <v>66</v>
      </c>
      <c r="G293" s="9" t="s">
        <v>61</v>
      </c>
    </row>
    <row r="294" spans="2:7" x14ac:dyDescent="0.25">
      <c r="B294" s="9" t="s">
        <v>717</v>
      </c>
      <c r="C294" s="9" t="s">
        <v>12</v>
      </c>
      <c r="D294" s="9">
        <v>242000</v>
      </c>
      <c r="E294" s="9" t="s">
        <v>2190</v>
      </c>
      <c r="F294" s="9" t="s">
        <v>64</v>
      </c>
      <c r="G294" s="9" t="s">
        <v>53</v>
      </c>
    </row>
    <row r="295" spans="2:7" x14ac:dyDescent="0.25">
      <c r="B295" s="9" t="s">
        <v>720</v>
      </c>
      <c r="C295" s="9" t="s">
        <v>16</v>
      </c>
      <c r="D295" s="9">
        <v>64000</v>
      </c>
      <c r="E295" s="9" t="s">
        <v>2190</v>
      </c>
      <c r="F295" s="9" t="s">
        <v>64</v>
      </c>
      <c r="G295" s="9" t="s">
        <v>58</v>
      </c>
    </row>
    <row r="296" spans="2:7" x14ac:dyDescent="0.25">
      <c r="B296" s="9" t="s">
        <v>721</v>
      </c>
      <c r="C296" s="9" t="s">
        <v>22</v>
      </c>
      <c r="D296" s="9">
        <v>233000</v>
      </c>
      <c r="E296" s="9" t="s">
        <v>2191</v>
      </c>
      <c r="F296" s="9" t="s">
        <v>67</v>
      </c>
      <c r="G296" s="9" t="s">
        <v>45</v>
      </c>
    </row>
    <row r="297" spans="2:7" x14ac:dyDescent="0.25">
      <c r="B297" s="9" t="s">
        <v>724</v>
      </c>
      <c r="C297" s="9" t="s">
        <v>20</v>
      </c>
      <c r="D297" s="9">
        <v>148000</v>
      </c>
      <c r="E297" s="9" t="s">
        <v>2191</v>
      </c>
      <c r="F297" s="9" t="s">
        <v>67</v>
      </c>
      <c r="G297" s="9" t="s">
        <v>61</v>
      </c>
    </row>
    <row r="298" spans="2:7" x14ac:dyDescent="0.25">
      <c r="B298" s="9" t="s">
        <v>726</v>
      </c>
      <c r="C298" s="9" t="s">
        <v>18</v>
      </c>
      <c r="D298" s="9">
        <v>77000</v>
      </c>
      <c r="E298" s="9" t="s">
        <v>2192</v>
      </c>
      <c r="F298" s="9" t="s">
        <v>67</v>
      </c>
      <c r="G298" s="9" t="s">
        <v>43</v>
      </c>
    </row>
    <row r="299" spans="2:7" x14ac:dyDescent="0.25">
      <c r="B299" s="9" t="s">
        <v>729</v>
      </c>
      <c r="C299" s="9" t="s">
        <v>16</v>
      </c>
      <c r="D299" s="9">
        <v>179000</v>
      </c>
      <c r="E299" s="9" t="s">
        <v>2192</v>
      </c>
      <c r="F299" s="9" t="s">
        <v>65</v>
      </c>
      <c r="G299" s="9" t="s">
        <v>45</v>
      </c>
    </row>
    <row r="300" spans="2:7" x14ac:dyDescent="0.25">
      <c r="B300" s="9" t="s">
        <v>731</v>
      </c>
      <c r="C300" s="9" t="s">
        <v>24</v>
      </c>
      <c r="D300" s="9">
        <v>108000</v>
      </c>
      <c r="E300" s="9" t="s">
        <v>2193</v>
      </c>
      <c r="F300" s="9" t="s">
        <v>66</v>
      </c>
      <c r="G300" s="9" t="s">
        <v>47</v>
      </c>
    </row>
    <row r="301" spans="2:7" x14ac:dyDescent="0.25">
      <c r="B301" s="9" t="s">
        <v>733</v>
      </c>
      <c r="C301" s="9" t="s">
        <v>16</v>
      </c>
      <c r="D301" s="9">
        <v>61000</v>
      </c>
      <c r="E301" s="9" t="s">
        <v>2194</v>
      </c>
      <c r="F301" s="9" t="s">
        <v>63</v>
      </c>
      <c r="G301" s="9" t="s">
        <v>53</v>
      </c>
    </row>
    <row r="302" spans="2:7" x14ac:dyDescent="0.25">
      <c r="B302" s="9" t="s">
        <v>735</v>
      </c>
      <c r="C302" s="9" t="s">
        <v>14</v>
      </c>
      <c r="D302" s="9">
        <v>291000</v>
      </c>
      <c r="E302" s="9" t="s">
        <v>2194</v>
      </c>
      <c r="F302" s="9" t="s">
        <v>64</v>
      </c>
      <c r="G302" s="9" t="s">
        <v>55</v>
      </c>
    </row>
    <row r="303" spans="2:7" x14ac:dyDescent="0.25">
      <c r="B303" s="9" t="s">
        <v>737</v>
      </c>
      <c r="C303" s="9" t="s">
        <v>24</v>
      </c>
      <c r="D303" s="9">
        <v>285000</v>
      </c>
      <c r="E303" s="9" t="s">
        <v>2195</v>
      </c>
      <c r="F303" s="9" t="s">
        <v>66</v>
      </c>
      <c r="G303" s="9" t="s">
        <v>49</v>
      </c>
    </row>
    <row r="304" spans="2:7" x14ac:dyDescent="0.25">
      <c r="B304" s="9" t="s">
        <v>739</v>
      </c>
      <c r="C304" s="9" t="s">
        <v>14</v>
      </c>
      <c r="D304" s="9">
        <v>237000</v>
      </c>
      <c r="E304" s="9" t="s">
        <v>2195</v>
      </c>
      <c r="F304" s="9" t="s">
        <v>63</v>
      </c>
      <c r="G304" s="9" t="s">
        <v>49</v>
      </c>
    </row>
    <row r="305" spans="2:7" x14ac:dyDescent="0.25">
      <c r="B305" s="9" t="s">
        <v>741</v>
      </c>
      <c r="C305" s="9" t="s">
        <v>12</v>
      </c>
      <c r="D305" s="9">
        <v>237000</v>
      </c>
      <c r="E305" s="9" t="s">
        <v>2195</v>
      </c>
      <c r="F305" s="9" t="s">
        <v>62</v>
      </c>
      <c r="G305" s="9" t="s">
        <v>51</v>
      </c>
    </row>
    <row r="306" spans="2:7" x14ac:dyDescent="0.25">
      <c r="B306" s="9" t="s">
        <v>742</v>
      </c>
      <c r="C306" s="9" t="s">
        <v>16</v>
      </c>
      <c r="D306" s="9">
        <v>217000</v>
      </c>
      <c r="E306" s="9" t="s">
        <v>2196</v>
      </c>
      <c r="F306" s="9" t="s">
        <v>67</v>
      </c>
      <c r="G306" s="9" t="s">
        <v>55</v>
      </c>
    </row>
    <row r="307" spans="2:7" x14ac:dyDescent="0.25">
      <c r="B307" s="9" t="s">
        <v>744</v>
      </c>
      <c r="C307" s="9" t="s">
        <v>18</v>
      </c>
      <c r="D307" s="9">
        <v>173000</v>
      </c>
      <c r="E307" s="9" t="s">
        <v>2197</v>
      </c>
      <c r="F307" s="9" t="s">
        <v>65</v>
      </c>
      <c r="G307" s="9" t="s">
        <v>53</v>
      </c>
    </row>
    <row r="308" spans="2:7" x14ac:dyDescent="0.25">
      <c r="B308" s="9" t="s">
        <v>746</v>
      </c>
      <c r="C308" s="9" t="s">
        <v>24</v>
      </c>
      <c r="D308" s="9">
        <v>185000</v>
      </c>
      <c r="E308" s="9" t="s">
        <v>2198</v>
      </c>
      <c r="F308" s="9" t="s">
        <v>62</v>
      </c>
      <c r="G308" s="9" t="s">
        <v>61</v>
      </c>
    </row>
    <row r="309" spans="2:7" x14ac:dyDescent="0.25">
      <c r="B309" s="9" t="s">
        <v>749</v>
      </c>
      <c r="C309" s="9" t="s">
        <v>16</v>
      </c>
      <c r="D309" s="9">
        <v>86000</v>
      </c>
      <c r="E309" s="9" t="s">
        <v>2198</v>
      </c>
      <c r="F309" s="9" t="s">
        <v>67</v>
      </c>
      <c r="G309" s="9" t="s">
        <v>61</v>
      </c>
    </row>
    <row r="310" spans="2:7" x14ac:dyDescent="0.25">
      <c r="B310" s="9" t="s">
        <v>750</v>
      </c>
      <c r="C310" s="9" t="s">
        <v>22</v>
      </c>
      <c r="D310" s="9">
        <v>78000</v>
      </c>
      <c r="E310" s="9" t="s">
        <v>2198</v>
      </c>
      <c r="F310" s="9" t="s">
        <v>67</v>
      </c>
      <c r="G310" s="9" t="s">
        <v>61</v>
      </c>
    </row>
    <row r="311" spans="2:7" x14ac:dyDescent="0.25">
      <c r="B311" s="9" t="s">
        <v>751</v>
      </c>
      <c r="C311" s="9" t="s">
        <v>20</v>
      </c>
      <c r="D311" s="9">
        <v>223000</v>
      </c>
      <c r="E311" s="9" t="s">
        <v>2198</v>
      </c>
      <c r="F311" s="9" t="s">
        <v>65</v>
      </c>
      <c r="G311" s="9" t="s">
        <v>51</v>
      </c>
    </row>
    <row r="312" spans="2:7" x14ac:dyDescent="0.25">
      <c r="B312" s="9" t="s">
        <v>753</v>
      </c>
      <c r="C312" s="9" t="s">
        <v>18</v>
      </c>
      <c r="D312" s="9">
        <v>175000</v>
      </c>
      <c r="E312" s="9" t="s">
        <v>2199</v>
      </c>
      <c r="F312" s="9" t="s">
        <v>65</v>
      </c>
      <c r="G312" s="9" t="s">
        <v>53</v>
      </c>
    </row>
    <row r="313" spans="2:7" x14ac:dyDescent="0.25">
      <c r="B313" s="9" t="s">
        <v>756</v>
      </c>
      <c r="C313" s="9" t="s">
        <v>12</v>
      </c>
      <c r="D313" s="9">
        <v>89000</v>
      </c>
      <c r="E313" s="9" t="s">
        <v>2200</v>
      </c>
      <c r="F313" s="9" t="s">
        <v>62</v>
      </c>
      <c r="G313" s="9" t="s">
        <v>47</v>
      </c>
    </row>
    <row r="314" spans="2:7" x14ac:dyDescent="0.25">
      <c r="B314" s="9" t="s">
        <v>759</v>
      </c>
      <c r="C314" s="9" t="s">
        <v>22</v>
      </c>
      <c r="D314" s="9">
        <v>206000</v>
      </c>
      <c r="E314" s="9" t="s">
        <v>2201</v>
      </c>
      <c r="F314" s="9" t="s">
        <v>64</v>
      </c>
      <c r="G314" s="9" t="s">
        <v>61</v>
      </c>
    </row>
    <row r="315" spans="2:7" x14ac:dyDescent="0.25">
      <c r="B315" s="9" t="s">
        <v>762</v>
      </c>
      <c r="C315" s="9" t="s">
        <v>14</v>
      </c>
      <c r="D315" s="9">
        <v>80000</v>
      </c>
      <c r="E315" s="9" t="s">
        <v>2202</v>
      </c>
      <c r="F315" s="9" t="s">
        <v>62</v>
      </c>
      <c r="G315" s="9" t="s">
        <v>55</v>
      </c>
    </row>
    <row r="316" spans="2:7" x14ac:dyDescent="0.25">
      <c r="B316" s="9" t="s">
        <v>764</v>
      </c>
      <c r="C316" s="9" t="s">
        <v>14</v>
      </c>
      <c r="D316" s="9">
        <v>159000</v>
      </c>
      <c r="E316" s="9" t="s">
        <v>2203</v>
      </c>
      <c r="F316" s="9" t="s">
        <v>66</v>
      </c>
      <c r="G316" s="9" t="s">
        <v>51</v>
      </c>
    </row>
    <row r="317" spans="2:7" x14ac:dyDescent="0.25">
      <c r="B317" s="9" t="s">
        <v>767</v>
      </c>
      <c r="C317" s="9" t="s">
        <v>20</v>
      </c>
      <c r="D317" s="9">
        <v>225000</v>
      </c>
      <c r="E317" s="9" t="s">
        <v>2203</v>
      </c>
      <c r="F317" s="9" t="s">
        <v>66</v>
      </c>
      <c r="G317" s="9" t="s">
        <v>61</v>
      </c>
    </row>
    <row r="318" spans="2:7" x14ac:dyDescent="0.25">
      <c r="B318" s="9" t="s">
        <v>768</v>
      </c>
      <c r="C318" s="9" t="s">
        <v>14</v>
      </c>
      <c r="D318" s="9">
        <v>145000</v>
      </c>
      <c r="E318" s="9" t="s">
        <v>2204</v>
      </c>
      <c r="F318" s="9" t="s">
        <v>66</v>
      </c>
      <c r="G318" s="9" t="s">
        <v>61</v>
      </c>
    </row>
    <row r="319" spans="2:7" x14ac:dyDescent="0.25">
      <c r="B319" s="9" t="s">
        <v>770</v>
      </c>
      <c r="C319" s="9" t="s">
        <v>24</v>
      </c>
      <c r="D319" s="9">
        <v>70000</v>
      </c>
      <c r="E319" s="9" t="s">
        <v>2204</v>
      </c>
      <c r="F319" s="9" t="s">
        <v>65</v>
      </c>
      <c r="G319" s="9" t="s">
        <v>53</v>
      </c>
    </row>
    <row r="320" spans="2:7" x14ac:dyDescent="0.25">
      <c r="B320" s="9" t="s">
        <v>771</v>
      </c>
      <c r="C320" s="9" t="s">
        <v>12</v>
      </c>
      <c r="D320" s="9">
        <v>288000</v>
      </c>
      <c r="E320" s="9" t="s">
        <v>2205</v>
      </c>
      <c r="F320" s="9" t="s">
        <v>67</v>
      </c>
      <c r="G320" s="9" t="s">
        <v>45</v>
      </c>
    </row>
    <row r="321" spans="2:7" x14ac:dyDescent="0.25">
      <c r="B321" s="9" t="s">
        <v>774</v>
      </c>
      <c r="C321" s="9" t="s">
        <v>12</v>
      </c>
      <c r="D321" s="9">
        <v>206000</v>
      </c>
      <c r="E321" s="9" t="s">
        <v>2206</v>
      </c>
      <c r="F321" s="9" t="s">
        <v>65</v>
      </c>
      <c r="G321" s="9" t="s">
        <v>49</v>
      </c>
    </row>
    <row r="322" spans="2:7" x14ac:dyDescent="0.25">
      <c r="B322" s="9" t="s">
        <v>776</v>
      </c>
      <c r="C322" s="9" t="s">
        <v>18</v>
      </c>
      <c r="D322" s="9">
        <v>284000</v>
      </c>
      <c r="E322" s="9" t="s">
        <v>2207</v>
      </c>
      <c r="F322" s="9" t="s">
        <v>63</v>
      </c>
      <c r="G322" s="9" t="s">
        <v>47</v>
      </c>
    </row>
    <row r="323" spans="2:7" x14ac:dyDescent="0.25">
      <c r="B323" s="9" t="s">
        <v>778</v>
      </c>
      <c r="C323" s="9" t="s">
        <v>18</v>
      </c>
      <c r="D323" s="9">
        <v>209000</v>
      </c>
      <c r="E323" s="9" t="s">
        <v>2207</v>
      </c>
      <c r="F323" s="9" t="s">
        <v>62</v>
      </c>
      <c r="G323" s="9" t="s">
        <v>47</v>
      </c>
    </row>
    <row r="324" spans="2:7" x14ac:dyDescent="0.25">
      <c r="B324" s="9" t="s">
        <v>780</v>
      </c>
      <c r="C324" s="9" t="s">
        <v>16</v>
      </c>
      <c r="D324" s="9">
        <v>290000</v>
      </c>
      <c r="E324" s="9" t="s">
        <v>2208</v>
      </c>
      <c r="F324" s="9" t="s">
        <v>65</v>
      </c>
      <c r="G324" s="9" t="s">
        <v>58</v>
      </c>
    </row>
    <row r="325" spans="2:7" x14ac:dyDescent="0.25">
      <c r="B325" s="9" t="s">
        <v>782</v>
      </c>
      <c r="C325" s="9" t="s">
        <v>22</v>
      </c>
      <c r="D325" s="9">
        <v>263000</v>
      </c>
      <c r="E325" s="9" t="s">
        <v>2209</v>
      </c>
      <c r="F325" s="9" t="s">
        <v>64</v>
      </c>
      <c r="G325" s="9" t="s">
        <v>49</v>
      </c>
    </row>
    <row r="326" spans="2:7" x14ac:dyDescent="0.25">
      <c r="B326" s="9" t="s">
        <v>785</v>
      </c>
      <c r="C326" s="9" t="s">
        <v>22</v>
      </c>
      <c r="D326" s="9">
        <v>236000</v>
      </c>
      <c r="E326" s="9" t="s">
        <v>2210</v>
      </c>
      <c r="F326" s="9" t="s">
        <v>67</v>
      </c>
      <c r="G326" s="9" t="s">
        <v>55</v>
      </c>
    </row>
    <row r="327" spans="2:7" x14ac:dyDescent="0.25">
      <c r="B327" s="9" t="s">
        <v>788</v>
      </c>
      <c r="C327" s="9" t="s">
        <v>18</v>
      </c>
      <c r="D327" s="9">
        <v>114000</v>
      </c>
      <c r="E327" s="9" t="s">
        <v>2211</v>
      </c>
      <c r="F327" s="9" t="s">
        <v>62</v>
      </c>
      <c r="G327" s="9" t="s">
        <v>55</v>
      </c>
    </row>
    <row r="328" spans="2:7" x14ac:dyDescent="0.25">
      <c r="B328" s="9" t="s">
        <v>791</v>
      </c>
      <c r="C328" s="9" t="s">
        <v>18</v>
      </c>
      <c r="D328" s="9">
        <v>178000</v>
      </c>
      <c r="E328" s="9" t="s">
        <v>2212</v>
      </c>
      <c r="F328" s="9" t="s">
        <v>65</v>
      </c>
      <c r="G328" s="9" t="s">
        <v>55</v>
      </c>
    </row>
    <row r="329" spans="2:7" x14ac:dyDescent="0.25">
      <c r="B329" s="9" t="s">
        <v>794</v>
      </c>
      <c r="C329" s="9" t="s">
        <v>12</v>
      </c>
      <c r="D329" s="9">
        <v>105000</v>
      </c>
      <c r="E329" s="9" t="s">
        <v>2212</v>
      </c>
      <c r="F329" s="9" t="s">
        <v>63</v>
      </c>
      <c r="G329" s="9" t="s">
        <v>55</v>
      </c>
    </row>
    <row r="330" spans="2:7" x14ac:dyDescent="0.25">
      <c r="B330" s="9" t="s">
        <v>795</v>
      </c>
      <c r="C330" s="9" t="s">
        <v>16</v>
      </c>
      <c r="D330" s="9">
        <v>221000</v>
      </c>
      <c r="E330" s="9" t="s">
        <v>2213</v>
      </c>
      <c r="F330" s="9" t="s">
        <v>63</v>
      </c>
      <c r="G330" s="9" t="s">
        <v>43</v>
      </c>
    </row>
    <row r="331" spans="2:7" x14ac:dyDescent="0.25">
      <c r="B331" s="9" t="s">
        <v>798</v>
      </c>
      <c r="C331" s="9" t="s">
        <v>22</v>
      </c>
      <c r="D331" s="9">
        <v>53000</v>
      </c>
      <c r="E331" s="9" t="s">
        <v>2214</v>
      </c>
      <c r="F331" s="9" t="s">
        <v>63</v>
      </c>
      <c r="G331" s="9" t="s">
        <v>43</v>
      </c>
    </row>
    <row r="332" spans="2:7" x14ac:dyDescent="0.25">
      <c r="B332" s="9" t="s">
        <v>800</v>
      </c>
      <c r="C332" s="9" t="s">
        <v>16</v>
      </c>
      <c r="D332" s="9">
        <v>202000</v>
      </c>
      <c r="E332" s="9" t="s">
        <v>2215</v>
      </c>
      <c r="F332" s="9" t="s">
        <v>66</v>
      </c>
      <c r="G332" s="9" t="s">
        <v>51</v>
      </c>
    </row>
    <row r="333" spans="2:7" x14ac:dyDescent="0.25">
      <c r="B333" s="9" t="s">
        <v>802</v>
      </c>
      <c r="C333" s="9" t="s">
        <v>18</v>
      </c>
      <c r="D333" s="9">
        <v>270000</v>
      </c>
      <c r="E333" s="9" t="s">
        <v>2215</v>
      </c>
      <c r="F333" s="9" t="s">
        <v>66</v>
      </c>
      <c r="G333" s="9" t="s">
        <v>55</v>
      </c>
    </row>
    <row r="334" spans="2:7" x14ac:dyDescent="0.25">
      <c r="B334" s="9" t="s">
        <v>803</v>
      </c>
      <c r="C334" s="9" t="s">
        <v>18</v>
      </c>
      <c r="D334" s="9">
        <v>140000</v>
      </c>
      <c r="E334" s="9" t="s">
        <v>2215</v>
      </c>
      <c r="F334" s="9" t="s">
        <v>67</v>
      </c>
      <c r="G334" s="9" t="s">
        <v>49</v>
      </c>
    </row>
    <row r="335" spans="2:7" x14ac:dyDescent="0.25">
      <c r="B335" s="9" t="s">
        <v>805</v>
      </c>
      <c r="C335" s="9" t="s">
        <v>18</v>
      </c>
      <c r="D335" s="9">
        <v>85000</v>
      </c>
      <c r="E335" s="9" t="s">
        <v>2216</v>
      </c>
      <c r="F335" s="9" t="s">
        <v>62</v>
      </c>
      <c r="G335" s="9" t="s">
        <v>55</v>
      </c>
    </row>
    <row r="336" spans="2:7" x14ac:dyDescent="0.25">
      <c r="B336" s="9" t="s">
        <v>808</v>
      </c>
      <c r="C336" s="9" t="s">
        <v>18</v>
      </c>
      <c r="D336" s="9">
        <v>88000</v>
      </c>
      <c r="E336" s="9" t="s">
        <v>2216</v>
      </c>
      <c r="F336" s="9" t="s">
        <v>67</v>
      </c>
      <c r="G336" s="9" t="s">
        <v>43</v>
      </c>
    </row>
    <row r="337" spans="2:7" x14ac:dyDescent="0.25">
      <c r="B337" s="9" t="s">
        <v>809</v>
      </c>
      <c r="C337" s="9" t="s">
        <v>20</v>
      </c>
      <c r="D337" s="9">
        <v>103000</v>
      </c>
      <c r="E337" s="9" t="s">
        <v>2217</v>
      </c>
      <c r="F337" s="9" t="s">
        <v>62</v>
      </c>
      <c r="G337" s="9" t="s">
        <v>61</v>
      </c>
    </row>
    <row r="338" spans="2:7" x14ac:dyDescent="0.25">
      <c r="B338" s="9" t="s">
        <v>812</v>
      </c>
      <c r="C338" s="9" t="s">
        <v>12</v>
      </c>
      <c r="D338" s="9">
        <v>227000</v>
      </c>
      <c r="E338" s="9" t="s">
        <v>2218</v>
      </c>
      <c r="F338" s="9" t="s">
        <v>62</v>
      </c>
      <c r="G338" s="9" t="s">
        <v>47</v>
      </c>
    </row>
    <row r="339" spans="2:7" x14ac:dyDescent="0.25">
      <c r="B339" s="9" t="s">
        <v>814</v>
      </c>
      <c r="C339" s="9" t="s">
        <v>20</v>
      </c>
      <c r="D339" s="9">
        <v>280000</v>
      </c>
      <c r="E339" s="9" t="s">
        <v>2218</v>
      </c>
      <c r="F339" s="9" t="s">
        <v>63</v>
      </c>
      <c r="G339" s="9" t="s">
        <v>49</v>
      </c>
    </row>
    <row r="340" spans="2:7" x14ac:dyDescent="0.25">
      <c r="B340" s="9" t="s">
        <v>816</v>
      </c>
      <c r="C340" s="9" t="s">
        <v>18</v>
      </c>
      <c r="D340" s="9">
        <v>112000</v>
      </c>
      <c r="E340" s="9" t="s">
        <v>2219</v>
      </c>
      <c r="F340" s="9" t="s">
        <v>62</v>
      </c>
      <c r="G340" s="9" t="s">
        <v>49</v>
      </c>
    </row>
    <row r="341" spans="2:7" x14ac:dyDescent="0.25">
      <c r="B341" s="9" t="s">
        <v>818</v>
      </c>
      <c r="C341" s="9" t="s">
        <v>24</v>
      </c>
      <c r="D341" s="9">
        <v>159000</v>
      </c>
      <c r="E341" s="9" t="s">
        <v>2219</v>
      </c>
      <c r="F341" s="9" t="s">
        <v>67</v>
      </c>
      <c r="G341" s="9" t="s">
        <v>61</v>
      </c>
    </row>
    <row r="342" spans="2:7" x14ac:dyDescent="0.25">
      <c r="B342" s="9" t="s">
        <v>819</v>
      </c>
      <c r="C342" s="9" t="s">
        <v>12</v>
      </c>
      <c r="D342" s="9">
        <v>272000</v>
      </c>
      <c r="E342" s="9" t="s">
        <v>2220</v>
      </c>
      <c r="F342" s="9" t="s">
        <v>65</v>
      </c>
      <c r="G342" s="9" t="s">
        <v>47</v>
      </c>
    </row>
    <row r="343" spans="2:7" x14ac:dyDescent="0.25">
      <c r="B343" s="9" t="s">
        <v>821</v>
      </c>
      <c r="C343" s="9" t="s">
        <v>16</v>
      </c>
      <c r="D343" s="9">
        <v>284000</v>
      </c>
      <c r="E343" s="9" t="s">
        <v>2221</v>
      </c>
      <c r="F343" s="9" t="s">
        <v>64</v>
      </c>
      <c r="G343" s="9" t="s">
        <v>55</v>
      </c>
    </row>
    <row r="344" spans="2:7" x14ac:dyDescent="0.25">
      <c r="B344" s="9" t="s">
        <v>823</v>
      </c>
      <c r="C344" s="9" t="s">
        <v>14</v>
      </c>
      <c r="D344" s="9">
        <v>120000</v>
      </c>
      <c r="E344" s="9" t="s">
        <v>2221</v>
      </c>
      <c r="F344" s="9" t="s">
        <v>64</v>
      </c>
      <c r="G344" s="9" t="s">
        <v>45</v>
      </c>
    </row>
    <row r="345" spans="2:7" x14ac:dyDescent="0.25">
      <c r="B345" s="9" t="s">
        <v>824</v>
      </c>
      <c r="C345" s="9" t="s">
        <v>12</v>
      </c>
      <c r="D345" s="9">
        <v>81000</v>
      </c>
      <c r="E345" s="9" t="s">
        <v>2222</v>
      </c>
      <c r="F345" s="9" t="s">
        <v>65</v>
      </c>
      <c r="G345" s="9" t="s">
        <v>49</v>
      </c>
    </row>
    <row r="346" spans="2:7" x14ac:dyDescent="0.25">
      <c r="B346" s="9" t="s">
        <v>827</v>
      </c>
      <c r="C346" s="9" t="s">
        <v>14</v>
      </c>
      <c r="D346" s="9">
        <v>272000</v>
      </c>
      <c r="E346" s="9" t="s">
        <v>2222</v>
      </c>
      <c r="F346" s="9" t="s">
        <v>67</v>
      </c>
      <c r="G346" s="9" t="s">
        <v>55</v>
      </c>
    </row>
    <row r="347" spans="2:7" x14ac:dyDescent="0.25">
      <c r="B347" s="9" t="s">
        <v>828</v>
      </c>
      <c r="C347" s="9" t="s">
        <v>14</v>
      </c>
      <c r="D347" s="9">
        <v>294000</v>
      </c>
      <c r="E347" s="9" t="s">
        <v>2223</v>
      </c>
      <c r="F347" s="9" t="s">
        <v>62</v>
      </c>
      <c r="G347" s="9" t="s">
        <v>53</v>
      </c>
    </row>
    <row r="348" spans="2:7" x14ac:dyDescent="0.25">
      <c r="B348" s="9" t="s">
        <v>831</v>
      </c>
      <c r="C348" s="9" t="s">
        <v>18</v>
      </c>
      <c r="D348" s="9">
        <v>234000</v>
      </c>
      <c r="E348" s="9" t="s">
        <v>2223</v>
      </c>
      <c r="F348" s="9" t="s">
        <v>65</v>
      </c>
      <c r="G348" s="9" t="s">
        <v>43</v>
      </c>
    </row>
    <row r="349" spans="2:7" x14ac:dyDescent="0.25">
      <c r="B349" s="9" t="s">
        <v>832</v>
      </c>
      <c r="C349" s="9" t="s">
        <v>16</v>
      </c>
      <c r="D349" s="9">
        <v>110000</v>
      </c>
      <c r="E349" s="9" t="s">
        <v>2224</v>
      </c>
      <c r="F349" s="9" t="s">
        <v>62</v>
      </c>
      <c r="G349" s="9" t="s">
        <v>47</v>
      </c>
    </row>
    <row r="350" spans="2:7" x14ac:dyDescent="0.25">
      <c r="B350" s="9" t="s">
        <v>834</v>
      </c>
      <c r="C350" s="9" t="s">
        <v>18</v>
      </c>
      <c r="D350" s="9">
        <v>137000</v>
      </c>
      <c r="E350" s="9" t="s">
        <v>2225</v>
      </c>
      <c r="F350" s="9" t="s">
        <v>67</v>
      </c>
      <c r="G350" s="9" t="s">
        <v>43</v>
      </c>
    </row>
    <row r="351" spans="2:7" x14ac:dyDescent="0.25">
      <c r="B351" s="9" t="s">
        <v>837</v>
      </c>
      <c r="C351" s="9" t="s">
        <v>18</v>
      </c>
      <c r="D351" s="9">
        <v>273000</v>
      </c>
      <c r="E351" s="9" t="s">
        <v>2226</v>
      </c>
      <c r="F351" s="9" t="s">
        <v>66</v>
      </c>
      <c r="G351" s="9" t="s">
        <v>58</v>
      </c>
    </row>
    <row r="352" spans="2:7" x14ac:dyDescent="0.25">
      <c r="B352" s="9" t="s">
        <v>839</v>
      </c>
      <c r="C352" s="9" t="s">
        <v>24</v>
      </c>
      <c r="D352" s="9">
        <v>157000</v>
      </c>
      <c r="E352" s="9" t="s">
        <v>2227</v>
      </c>
      <c r="F352" s="9" t="s">
        <v>63</v>
      </c>
      <c r="G352" s="9" t="s">
        <v>43</v>
      </c>
    </row>
    <row r="353" spans="2:7" x14ac:dyDescent="0.25">
      <c r="B353" s="9" t="s">
        <v>842</v>
      </c>
      <c r="C353" s="9" t="s">
        <v>20</v>
      </c>
      <c r="D353" s="9">
        <v>212000</v>
      </c>
      <c r="E353" s="9" t="s">
        <v>2228</v>
      </c>
      <c r="F353" s="9" t="s">
        <v>64</v>
      </c>
      <c r="G353" s="9" t="s">
        <v>51</v>
      </c>
    </row>
    <row r="354" spans="2:7" x14ac:dyDescent="0.25">
      <c r="B354" s="9" t="s">
        <v>844</v>
      </c>
      <c r="C354" s="9" t="s">
        <v>14</v>
      </c>
      <c r="D354" s="9">
        <v>281000</v>
      </c>
      <c r="E354" s="9" t="s">
        <v>2228</v>
      </c>
      <c r="F354" s="9" t="s">
        <v>66</v>
      </c>
      <c r="G354" s="9" t="s">
        <v>51</v>
      </c>
    </row>
    <row r="355" spans="2:7" x14ac:dyDescent="0.25">
      <c r="B355" s="9" t="s">
        <v>845</v>
      </c>
      <c r="C355" s="9" t="s">
        <v>20</v>
      </c>
      <c r="D355" s="9">
        <v>91000</v>
      </c>
      <c r="E355" s="9" t="s">
        <v>2228</v>
      </c>
      <c r="F355" s="9" t="s">
        <v>63</v>
      </c>
      <c r="G355" s="9" t="s">
        <v>43</v>
      </c>
    </row>
    <row r="356" spans="2:7" x14ac:dyDescent="0.25">
      <c r="B356" s="9" t="s">
        <v>846</v>
      </c>
      <c r="C356" s="9" t="s">
        <v>22</v>
      </c>
      <c r="D356" s="9">
        <v>85000</v>
      </c>
      <c r="E356" s="9" t="s">
        <v>2229</v>
      </c>
      <c r="F356" s="9" t="s">
        <v>62</v>
      </c>
      <c r="G356" s="9" t="s">
        <v>49</v>
      </c>
    </row>
    <row r="357" spans="2:7" x14ac:dyDescent="0.25">
      <c r="B357" s="9" t="s">
        <v>848</v>
      </c>
      <c r="C357" s="9" t="s">
        <v>22</v>
      </c>
      <c r="D357" s="9">
        <v>170000</v>
      </c>
      <c r="E357" s="9" t="s">
        <v>2229</v>
      </c>
      <c r="F357" s="9" t="s">
        <v>64</v>
      </c>
      <c r="G357" s="9" t="s">
        <v>45</v>
      </c>
    </row>
    <row r="358" spans="2:7" x14ac:dyDescent="0.25">
      <c r="B358" s="9" t="s">
        <v>849</v>
      </c>
      <c r="C358" s="9" t="s">
        <v>22</v>
      </c>
      <c r="D358" s="9">
        <v>213000</v>
      </c>
      <c r="E358" s="9" t="s">
        <v>2230</v>
      </c>
      <c r="F358" s="9" t="s">
        <v>63</v>
      </c>
      <c r="G358" s="9" t="s">
        <v>55</v>
      </c>
    </row>
    <row r="359" spans="2:7" x14ac:dyDescent="0.25">
      <c r="B359" s="9" t="s">
        <v>851</v>
      </c>
      <c r="C359" s="9" t="s">
        <v>22</v>
      </c>
      <c r="D359" s="9">
        <v>107000</v>
      </c>
      <c r="E359" s="9" t="s">
        <v>2230</v>
      </c>
      <c r="F359" s="9" t="s">
        <v>62</v>
      </c>
      <c r="G359" s="9" t="s">
        <v>55</v>
      </c>
    </row>
    <row r="360" spans="2:7" x14ac:dyDescent="0.25">
      <c r="B360" s="9" t="s">
        <v>852</v>
      </c>
      <c r="C360" s="9" t="s">
        <v>22</v>
      </c>
      <c r="D360" s="9">
        <v>216000</v>
      </c>
      <c r="E360" s="9" t="s">
        <v>2231</v>
      </c>
      <c r="F360" s="9" t="s">
        <v>67</v>
      </c>
      <c r="G360" s="9" t="s">
        <v>55</v>
      </c>
    </row>
    <row r="361" spans="2:7" x14ac:dyDescent="0.25">
      <c r="B361" s="9" t="s">
        <v>854</v>
      </c>
      <c r="C361" s="9" t="s">
        <v>20</v>
      </c>
      <c r="D361" s="9">
        <v>117000</v>
      </c>
      <c r="E361" s="9" t="s">
        <v>2232</v>
      </c>
      <c r="F361" s="9" t="s">
        <v>67</v>
      </c>
      <c r="G361" s="9" t="s">
        <v>43</v>
      </c>
    </row>
    <row r="362" spans="2:7" x14ac:dyDescent="0.25">
      <c r="B362" s="9" t="s">
        <v>857</v>
      </c>
      <c r="C362" s="9" t="s">
        <v>12</v>
      </c>
      <c r="D362" s="9">
        <v>238000</v>
      </c>
      <c r="E362" s="9" t="s">
        <v>2233</v>
      </c>
      <c r="F362" s="9" t="s">
        <v>62</v>
      </c>
      <c r="G362" s="9" t="s">
        <v>58</v>
      </c>
    </row>
    <row r="363" spans="2:7" x14ac:dyDescent="0.25">
      <c r="B363" s="9" t="s">
        <v>859</v>
      </c>
      <c r="C363" s="9" t="s">
        <v>20</v>
      </c>
      <c r="D363" s="9">
        <v>274000</v>
      </c>
      <c r="E363" s="9" t="s">
        <v>2233</v>
      </c>
      <c r="F363" s="9" t="s">
        <v>66</v>
      </c>
      <c r="G363" s="9" t="s">
        <v>43</v>
      </c>
    </row>
    <row r="364" spans="2:7" x14ac:dyDescent="0.25">
      <c r="B364" s="9" t="s">
        <v>860</v>
      </c>
      <c r="C364" s="9" t="s">
        <v>24</v>
      </c>
      <c r="D364" s="9">
        <v>197000</v>
      </c>
      <c r="E364" s="9" t="s">
        <v>2234</v>
      </c>
      <c r="F364" s="9" t="s">
        <v>63</v>
      </c>
      <c r="G364" s="9" t="s">
        <v>49</v>
      </c>
    </row>
    <row r="365" spans="2:7" x14ac:dyDescent="0.25">
      <c r="B365" s="9" t="s">
        <v>862</v>
      </c>
      <c r="C365" s="9" t="s">
        <v>12</v>
      </c>
      <c r="D365" s="9">
        <v>124000</v>
      </c>
      <c r="E365" s="9" t="s">
        <v>2235</v>
      </c>
      <c r="F365" s="9" t="s">
        <v>63</v>
      </c>
      <c r="G365" s="9" t="s">
        <v>55</v>
      </c>
    </row>
    <row r="366" spans="2:7" x14ac:dyDescent="0.25">
      <c r="B366" s="9" t="s">
        <v>864</v>
      </c>
      <c r="C366" s="9" t="s">
        <v>14</v>
      </c>
      <c r="D366" s="9">
        <v>42000</v>
      </c>
      <c r="E366" s="9" t="s">
        <v>2236</v>
      </c>
      <c r="F366" s="9" t="s">
        <v>63</v>
      </c>
      <c r="G366" s="9" t="s">
        <v>55</v>
      </c>
    </row>
    <row r="367" spans="2:7" x14ac:dyDescent="0.25">
      <c r="B367" s="9" t="s">
        <v>867</v>
      </c>
      <c r="C367" s="9" t="s">
        <v>14</v>
      </c>
      <c r="D367" s="9">
        <v>68000</v>
      </c>
      <c r="E367" s="9" t="s">
        <v>2236</v>
      </c>
      <c r="F367" s="9" t="s">
        <v>64</v>
      </c>
      <c r="G367" s="9" t="s">
        <v>61</v>
      </c>
    </row>
    <row r="368" spans="2:7" x14ac:dyDescent="0.25">
      <c r="B368" s="9" t="s">
        <v>869</v>
      </c>
      <c r="C368" s="9" t="s">
        <v>18</v>
      </c>
      <c r="D368" s="9">
        <v>152000</v>
      </c>
      <c r="E368" s="9" t="s">
        <v>2237</v>
      </c>
      <c r="F368" s="9" t="s">
        <v>66</v>
      </c>
      <c r="G368" s="9" t="s">
        <v>53</v>
      </c>
    </row>
    <row r="369" spans="2:7" x14ac:dyDescent="0.25">
      <c r="B369" s="9" t="s">
        <v>871</v>
      </c>
      <c r="C369" s="9" t="s">
        <v>18</v>
      </c>
      <c r="D369" s="9">
        <v>106000</v>
      </c>
      <c r="E369" s="9" t="s">
        <v>2238</v>
      </c>
      <c r="F369" s="9" t="s">
        <v>66</v>
      </c>
      <c r="G369" s="9" t="s">
        <v>43</v>
      </c>
    </row>
    <row r="370" spans="2:7" x14ac:dyDescent="0.25">
      <c r="B370" s="9" t="s">
        <v>873</v>
      </c>
      <c r="C370" s="9" t="s">
        <v>12</v>
      </c>
      <c r="D370" s="9">
        <v>241000</v>
      </c>
      <c r="E370" s="9" t="s">
        <v>2239</v>
      </c>
      <c r="F370" s="9" t="s">
        <v>67</v>
      </c>
      <c r="G370" s="9" t="s">
        <v>45</v>
      </c>
    </row>
    <row r="371" spans="2:7" x14ac:dyDescent="0.25">
      <c r="B371" s="9" t="s">
        <v>876</v>
      </c>
      <c r="C371" s="9" t="s">
        <v>22</v>
      </c>
      <c r="D371" s="9">
        <v>282000</v>
      </c>
      <c r="E371" s="9" t="s">
        <v>2240</v>
      </c>
      <c r="F371" s="9" t="s">
        <v>66</v>
      </c>
      <c r="G371" s="9" t="s">
        <v>51</v>
      </c>
    </row>
    <row r="372" spans="2:7" x14ac:dyDescent="0.25">
      <c r="B372" s="9" t="s">
        <v>878</v>
      </c>
      <c r="C372" s="9" t="s">
        <v>18</v>
      </c>
      <c r="D372" s="9">
        <v>139000</v>
      </c>
      <c r="E372" s="9" t="s">
        <v>2240</v>
      </c>
      <c r="F372" s="9" t="s">
        <v>66</v>
      </c>
      <c r="G372" s="9" t="s">
        <v>55</v>
      </c>
    </row>
    <row r="373" spans="2:7" x14ac:dyDescent="0.25">
      <c r="B373" s="9" t="s">
        <v>879</v>
      </c>
      <c r="C373" s="9" t="s">
        <v>22</v>
      </c>
      <c r="D373" s="9">
        <v>296000</v>
      </c>
      <c r="E373" s="9" t="s">
        <v>2240</v>
      </c>
      <c r="F373" s="9" t="s">
        <v>67</v>
      </c>
      <c r="G373" s="9" t="s">
        <v>58</v>
      </c>
    </row>
    <row r="374" spans="2:7" x14ac:dyDescent="0.25">
      <c r="B374" s="9" t="s">
        <v>880</v>
      </c>
      <c r="C374" s="9" t="s">
        <v>12</v>
      </c>
      <c r="D374" s="9">
        <v>166000</v>
      </c>
      <c r="E374" s="9" t="s">
        <v>2241</v>
      </c>
      <c r="F374" s="9" t="s">
        <v>62</v>
      </c>
      <c r="G374" s="9" t="s">
        <v>58</v>
      </c>
    </row>
    <row r="375" spans="2:7" x14ac:dyDescent="0.25">
      <c r="B375" s="9" t="s">
        <v>882</v>
      </c>
      <c r="C375" s="9" t="s">
        <v>18</v>
      </c>
      <c r="D375" s="9">
        <v>47000</v>
      </c>
      <c r="E375" s="9" t="s">
        <v>2242</v>
      </c>
      <c r="F375" s="9" t="s">
        <v>65</v>
      </c>
      <c r="G375" s="9" t="s">
        <v>51</v>
      </c>
    </row>
    <row r="376" spans="2:7" x14ac:dyDescent="0.25">
      <c r="B376" s="9" t="s">
        <v>884</v>
      </c>
      <c r="C376" s="9" t="s">
        <v>22</v>
      </c>
      <c r="D376" s="9">
        <v>51000</v>
      </c>
      <c r="E376" s="9" t="s">
        <v>2243</v>
      </c>
      <c r="F376" s="9" t="s">
        <v>64</v>
      </c>
      <c r="G376" s="9" t="s">
        <v>49</v>
      </c>
    </row>
    <row r="377" spans="2:7" x14ac:dyDescent="0.25">
      <c r="B377" s="9" t="s">
        <v>886</v>
      </c>
      <c r="C377" s="9" t="s">
        <v>12</v>
      </c>
      <c r="D377" s="9">
        <v>281000</v>
      </c>
      <c r="E377" s="9" t="s">
        <v>2243</v>
      </c>
      <c r="F377" s="9" t="s">
        <v>66</v>
      </c>
      <c r="G377" s="9" t="s">
        <v>53</v>
      </c>
    </row>
    <row r="378" spans="2:7" x14ac:dyDescent="0.25">
      <c r="B378" s="9" t="s">
        <v>887</v>
      </c>
      <c r="C378" s="9" t="s">
        <v>12</v>
      </c>
      <c r="D378" s="9">
        <v>284000</v>
      </c>
      <c r="E378" s="9" t="s">
        <v>2244</v>
      </c>
      <c r="F378" s="9" t="s">
        <v>67</v>
      </c>
      <c r="G378" s="9" t="s">
        <v>58</v>
      </c>
    </row>
    <row r="379" spans="2:7" x14ac:dyDescent="0.25">
      <c r="B379" s="9" t="s">
        <v>889</v>
      </c>
      <c r="C379" s="9" t="s">
        <v>18</v>
      </c>
      <c r="D379" s="9">
        <v>271000</v>
      </c>
      <c r="E379" s="9" t="s">
        <v>2245</v>
      </c>
      <c r="F379" s="9" t="s">
        <v>65</v>
      </c>
      <c r="G379" s="9" t="s">
        <v>47</v>
      </c>
    </row>
    <row r="380" spans="2:7" x14ac:dyDescent="0.25">
      <c r="B380" s="9" t="s">
        <v>891</v>
      </c>
      <c r="C380" s="9" t="s">
        <v>12</v>
      </c>
      <c r="D380" s="9">
        <v>161000</v>
      </c>
      <c r="E380" s="9" t="s">
        <v>2246</v>
      </c>
      <c r="F380" s="9" t="s">
        <v>66</v>
      </c>
      <c r="G380" s="9" t="s">
        <v>49</v>
      </c>
    </row>
    <row r="381" spans="2:7" x14ac:dyDescent="0.25">
      <c r="B381" s="9" t="s">
        <v>893</v>
      </c>
      <c r="C381" s="9" t="s">
        <v>18</v>
      </c>
      <c r="D381" s="9">
        <v>36000</v>
      </c>
      <c r="E381" s="9" t="s">
        <v>2247</v>
      </c>
      <c r="F381" s="9" t="s">
        <v>63</v>
      </c>
      <c r="G381" s="9" t="s">
        <v>61</v>
      </c>
    </row>
    <row r="382" spans="2:7" x14ac:dyDescent="0.25">
      <c r="B382" s="9" t="s">
        <v>895</v>
      </c>
      <c r="C382" s="9" t="s">
        <v>14</v>
      </c>
      <c r="D382" s="9">
        <v>298000</v>
      </c>
      <c r="E382" s="9" t="s">
        <v>2247</v>
      </c>
      <c r="F382" s="9" t="s">
        <v>66</v>
      </c>
      <c r="G382" s="9" t="s">
        <v>51</v>
      </c>
    </row>
    <row r="383" spans="2:7" x14ac:dyDescent="0.25">
      <c r="B383" s="9" t="s">
        <v>897</v>
      </c>
      <c r="C383" s="9" t="s">
        <v>14</v>
      </c>
      <c r="D383" s="9">
        <v>86000</v>
      </c>
      <c r="E383" s="9" t="s">
        <v>2248</v>
      </c>
      <c r="F383" s="9" t="s">
        <v>67</v>
      </c>
      <c r="G383" s="9" t="s">
        <v>58</v>
      </c>
    </row>
    <row r="384" spans="2:7" x14ac:dyDescent="0.25">
      <c r="B384" s="9" t="s">
        <v>899</v>
      </c>
      <c r="C384" s="9" t="s">
        <v>22</v>
      </c>
      <c r="D384" s="9">
        <v>71000</v>
      </c>
      <c r="E384" s="9" t="s">
        <v>2248</v>
      </c>
      <c r="F384" s="9" t="s">
        <v>62</v>
      </c>
      <c r="G384" s="9" t="s">
        <v>45</v>
      </c>
    </row>
    <row r="385" spans="2:7" x14ac:dyDescent="0.25">
      <c r="B385" s="9" t="s">
        <v>900</v>
      </c>
      <c r="C385" s="9" t="s">
        <v>20</v>
      </c>
      <c r="D385" s="9">
        <v>123000</v>
      </c>
      <c r="E385" s="9" t="s">
        <v>2249</v>
      </c>
      <c r="F385" s="9" t="s">
        <v>63</v>
      </c>
      <c r="G385" s="9" t="s">
        <v>43</v>
      </c>
    </row>
    <row r="386" spans="2:7" x14ac:dyDescent="0.25">
      <c r="B386" s="9" t="s">
        <v>902</v>
      </c>
      <c r="C386" s="9" t="s">
        <v>18</v>
      </c>
      <c r="D386" s="9">
        <v>175000</v>
      </c>
      <c r="E386" s="9" t="s">
        <v>2249</v>
      </c>
      <c r="F386" s="9" t="s">
        <v>66</v>
      </c>
      <c r="G386" s="9" t="s">
        <v>55</v>
      </c>
    </row>
    <row r="387" spans="2:7" x14ac:dyDescent="0.25">
      <c r="B387" s="9" t="s">
        <v>903</v>
      </c>
      <c r="C387" s="9" t="s">
        <v>22</v>
      </c>
      <c r="D387" s="9">
        <v>113000</v>
      </c>
      <c r="E387" s="9" t="s">
        <v>2250</v>
      </c>
      <c r="F387" s="9" t="s">
        <v>66</v>
      </c>
      <c r="G387" s="9" t="s">
        <v>58</v>
      </c>
    </row>
    <row r="388" spans="2:7" x14ac:dyDescent="0.25">
      <c r="B388" s="9" t="s">
        <v>905</v>
      </c>
      <c r="C388" s="9" t="s">
        <v>16</v>
      </c>
      <c r="D388" s="9">
        <v>270000</v>
      </c>
      <c r="E388" s="9" t="s">
        <v>2251</v>
      </c>
      <c r="F388" s="9" t="s">
        <v>67</v>
      </c>
      <c r="G388" s="9" t="s">
        <v>49</v>
      </c>
    </row>
    <row r="389" spans="2:7" x14ac:dyDescent="0.25">
      <c r="B389" s="9" t="s">
        <v>907</v>
      </c>
      <c r="C389" s="9" t="s">
        <v>24</v>
      </c>
      <c r="D389" s="9">
        <v>191000</v>
      </c>
      <c r="E389" s="9" t="s">
        <v>2252</v>
      </c>
      <c r="F389" s="9" t="s">
        <v>65</v>
      </c>
      <c r="G389" s="9" t="s">
        <v>45</v>
      </c>
    </row>
    <row r="390" spans="2:7" x14ac:dyDescent="0.25">
      <c r="B390" s="9" t="s">
        <v>909</v>
      </c>
      <c r="C390" s="9" t="s">
        <v>20</v>
      </c>
      <c r="D390" s="9">
        <v>46000</v>
      </c>
      <c r="E390" s="9" t="s">
        <v>2253</v>
      </c>
      <c r="F390" s="9" t="s">
        <v>63</v>
      </c>
      <c r="G390" s="9" t="s">
        <v>61</v>
      </c>
    </row>
    <row r="391" spans="2:7" x14ac:dyDescent="0.25">
      <c r="B391" s="9" t="s">
        <v>911</v>
      </c>
      <c r="C391" s="9" t="s">
        <v>18</v>
      </c>
      <c r="D391" s="9">
        <v>261000</v>
      </c>
      <c r="E391" s="9" t="s">
        <v>2254</v>
      </c>
      <c r="F391" s="9" t="s">
        <v>64</v>
      </c>
      <c r="G391" s="9" t="s">
        <v>51</v>
      </c>
    </row>
    <row r="392" spans="2:7" x14ac:dyDescent="0.25">
      <c r="B392" s="9" t="s">
        <v>913</v>
      </c>
      <c r="C392" s="9" t="s">
        <v>14</v>
      </c>
      <c r="D392" s="9">
        <v>35000</v>
      </c>
      <c r="E392" s="9" t="s">
        <v>2255</v>
      </c>
      <c r="F392" s="9" t="s">
        <v>62</v>
      </c>
      <c r="G392" s="9" t="s">
        <v>47</v>
      </c>
    </row>
    <row r="393" spans="2:7" x14ac:dyDescent="0.25">
      <c r="B393" s="9" t="s">
        <v>916</v>
      </c>
      <c r="C393" s="9" t="s">
        <v>16</v>
      </c>
      <c r="D393" s="9">
        <v>264000</v>
      </c>
      <c r="E393" s="9" t="s">
        <v>2255</v>
      </c>
      <c r="F393" s="9" t="s">
        <v>67</v>
      </c>
      <c r="G393" s="9" t="s">
        <v>61</v>
      </c>
    </row>
    <row r="394" spans="2:7" x14ac:dyDescent="0.25">
      <c r="B394" s="9" t="s">
        <v>917</v>
      </c>
      <c r="C394" s="9" t="s">
        <v>24</v>
      </c>
      <c r="D394" s="9">
        <v>63000</v>
      </c>
      <c r="E394" s="9" t="s">
        <v>2256</v>
      </c>
      <c r="F394" s="9" t="s">
        <v>66</v>
      </c>
      <c r="G394" s="9" t="s">
        <v>45</v>
      </c>
    </row>
    <row r="395" spans="2:7" x14ac:dyDescent="0.25">
      <c r="B395" s="9" t="s">
        <v>919</v>
      </c>
      <c r="C395" s="9" t="s">
        <v>22</v>
      </c>
      <c r="D395" s="9">
        <v>134000</v>
      </c>
      <c r="E395" s="9" t="s">
        <v>2256</v>
      </c>
      <c r="F395" s="9" t="s">
        <v>64</v>
      </c>
      <c r="G395" s="9" t="s">
        <v>53</v>
      </c>
    </row>
    <row r="396" spans="2:7" x14ac:dyDescent="0.25">
      <c r="B396" s="9" t="s">
        <v>921</v>
      </c>
      <c r="C396" s="9" t="s">
        <v>12</v>
      </c>
      <c r="D396" s="9">
        <v>253000</v>
      </c>
      <c r="E396" s="9" t="s">
        <v>2257</v>
      </c>
      <c r="F396" s="9" t="s">
        <v>62</v>
      </c>
      <c r="G396" s="9" t="s">
        <v>47</v>
      </c>
    </row>
    <row r="397" spans="2:7" x14ac:dyDescent="0.25">
      <c r="B397" s="9" t="s">
        <v>924</v>
      </c>
      <c r="C397" s="9" t="s">
        <v>24</v>
      </c>
      <c r="D397" s="9">
        <v>87000</v>
      </c>
      <c r="E397" s="9" t="s">
        <v>2258</v>
      </c>
      <c r="F397" s="9" t="s">
        <v>66</v>
      </c>
      <c r="G397" s="9" t="s">
        <v>43</v>
      </c>
    </row>
    <row r="398" spans="2:7" x14ac:dyDescent="0.25">
      <c r="B398" s="9" t="s">
        <v>927</v>
      </c>
      <c r="C398" s="9" t="s">
        <v>20</v>
      </c>
      <c r="D398" s="9">
        <v>253000</v>
      </c>
      <c r="E398" s="9" t="s">
        <v>2258</v>
      </c>
      <c r="F398" s="9" t="s">
        <v>63</v>
      </c>
      <c r="G398" s="9" t="s">
        <v>51</v>
      </c>
    </row>
    <row r="399" spans="2:7" x14ac:dyDescent="0.25">
      <c r="B399" s="9" t="s">
        <v>928</v>
      </c>
      <c r="C399" s="9" t="s">
        <v>18</v>
      </c>
      <c r="D399" s="9">
        <v>237000</v>
      </c>
      <c r="E399" s="9" t="s">
        <v>2259</v>
      </c>
      <c r="F399" s="9" t="s">
        <v>62</v>
      </c>
      <c r="G399" s="9" t="s">
        <v>61</v>
      </c>
    </row>
    <row r="400" spans="2:7" x14ac:dyDescent="0.25">
      <c r="B400" s="9" t="s">
        <v>930</v>
      </c>
      <c r="C400" s="9" t="s">
        <v>16</v>
      </c>
      <c r="D400" s="9">
        <v>129000</v>
      </c>
      <c r="E400" s="9" t="s">
        <v>2260</v>
      </c>
      <c r="F400" s="9" t="s">
        <v>64</v>
      </c>
      <c r="G400" s="9" t="s">
        <v>58</v>
      </c>
    </row>
    <row r="401" spans="2:7" x14ac:dyDescent="0.25">
      <c r="B401" s="9" t="s">
        <v>933</v>
      </c>
      <c r="C401" s="9" t="s">
        <v>20</v>
      </c>
      <c r="D401" s="9">
        <v>168000</v>
      </c>
      <c r="E401" s="9" t="s">
        <v>2261</v>
      </c>
      <c r="F401" s="9" t="s">
        <v>65</v>
      </c>
      <c r="G401" s="9" t="s">
        <v>55</v>
      </c>
    </row>
    <row r="402" spans="2:7" x14ac:dyDescent="0.25">
      <c r="B402" s="9" t="s">
        <v>935</v>
      </c>
      <c r="C402" s="9" t="s">
        <v>12</v>
      </c>
      <c r="D402" s="9">
        <v>174000</v>
      </c>
      <c r="E402" s="9" t="s">
        <v>2262</v>
      </c>
      <c r="F402" s="9" t="s">
        <v>67</v>
      </c>
      <c r="G402" s="9" t="s">
        <v>58</v>
      </c>
    </row>
    <row r="403" spans="2:7" x14ac:dyDescent="0.25">
      <c r="B403" s="9" t="s">
        <v>937</v>
      </c>
      <c r="C403" s="9" t="s">
        <v>12</v>
      </c>
      <c r="D403" s="9">
        <v>210000</v>
      </c>
      <c r="E403" s="9" t="s">
        <v>2263</v>
      </c>
      <c r="F403" s="9" t="s">
        <v>66</v>
      </c>
      <c r="G403" s="9" t="s">
        <v>61</v>
      </c>
    </row>
    <row r="404" spans="2:7" x14ac:dyDescent="0.25">
      <c r="B404" s="9" t="s">
        <v>939</v>
      </c>
      <c r="C404" s="9" t="s">
        <v>12</v>
      </c>
      <c r="D404" s="9">
        <v>94000</v>
      </c>
      <c r="E404" s="9" t="s">
        <v>2264</v>
      </c>
      <c r="F404" s="9" t="s">
        <v>67</v>
      </c>
      <c r="G404" s="9" t="s">
        <v>58</v>
      </c>
    </row>
    <row r="405" spans="2:7" x14ac:dyDescent="0.25">
      <c r="B405" s="9" t="s">
        <v>941</v>
      </c>
      <c r="C405" s="9" t="s">
        <v>18</v>
      </c>
      <c r="D405" s="9">
        <v>71000</v>
      </c>
      <c r="E405" s="9" t="s">
        <v>2265</v>
      </c>
      <c r="F405" s="9" t="s">
        <v>66</v>
      </c>
      <c r="G405" s="9" t="s">
        <v>45</v>
      </c>
    </row>
    <row r="406" spans="2:7" x14ac:dyDescent="0.25">
      <c r="B406" s="9" t="s">
        <v>943</v>
      </c>
      <c r="C406" s="9" t="s">
        <v>20</v>
      </c>
      <c r="D406" s="9">
        <v>255000</v>
      </c>
      <c r="E406" s="9" t="s">
        <v>2265</v>
      </c>
      <c r="F406" s="9" t="s">
        <v>66</v>
      </c>
      <c r="G406" s="9" t="s">
        <v>49</v>
      </c>
    </row>
    <row r="407" spans="2:7" x14ac:dyDescent="0.25">
      <c r="B407" s="9" t="s">
        <v>944</v>
      </c>
      <c r="C407" s="9" t="s">
        <v>24</v>
      </c>
      <c r="D407" s="9">
        <v>80000</v>
      </c>
      <c r="E407" s="9" t="s">
        <v>2266</v>
      </c>
      <c r="F407" s="9" t="s">
        <v>65</v>
      </c>
      <c r="G407" s="9" t="s">
        <v>51</v>
      </c>
    </row>
    <row r="408" spans="2:7" x14ac:dyDescent="0.25">
      <c r="B408" s="9" t="s">
        <v>946</v>
      </c>
      <c r="C408" s="9" t="s">
        <v>24</v>
      </c>
      <c r="D408" s="9">
        <v>87000</v>
      </c>
      <c r="E408" s="9" t="s">
        <v>2267</v>
      </c>
      <c r="F408" s="9" t="s">
        <v>65</v>
      </c>
      <c r="G408" s="9" t="s">
        <v>49</v>
      </c>
    </row>
    <row r="409" spans="2:7" x14ac:dyDescent="0.25">
      <c r="B409" s="9" t="s">
        <v>948</v>
      </c>
      <c r="C409" s="9" t="s">
        <v>16</v>
      </c>
      <c r="D409" s="9">
        <v>141000</v>
      </c>
      <c r="E409" s="9" t="s">
        <v>2268</v>
      </c>
      <c r="F409" s="9" t="s">
        <v>63</v>
      </c>
      <c r="G409" s="9" t="s">
        <v>58</v>
      </c>
    </row>
    <row r="410" spans="2:7" x14ac:dyDescent="0.25">
      <c r="B410" s="9" t="s">
        <v>950</v>
      </c>
      <c r="C410" s="9" t="s">
        <v>12</v>
      </c>
      <c r="D410" s="9">
        <v>70000</v>
      </c>
      <c r="E410" s="9" t="s">
        <v>2269</v>
      </c>
      <c r="F410" s="9" t="s">
        <v>62</v>
      </c>
      <c r="G410" s="9" t="s">
        <v>53</v>
      </c>
    </row>
    <row r="411" spans="2:7" x14ac:dyDescent="0.25">
      <c r="B411" s="9" t="s">
        <v>952</v>
      </c>
      <c r="C411" s="9" t="s">
        <v>12</v>
      </c>
      <c r="D411" s="9">
        <v>266000</v>
      </c>
      <c r="E411" s="9" t="s">
        <v>2269</v>
      </c>
      <c r="F411" s="9" t="s">
        <v>66</v>
      </c>
      <c r="G411" s="9" t="s">
        <v>43</v>
      </c>
    </row>
    <row r="412" spans="2:7" x14ac:dyDescent="0.25">
      <c r="B412" s="9" t="s">
        <v>953</v>
      </c>
      <c r="C412" s="9" t="s">
        <v>22</v>
      </c>
      <c r="D412" s="9">
        <v>41000</v>
      </c>
      <c r="E412" s="9" t="s">
        <v>2269</v>
      </c>
      <c r="F412" s="9" t="s">
        <v>64</v>
      </c>
      <c r="G412" s="9" t="s">
        <v>43</v>
      </c>
    </row>
    <row r="413" spans="2:7" x14ac:dyDescent="0.25">
      <c r="B413" s="9" t="s">
        <v>954</v>
      </c>
      <c r="C413" s="9" t="s">
        <v>24</v>
      </c>
      <c r="D413" s="9">
        <v>238000</v>
      </c>
      <c r="E413" s="9" t="s">
        <v>2269</v>
      </c>
      <c r="F413" s="9" t="s">
        <v>66</v>
      </c>
      <c r="G413" s="9" t="s">
        <v>58</v>
      </c>
    </row>
    <row r="414" spans="2:7" x14ac:dyDescent="0.25">
      <c r="B414" s="9" t="s">
        <v>955</v>
      </c>
      <c r="C414" s="9" t="s">
        <v>14</v>
      </c>
      <c r="D414" s="9">
        <v>55000</v>
      </c>
      <c r="E414" s="9" t="s">
        <v>2270</v>
      </c>
      <c r="F414" s="9" t="s">
        <v>67</v>
      </c>
      <c r="G414" s="9" t="s">
        <v>47</v>
      </c>
    </row>
    <row r="415" spans="2:7" x14ac:dyDescent="0.25">
      <c r="B415" s="9" t="s">
        <v>957</v>
      </c>
      <c r="C415" s="9" t="s">
        <v>24</v>
      </c>
      <c r="D415" s="9">
        <v>146000</v>
      </c>
      <c r="E415" s="9" t="s">
        <v>2271</v>
      </c>
      <c r="F415" s="9" t="s">
        <v>67</v>
      </c>
      <c r="G415" s="9" t="s">
        <v>58</v>
      </c>
    </row>
    <row r="416" spans="2:7" x14ac:dyDescent="0.25">
      <c r="B416" s="9" t="s">
        <v>960</v>
      </c>
      <c r="C416" s="9" t="s">
        <v>22</v>
      </c>
      <c r="D416" s="9">
        <v>95000</v>
      </c>
      <c r="E416" s="9" t="s">
        <v>2272</v>
      </c>
      <c r="F416" s="9" t="s">
        <v>63</v>
      </c>
      <c r="G416" s="9" t="s">
        <v>45</v>
      </c>
    </row>
    <row r="417" spans="2:7" x14ac:dyDescent="0.25">
      <c r="B417" s="9" t="s">
        <v>963</v>
      </c>
      <c r="C417" s="9" t="s">
        <v>14</v>
      </c>
      <c r="D417" s="9">
        <v>248000</v>
      </c>
      <c r="E417" s="9" t="s">
        <v>2273</v>
      </c>
      <c r="F417" s="9" t="s">
        <v>67</v>
      </c>
      <c r="G417" s="9" t="s">
        <v>43</v>
      </c>
    </row>
    <row r="418" spans="2:7" x14ac:dyDescent="0.25">
      <c r="B418" s="9" t="s">
        <v>966</v>
      </c>
      <c r="C418" s="9" t="s">
        <v>12</v>
      </c>
      <c r="D418" s="9">
        <v>204000</v>
      </c>
      <c r="E418" s="9" t="s">
        <v>2274</v>
      </c>
      <c r="F418" s="9" t="s">
        <v>67</v>
      </c>
      <c r="G418" s="9" t="s">
        <v>43</v>
      </c>
    </row>
    <row r="419" spans="2:7" x14ac:dyDescent="0.25">
      <c r="B419" s="9" t="s">
        <v>968</v>
      </c>
      <c r="C419" s="9" t="s">
        <v>16</v>
      </c>
      <c r="D419" s="9">
        <v>139000</v>
      </c>
      <c r="E419" s="9" t="s">
        <v>2275</v>
      </c>
      <c r="F419" s="9" t="s">
        <v>63</v>
      </c>
      <c r="G419" s="9" t="s">
        <v>55</v>
      </c>
    </row>
    <row r="420" spans="2:7" x14ac:dyDescent="0.25">
      <c r="B420" s="9" t="s">
        <v>970</v>
      </c>
      <c r="C420" s="9" t="s">
        <v>12</v>
      </c>
      <c r="D420" s="9">
        <v>196000</v>
      </c>
      <c r="E420" s="9" t="s">
        <v>2276</v>
      </c>
      <c r="F420" s="9" t="s">
        <v>65</v>
      </c>
      <c r="G420" s="9" t="s">
        <v>45</v>
      </c>
    </row>
    <row r="421" spans="2:7" x14ac:dyDescent="0.25">
      <c r="B421" s="9" t="s">
        <v>972</v>
      </c>
      <c r="C421" s="9" t="s">
        <v>12</v>
      </c>
      <c r="D421" s="9">
        <v>273000</v>
      </c>
      <c r="E421" s="9" t="s">
        <v>2277</v>
      </c>
      <c r="F421" s="9" t="s">
        <v>67</v>
      </c>
      <c r="G421" s="9" t="s">
        <v>53</v>
      </c>
    </row>
    <row r="422" spans="2:7" x14ac:dyDescent="0.25">
      <c r="B422" s="9" t="s">
        <v>974</v>
      </c>
      <c r="C422" s="9" t="s">
        <v>20</v>
      </c>
      <c r="D422" s="9">
        <v>107000</v>
      </c>
      <c r="E422" s="9" t="s">
        <v>2278</v>
      </c>
      <c r="F422" s="9" t="s">
        <v>66</v>
      </c>
      <c r="G422" s="9" t="s">
        <v>45</v>
      </c>
    </row>
    <row r="423" spans="2:7" x14ac:dyDescent="0.25">
      <c r="B423" s="9" t="s">
        <v>976</v>
      </c>
      <c r="C423" s="9" t="s">
        <v>24</v>
      </c>
      <c r="D423" s="9">
        <v>147000</v>
      </c>
      <c r="E423" s="9" t="s">
        <v>2278</v>
      </c>
      <c r="F423" s="9" t="s">
        <v>63</v>
      </c>
      <c r="G423" s="9" t="s">
        <v>58</v>
      </c>
    </row>
    <row r="424" spans="2:7" x14ac:dyDescent="0.25">
      <c r="B424" s="9" t="s">
        <v>977</v>
      </c>
      <c r="C424" s="9" t="s">
        <v>20</v>
      </c>
      <c r="D424" s="9">
        <v>261000</v>
      </c>
      <c r="E424" s="9" t="s">
        <v>2278</v>
      </c>
      <c r="F424" s="9" t="s">
        <v>66</v>
      </c>
      <c r="G424" s="9" t="s">
        <v>61</v>
      </c>
    </row>
    <row r="425" spans="2:7" x14ac:dyDescent="0.25">
      <c r="B425" s="9" t="s">
        <v>978</v>
      </c>
      <c r="C425" s="9" t="s">
        <v>16</v>
      </c>
      <c r="D425" s="9">
        <v>83000</v>
      </c>
      <c r="E425" s="9" t="s">
        <v>2278</v>
      </c>
      <c r="F425" s="9" t="s">
        <v>67</v>
      </c>
      <c r="G425" s="9" t="s">
        <v>49</v>
      </c>
    </row>
    <row r="426" spans="2:7" x14ac:dyDescent="0.25">
      <c r="B426" s="9" t="s">
        <v>980</v>
      </c>
      <c r="C426" s="9" t="s">
        <v>24</v>
      </c>
      <c r="D426" s="9">
        <v>165000</v>
      </c>
      <c r="E426" s="9" t="s">
        <v>2279</v>
      </c>
      <c r="F426" s="9" t="s">
        <v>66</v>
      </c>
      <c r="G426" s="9" t="s">
        <v>43</v>
      </c>
    </row>
    <row r="427" spans="2:7" x14ac:dyDescent="0.25">
      <c r="B427" s="9" t="s">
        <v>983</v>
      </c>
      <c r="C427" s="9" t="s">
        <v>16</v>
      </c>
      <c r="D427" s="9">
        <v>214000</v>
      </c>
      <c r="E427" s="9" t="s">
        <v>2279</v>
      </c>
      <c r="F427" s="9" t="s">
        <v>64</v>
      </c>
      <c r="G427" s="9" t="s">
        <v>49</v>
      </c>
    </row>
    <row r="428" spans="2:7" x14ac:dyDescent="0.25">
      <c r="B428" s="9" t="s">
        <v>984</v>
      </c>
      <c r="C428" s="9" t="s">
        <v>12</v>
      </c>
      <c r="D428" s="9">
        <v>241000</v>
      </c>
      <c r="E428" s="9" t="s">
        <v>2279</v>
      </c>
      <c r="F428" s="9" t="s">
        <v>66</v>
      </c>
      <c r="G428" s="9" t="s">
        <v>53</v>
      </c>
    </row>
    <row r="429" spans="2:7" x14ac:dyDescent="0.25">
      <c r="B429" s="9" t="s">
        <v>985</v>
      </c>
      <c r="C429" s="9" t="s">
        <v>14</v>
      </c>
      <c r="D429" s="9">
        <v>265000</v>
      </c>
      <c r="E429" s="9" t="s">
        <v>2280</v>
      </c>
      <c r="F429" s="9" t="s">
        <v>64</v>
      </c>
      <c r="G429" s="9" t="s">
        <v>51</v>
      </c>
    </row>
    <row r="430" spans="2:7" x14ac:dyDescent="0.25">
      <c r="B430" s="9" t="s">
        <v>988</v>
      </c>
      <c r="C430" s="9" t="s">
        <v>14</v>
      </c>
      <c r="D430" s="9">
        <v>184000</v>
      </c>
      <c r="E430" s="9" t="s">
        <v>2281</v>
      </c>
      <c r="F430" s="9" t="s">
        <v>62</v>
      </c>
      <c r="G430" s="9" t="s">
        <v>58</v>
      </c>
    </row>
    <row r="431" spans="2:7" x14ac:dyDescent="0.25">
      <c r="B431" s="9" t="s">
        <v>991</v>
      </c>
      <c r="C431" s="9" t="s">
        <v>18</v>
      </c>
      <c r="D431" s="9">
        <v>179000</v>
      </c>
      <c r="E431" s="9" t="s">
        <v>2282</v>
      </c>
      <c r="F431" s="9" t="s">
        <v>64</v>
      </c>
      <c r="G431" s="9" t="s">
        <v>61</v>
      </c>
    </row>
    <row r="432" spans="2:7" x14ac:dyDescent="0.25">
      <c r="B432" s="9" t="s">
        <v>993</v>
      </c>
      <c r="C432" s="9" t="s">
        <v>16</v>
      </c>
      <c r="D432" s="9">
        <v>159000</v>
      </c>
      <c r="E432" s="9" t="s">
        <v>2283</v>
      </c>
      <c r="F432" s="9" t="s">
        <v>64</v>
      </c>
      <c r="G432" s="9" t="s">
        <v>58</v>
      </c>
    </row>
    <row r="433" spans="2:7" x14ac:dyDescent="0.25">
      <c r="B433" s="9" t="s">
        <v>995</v>
      </c>
      <c r="C433" s="9" t="s">
        <v>20</v>
      </c>
      <c r="D433" s="9">
        <v>170000</v>
      </c>
      <c r="E433" s="9" t="s">
        <v>2284</v>
      </c>
      <c r="F433" s="9" t="s">
        <v>62</v>
      </c>
      <c r="G433" s="9" t="s">
        <v>55</v>
      </c>
    </row>
    <row r="434" spans="2:7" x14ac:dyDescent="0.25">
      <c r="B434" s="9" t="s">
        <v>997</v>
      </c>
      <c r="C434" s="9" t="s">
        <v>16</v>
      </c>
      <c r="D434" s="9">
        <v>182000</v>
      </c>
      <c r="E434" s="9" t="s">
        <v>2285</v>
      </c>
      <c r="F434" s="9" t="s">
        <v>67</v>
      </c>
      <c r="G434" s="9" t="s">
        <v>61</v>
      </c>
    </row>
    <row r="435" spans="2:7" x14ac:dyDescent="0.25">
      <c r="B435" s="9" t="s">
        <v>999</v>
      </c>
      <c r="C435" s="9" t="s">
        <v>14</v>
      </c>
      <c r="D435" s="9">
        <v>58000</v>
      </c>
      <c r="E435" s="9" t="s">
        <v>2286</v>
      </c>
      <c r="F435" s="9" t="s">
        <v>66</v>
      </c>
      <c r="G435" s="9" t="s">
        <v>49</v>
      </c>
    </row>
    <row r="436" spans="2:7" x14ac:dyDescent="0.25">
      <c r="B436" s="9" t="s">
        <v>1001</v>
      </c>
      <c r="C436" s="9" t="s">
        <v>16</v>
      </c>
      <c r="D436" s="9">
        <v>46000</v>
      </c>
      <c r="E436" s="9" t="s">
        <v>2286</v>
      </c>
      <c r="F436" s="9" t="s">
        <v>67</v>
      </c>
      <c r="G436" s="9" t="s">
        <v>55</v>
      </c>
    </row>
    <row r="437" spans="2:7" x14ac:dyDescent="0.25">
      <c r="B437" s="9" t="s">
        <v>1002</v>
      </c>
      <c r="C437" s="9" t="s">
        <v>14</v>
      </c>
      <c r="D437" s="9">
        <v>93000</v>
      </c>
      <c r="E437" s="9" t="s">
        <v>2286</v>
      </c>
      <c r="F437" s="9" t="s">
        <v>64</v>
      </c>
      <c r="G437" s="9" t="s">
        <v>47</v>
      </c>
    </row>
    <row r="438" spans="2:7" x14ac:dyDescent="0.25">
      <c r="B438" s="9" t="s">
        <v>1003</v>
      </c>
      <c r="C438" s="9" t="s">
        <v>16</v>
      </c>
      <c r="D438" s="9">
        <v>108000</v>
      </c>
      <c r="E438" s="9" t="s">
        <v>2287</v>
      </c>
      <c r="F438" s="9" t="s">
        <v>66</v>
      </c>
      <c r="G438" s="9" t="s">
        <v>51</v>
      </c>
    </row>
    <row r="439" spans="2:7" x14ac:dyDescent="0.25">
      <c r="B439" s="9" t="s">
        <v>1005</v>
      </c>
      <c r="C439" s="9" t="s">
        <v>14</v>
      </c>
      <c r="D439" s="9">
        <v>202000</v>
      </c>
      <c r="E439" s="9" t="s">
        <v>2288</v>
      </c>
      <c r="F439" s="9" t="s">
        <v>62</v>
      </c>
      <c r="G439" s="9" t="s">
        <v>43</v>
      </c>
    </row>
    <row r="440" spans="2:7" x14ac:dyDescent="0.25">
      <c r="B440" s="9" t="s">
        <v>1007</v>
      </c>
      <c r="C440" s="9" t="s">
        <v>20</v>
      </c>
      <c r="D440" s="9">
        <v>154000</v>
      </c>
      <c r="E440" s="9" t="s">
        <v>2289</v>
      </c>
      <c r="F440" s="9" t="s">
        <v>65</v>
      </c>
      <c r="G440" s="9" t="s">
        <v>61</v>
      </c>
    </row>
    <row r="441" spans="2:7" x14ac:dyDescent="0.25">
      <c r="B441" s="9" t="s">
        <v>1009</v>
      </c>
      <c r="C441" s="9" t="s">
        <v>16</v>
      </c>
      <c r="D441" s="9">
        <v>118000</v>
      </c>
      <c r="E441" s="9" t="s">
        <v>2289</v>
      </c>
      <c r="F441" s="9" t="s">
        <v>63</v>
      </c>
      <c r="G441" s="9" t="s">
        <v>51</v>
      </c>
    </row>
    <row r="442" spans="2:7" x14ac:dyDescent="0.25">
      <c r="B442" s="9" t="s">
        <v>1010</v>
      </c>
      <c r="C442" s="9" t="s">
        <v>22</v>
      </c>
      <c r="D442" s="9">
        <v>268000</v>
      </c>
      <c r="E442" s="9" t="s">
        <v>2290</v>
      </c>
      <c r="F442" s="9" t="s">
        <v>63</v>
      </c>
      <c r="G442" s="9" t="s">
        <v>51</v>
      </c>
    </row>
    <row r="443" spans="2:7" x14ac:dyDescent="0.25">
      <c r="B443" s="9" t="s">
        <v>1012</v>
      </c>
      <c r="C443" s="9" t="s">
        <v>20</v>
      </c>
      <c r="D443" s="9">
        <v>82000</v>
      </c>
      <c r="E443" s="9" t="s">
        <v>2290</v>
      </c>
      <c r="F443" s="9" t="s">
        <v>63</v>
      </c>
      <c r="G443" s="9" t="s">
        <v>58</v>
      </c>
    </row>
    <row r="444" spans="2:7" x14ac:dyDescent="0.25">
      <c r="B444" s="9" t="s">
        <v>1013</v>
      </c>
      <c r="C444" s="9" t="s">
        <v>12</v>
      </c>
      <c r="D444" s="9">
        <v>200000</v>
      </c>
      <c r="E444" s="9" t="s">
        <v>2291</v>
      </c>
      <c r="F444" s="9" t="s">
        <v>65</v>
      </c>
      <c r="G444" s="9" t="s">
        <v>53</v>
      </c>
    </row>
    <row r="445" spans="2:7" x14ac:dyDescent="0.25">
      <c r="B445" s="9" t="s">
        <v>1015</v>
      </c>
      <c r="C445" s="9" t="s">
        <v>16</v>
      </c>
      <c r="D445" s="9">
        <v>94000</v>
      </c>
      <c r="E445" s="9" t="s">
        <v>2292</v>
      </c>
      <c r="F445" s="9" t="s">
        <v>65</v>
      </c>
      <c r="G445" s="9" t="s">
        <v>43</v>
      </c>
    </row>
    <row r="446" spans="2:7" x14ac:dyDescent="0.25">
      <c r="B446" s="9" t="s">
        <v>1017</v>
      </c>
      <c r="C446" s="9" t="s">
        <v>22</v>
      </c>
      <c r="D446" s="9">
        <v>215000</v>
      </c>
      <c r="E446" s="9" t="s">
        <v>2293</v>
      </c>
      <c r="F446" s="9" t="s">
        <v>63</v>
      </c>
      <c r="G446" s="9" t="s">
        <v>45</v>
      </c>
    </row>
    <row r="447" spans="2:7" x14ac:dyDescent="0.25">
      <c r="B447" s="9" t="s">
        <v>1019</v>
      </c>
      <c r="C447" s="9" t="s">
        <v>16</v>
      </c>
      <c r="D447" s="9">
        <v>69000</v>
      </c>
      <c r="E447" s="9" t="s">
        <v>2294</v>
      </c>
      <c r="F447" s="9" t="s">
        <v>63</v>
      </c>
      <c r="G447" s="9" t="s">
        <v>61</v>
      </c>
    </row>
    <row r="448" spans="2:7" x14ac:dyDescent="0.25">
      <c r="B448" s="9" t="s">
        <v>1021</v>
      </c>
      <c r="C448" s="9" t="s">
        <v>22</v>
      </c>
      <c r="D448" s="9">
        <v>38000</v>
      </c>
      <c r="E448" s="9" t="s">
        <v>2295</v>
      </c>
      <c r="F448" s="9" t="s">
        <v>65</v>
      </c>
      <c r="G448" s="9" t="s">
        <v>43</v>
      </c>
    </row>
    <row r="449" spans="2:7" x14ac:dyDescent="0.25">
      <c r="B449" s="9" t="s">
        <v>1024</v>
      </c>
      <c r="C449" s="9" t="s">
        <v>20</v>
      </c>
      <c r="D449" s="9">
        <v>272000</v>
      </c>
      <c r="E449" s="9" t="s">
        <v>2296</v>
      </c>
      <c r="F449" s="9" t="s">
        <v>65</v>
      </c>
      <c r="G449" s="9" t="s">
        <v>55</v>
      </c>
    </row>
    <row r="450" spans="2:7" x14ac:dyDescent="0.25">
      <c r="B450" s="9" t="s">
        <v>1026</v>
      </c>
      <c r="C450" s="9" t="s">
        <v>16</v>
      </c>
      <c r="D450" s="9">
        <v>90000</v>
      </c>
      <c r="E450" s="9" t="s">
        <v>2297</v>
      </c>
      <c r="F450" s="9" t="s">
        <v>65</v>
      </c>
      <c r="G450" s="9" t="s">
        <v>55</v>
      </c>
    </row>
    <row r="451" spans="2:7" x14ac:dyDescent="0.25">
      <c r="B451" s="9" t="s">
        <v>1029</v>
      </c>
      <c r="C451" s="9" t="s">
        <v>16</v>
      </c>
      <c r="D451" s="9">
        <v>215000</v>
      </c>
      <c r="E451" s="9" t="s">
        <v>2298</v>
      </c>
      <c r="F451" s="9" t="s">
        <v>62</v>
      </c>
      <c r="G451" s="9" t="s">
        <v>45</v>
      </c>
    </row>
    <row r="452" spans="2:7" x14ac:dyDescent="0.25">
      <c r="B452" s="9" t="s">
        <v>1031</v>
      </c>
      <c r="C452" s="9" t="s">
        <v>18</v>
      </c>
      <c r="D452" s="9">
        <v>171000</v>
      </c>
      <c r="E452" s="9" t="s">
        <v>2298</v>
      </c>
      <c r="F452" s="9" t="s">
        <v>67</v>
      </c>
      <c r="G452" s="9" t="s">
        <v>49</v>
      </c>
    </row>
    <row r="453" spans="2:7" x14ac:dyDescent="0.25">
      <c r="B453" s="9" t="s">
        <v>1033</v>
      </c>
      <c r="C453" s="9" t="s">
        <v>22</v>
      </c>
      <c r="D453" s="9">
        <v>150000</v>
      </c>
      <c r="E453" s="9" t="s">
        <v>2299</v>
      </c>
      <c r="F453" s="9" t="s">
        <v>62</v>
      </c>
      <c r="G453" s="9" t="s">
        <v>53</v>
      </c>
    </row>
    <row r="454" spans="2:7" x14ac:dyDescent="0.25">
      <c r="B454" s="9" t="s">
        <v>1036</v>
      </c>
      <c r="C454" s="9" t="s">
        <v>16</v>
      </c>
      <c r="D454" s="9">
        <v>156000</v>
      </c>
      <c r="E454" s="9" t="s">
        <v>2300</v>
      </c>
      <c r="F454" s="9" t="s">
        <v>65</v>
      </c>
      <c r="G454" s="9" t="s">
        <v>58</v>
      </c>
    </row>
    <row r="455" spans="2:7" x14ac:dyDescent="0.25">
      <c r="B455" s="9" t="s">
        <v>1038</v>
      </c>
      <c r="C455" s="9" t="s">
        <v>14</v>
      </c>
      <c r="D455" s="9">
        <v>114000</v>
      </c>
      <c r="E455" s="9" t="s">
        <v>2300</v>
      </c>
      <c r="F455" s="9" t="s">
        <v>65</v>
      </c>
      <c r="G455" s="9" t="s">
        <v>47</v>
      </c>
    </row>
    <row r="456" spans="2:7" x14ac:dyDescent="0.25">
      <c r="B456" s="9" t="s">
        <v>1039</v>
      </c>
      <c r="C456" s="9" t="s">
        <v>20</v>
      </c>
      <c r="D456" s="9">
        <v>53000</v>
      </c>
      <c r="E456" s="9" t="s">
        <v>2301</v>
      </c>
      <c r="F456" s="9" t="s">
        <v>67</v>
      </c>
      <c r="G456" s="9" t="s">
        <v>55</v>
      </c>
    </row>
    <row r="457" spans="2:7" x14ac:dyDescent="0.25">
      <c r="B457" s="9" t="s">
        <v>1041</v>
      </c>
      <c r="C457" s="9" t="s">
        <v>22</v>
      </c>
      <c r="D457" s="9">
        <v>99000</v>
      </c>
      <c r="E457" s="9" t="s">
        <v>2302</v>
      </c>
      <c r="F457" s="9" t="s">
        <v>62</v>
      </c>
      <c r="G457" s="9" t="s">
        <v>61</v>
      </c>
    </row>
    <row r="458" spans="2:7" x14ac:dyDescent="0.25">
      <c r="B458" s="9" t="s">
        <v>1043</v>
      </c>
      <c r="C458" s="9" t="s">
        <v>14</v>
      </c>
      <c r="D458" s="9">
        <v>75000</v>
      </c>
      <c r="E458" s="9" t="s">
        <v>2303</v>
      </c>
      <c r="F458" s="9" t="s">
        <v>63</v>
      </c>
      <c r="G458" s="9" t="s">
        <v>43</v>
      </c>
    </row>
    <row r="459" spans="2:7" x14ac:dyDescent="0.25">
      <c r="B459" s="9" t="s">
        <v>1045</v>
      </c>
      <c r="C459" s="9" t="s">
        <v>16</v>
      </c>
      <c r="D459" s="9">
        <v>182000</v>
      </c>
      <c r="E459" s="9" t="s">
        <v>2304</v>
      </c>
      <c r="F459" s="9" t="s">
        <v>66</v>
      </c>
      <c r="G459" s="9" t="s">
        <v>47</v>
      </c>
    </row>
    <row r="460" spans="2:7" x14ac:dyDescent="0.25">
      <c r="B460" s="9" t="s">
        <v>1047</v>
      </c>
      <c r="C460" s="9" t="s">
        <v>14</v>
      </c>
      <c r="D460" s="9">
        <v>299000</v>
      </c>
      <c r="E460" s="9" t="s">
        <v>2305</v>
      </c>
      <c r="F460" s="9" t="s">
        <v>63</v>
      </c>
      <c r="G460" s="9" t="s">
        <v>58</v>
      </c>
    </row>
    <row r="461" spans="2:7" x14ac:dyDescent="0.25">
      <c r="B461" s="9" t="s">
        <v>1050</v>
      </c>
      <c r="C461" s="9" t="s">
        <v>24</v>
      </c>
      <c r="D461" s="9">
        <v>217000</v>
      </c>
      <c r="E461" s="9" t="s">
        <v>2306</v>
      </c>
      <c r="F461" s="9" t="s">
        <v>67</v>
      </c>
      <c r="G461" s="9" t="s">
        <v>49</v>
      </c>
    </row>
    <row r="462" spans="2:7" x14ac:dyDescent="0.25">
      <c r="B462" s="9" t="s">
        <v>1052</v>
      </c>
      <c r="C462" s="9" t="s">
        <v>14</v>
      </c>
      <c r="D462" s="9">
        <v>158000</v>
      </c>
      <c r="E462" s="9" t="s">
        <v>2306</v>
      </c>
      <c r="F462" s="9" t="s">
        <v>65</v>
      </c>
      <c r="G462" s="9" t="s">
        <v>49</v>
      </c>
    </row>
    <row r="463" spans="2:7" x14ac:dyDescent="0.25">
      <c r="B463" s="9" t="s">
        <v>1054</v>
      </c>
      <c r="C463" s="9" t="s">
        <v>22</v>
      </c>
      <c r="D463" s="9">
        <v>235000</v>
      </c>
      <c r="E463" s="9" t="s">
        <v>2307</v>
      </c>
      <c r="F463" s="9" t="s">
        <v>66</v>
      </c>
      <c r="G463" s="9" t="s">
        <v>58</v>
      </c>
    </row>
    <row r="464" spans="2:7" x14ac:dyDescent="0.25">
      <c r="B464" s="9" t="s">
        <v>1057</v>
      </c>
      <c r="C464" s="9" t="s">
        <v>16</v>
      </c>
      <c r="D464" s="9">
        <v>267000</v>
      </c>
      <c r="E464" s="9" t="s">
        <v>2308</v>
      </c>
      <c r="F464" s="9" t="s">
        <v>67</v>
      </c>
      <c r="G464" s="9" t="s">
        <v>45</v>
      </c>
    </row>
    <row r="465" spans="2:7" x14ac:dyDescent="0.25">
      <c r="B465" s="9" t="s">
        <v>1060</v>
      </c>
      <c r="C465" s="9" t="s">
        <v>14</v>
      </c>
      <c r="D465" s="9">
        <v>290000</v>
      </c>
      <c r="E465" s="9" t="s">
        <v>2309</v>
      </c>
      <c r="F465" s="9" t="s">
        <v>62</v>
      </c>
      <c r="G465" s="9" t="s">
        <v>45</v>
      </c>
    </row>
    <row r="466" spans="2:7" x14ac:dyDescent="0.25">
      <c r="B466" s="9" t="s">
        <v>1062</v>
      </c>
      <c r="C466" s="9" t="s">
        <v>14</v>
      </c>
      <c r="D466" s="9">
        <v>245000</v>
      </c>
      <c r="E466" s="9" t="s">
        <v>2309</v>
      </c>
      <c r="F466" s="9" t="s">
        <v>67</v>
      </c>
      <c r="G466" s="9" t="s">
        <v>47</v>
      </c>
    </row>
    <row r="467" spans="2:7" x14ac:dyDescent="0.25">
      <c r="B467" s="9" t="s">
        <v>1063</v>
      </c>
      <c r="C467" s="9" t="s">
        <v>24</v>
      </c>
      <c r="D467" s="9">
        <v>232000</v>
      </c>
      <c r="E467" s="9" t="s">
        <v>2309</v>
      </c>
      <c r="F467" s="9" t="s">
        <v>63</v>
      </c>
      <c r="G467" s="9" t="s">
        <v>45</v>
      </c>
    </row>
    <row r="468" spans="2:7" x14ac:dyDescent="0.25">
      <c r="B468" s="9" t="s">
        <v>1064</v>
      </c>
      <c r="C468" s="9" t="s">
        <v>20</v>
      </c>
      <c r="D468" s="9">
        <v>252000</v>
      </c>
      <c r="E468" s="9" t="s">
        <v>2310</v>
      </c>
      <c r="F468" s="9" t="s">
        <v>63</v>
      </c>
      <c r="G468" s="9" t="s">
        <v>61</v>
      </c>
    </row>
    <row r="469" spans="2:7" x14ac:dyDescent="0.25">
      <c r="B469" s="9" t="s">
        <v>1066</v>
      </c>
      <c r="C469" s="9" t="s">
        <v>20</v>
      </c>
      <c r="D469" s="9">
        <v>280000</v>
      </c>
      <c r="E469" s="9" t="s">
        <v>2311</v>
      </c>
      <c r="F469" s="9" t="s">
        <v>62</v>
      </c>
      <c r="G469" s="9" t="s">
        <v>53</v>
      </c>
    </row>
    <row r="470" spans="2:7" x14ac:dyDescent="0.25">
      <c r="B470" s="9" t="s">
        <v>1068</v>
      </c>
      <c r="C470" s="9" t="s">
        <v>22</v>
      </c>
      <c r="D470" s="9">
        <v>217000</v>
      </c>
      <c r="E470" s="9" t="s">
        <v>2312</v>
      </c>
      <c r="F470" s="9" t="s">
        <v>66</v>
      </c>
      <c r="G470" s="9" t="s">
        <v>53</v>
      </c>
    </row>
    <row r="471" spans="2:7" x14ac:dyDescent="0.25">
      <c r="B471" s="9" t="s">
        <v>1070</v>
      </c>
      <c r="C471" s="9" t="s">
        <v>18</v>
      </c>
      <c r="D471" s="9">
        <v>198000</v>
      </c>
      <c r="E471" s="9" t="s">
        <v>2313</v>
      </c>
      <c r="F471" s="9" t="s">
        <v>65</v>
      </c>
      <c r="G471" s="9" t="s">
        <v>61</v>
      </c>
    </row>
    <row r="472" spans="2:7" x14ac:dyDescent="0.25">
      <c r="B472" s="9" t="s">
        <v>1072</v>
      </c>
      <c r="C472" s="9" t="s">
        <v>24</v>
      </c>
      <c r="D472" s="9">
        <v>278000</v>
      </c>
      <c r="E472" s="9" t="s">
        <v>2313</v>
      </c>
      <c r="F472" s="9" t="s">
        <v>62</v>
      </c>
      <c r="G472" s="9" t="s">
        <v>49</v>
      </c>
    </row>
    <row r="473" spans="2:7" x14ac:dyDescent="0.25">
      <c r="B473" s="9" t="s">
        <v>1074</v>
      </c>
      <c r="C473" s="9" t="s">
        <v>20</v>
      </c>
      <c r="D473" s="9">
        <v>100000</v>
      </c>
      <c r="E473" s="9" t="s">
        <v>2314</v>
      </c>
      <c r="F473" s="9" t="s">
        <v>65</v>
      </c>
      <c r="G473" s="9" t="s">
        <v>45</v>
      </c>
    </row>
    <row r="474" spans="2:7" x14ac:dyDescent="0.25">
      <c r="B474" s="9" t="s">
        <v>1076</v>
      </c>
      <c r="C474" s="9" t="s">
        <v>18</v>
      </c>
      <c r="D474" s="9">
        <v>34000</v>
      </c>
      <c r="E474" s="9" t="s">
        <v>2314</v>
      </c>
      <c r="F474" s="9" t="s">
        <v>64</v>
      </c>
      <c r="G474" s="9" t="s">
        <v>47</v>
      </c>
    </row>
    <row r="475" spans="2:7" x14ac:dyDescent="0.25">
      <c r="B475" s="9" t="s">
        <v>1078</v>
      </c>
      <c r="C475" s="9" t="s">
        <v>14</v>
      </c>
      <c r="D475" s="9">
        <v>85000</v>
      </c>
      <c r="E475" s="9" t="s">
        <v>2315</v>
      </c>
      <c r="F475" s="9" t="s">
        <v>63</v>
      </c>
      <c r="G475" s="9" t="s">
        <v>53</v>
      </c>
    </row>
    <row r="476" spans="2:7" x14ac:dyDescent="0.25">
      <c r="B476" s="9" t="s">
        <v>1080</v>
      </c>
      <c r="C476" s="9" t="s">
        <v>16</v>
      </c>
      <c r="D476" s="9">
        <v>247000</v>
      </c>
      <c r="E476" s="9" t="s">
        <v>2315</v>
      </c>
      <c r="F476" s="9" t="s">
        <v>64</v>
      </c>
      <c r="G476" s="9" t="s">
        <v>43</v>
      </c>
    </row>
    <row r="477" spans="2:7" x14ac:dyDescent="0.25">
      <c r="B477" s="9" t="s">
        <v>1081</v>
      </c>
      <c r="C477" s="9" t="s">
        <v>18</v>
      </c>
      <c r="D477" s="9">
        <v>233000</v>
      </c>
      <c r="E477" s="9" t="s">
        <v>2315</v>
      </c>
      <c r="F477" s="9" t="s">
        <v>66</v>
      </c>
      <c r="G477" s="9" t="s">
        <v>51</v>
      </c>
    </row>
    <row r="478" spans="2:7" x14ac:dyDescent="0.25">
      <c r="B478" s="9" t="s">
        <v>1082</v>
      </c>
      <c r="C478" s="9" t="s">
        <v>18</v>
      </c>
      <c r="D478" s="9">
        <v>122000</v>
      </c>
      <c r="E478" s="9" t="s">
        <v>2316</v>
      </c>
      <c r="F478" s="9" t="s">
        <v>65</v>
      </c>
      <c r="G478" s="9" t="s">
        <v>49</v>
      </c>
    </row>
    <row r="479" spans="2:7" x14ac:dyDescent="0.25">
      <c r="B479" s="9" t="s">
        <v>1085</v>
      </c>
      <c r="C479" s="9" t="s">
        <v>18</v>
      </c>
      <c r="D479" s="9">
        <v>88000</v>
      </c>
      <c r="E479" s="9" t="s">
        <v>2317</v>
      </c>
      <c r="F479" s="9" t="s">
        <v>63</v>
      </c>
      <c r="G479" s="9" t="s">
        <v>55</v>
      </c>
    </row>
    <row r="480" spans="2:7" x14ac:dyDescent="0.25">
      <c r="B480" s="9" t="s">
        <v>1087</v>
      </c>
      <c r="C480" s="9" t="s">
        <v>18</v>
      </c>
      <c r="D480" s="9">
        <v>137000</v>
      </c>
      <c r="E480" s="9" t="s">
        <v>2318</v>
      </c>
      <c r="F480" s="9" t="s">
        <v>64</v>
      </c>
      <c r="G480" s="9" t="s">
        <v>47</v>
      </c>
    </row>
    <row r="481" spans="2:7" x14ac:dyDescent="0.25">
      <c r="B481" s="9" t="s">
        <v>1089</v>
      </c>
      <c r="C481" s="9" t="s">
        <v>16</v>
      </c>
      <c r="D481" s="9">
        <v>109000</v>
      </c>
      <c r="E481" s="9" t="s">
        <v>2319</v>
      </c>
      <c r="F481" s="9" t="s">
        <v>66</v>
      </c>
      <c r="G481" s="9" t="s">
        <v>61</v>
      </c>
    </row>
    <row r="482" spans="2:7" x14ac:dyDescent="0.25">
      <c r="B482" s="9" t="s">
        <v>1092</v>
      </c>
      <c r="C482" s="9" t="s">
        <v>14</v>
      </c>
      <c r="D482" s="9">
        <v>241000</v>
      </c>
      <c r="E482" s="9" t="s">
        <v>2319</v>
      </c>
      <c r="F482" s="9" t="s">
        <v>63</v>
      </c>
      <c r="G482" s="9" t="s">
        <v>58</v>
      </c>
    </row>
    <row r="483" spans="2:7" x14ac:dyDescent="0.25">
      <c r="B483" s="9" t="s">
        <v>1093</v>
      </c>
      <c r="C483" s="9" t="s">
        <v>22</v>
      </c>
      <c r="D483" s="9">
        <v>286000</v>
      </c>
      <c r="E483" s="9" t="s">
        <v>2320</v>
      </c>
      <c r="F483" s="9" t="s">
        <v>64</v>
      </c>
      <c r="G483" s="9" t="s">
        <v>55</v>
      </c>
    </row>
    <row r="484" spans="2:7" x14ac:dyDescent="0.25">
      <c r="B484" s="9" t="s">
        <v>1095</v>
      </c>
      <c r="C484" s="9" t="s">
        <v>24</v>
      </c>
      <c r="D484" s="9">
        <v>276000</v>
      </c>
      <c r="E484" s="9" t="s">
        <v>2320</v>
      </c>
      <c r="F484" s="9" t="s">
        <v>67</v>
      </c>
      <c r="G484" s="9" t="s">
        <v>47</v>
      </c>
    </row>
    <row r="485" spans="2:7" x14ac:dyDescent="0.25">
      <c r="B485" s="9" t="s">
        <v>1096</v>
      </c>
      <c r="C485" s="9" t="s">
        <v>12</v>
      </c>
      <c r="D485" s="9">
        <v>267000</v>
      </c>
      <c r="E485" s="9" t="s">
        <v>2321</v>
      </c>
      <c r="F485" s="9" t="s">
        <v>65</v>
      </c>
      <c r="G485" s="9" t="s">
        <v>43</v>
      </c>
    </row>
    <row r="486" spans="2:7" x14ac:dyDescent="0.25">
      <c r="B486" s="9" t="s">
        <v>1098</v>
      </c>
      <c r="C486" s="9" t="s">
        <v>14</v>
      </c>
      <c r="D486" s="9">
        <v>144000</v>
      </c>
      <c r="E486" s="9" t="s">
        <v>2322</v>
      </c>
      <c r="F486" s="9" t="s">
        <v>67</v>
      </c>
      <c r="G486" s="9" t="s">
        <v>61</v>
      </c>
    </row>
    <row r="487" spans="2:7" x14ac:dyDescent="0.25">
      <c r="B487" s="9" t="s">
        <v>1100</v>
      </c>
      <c r="C487" s="9" t="s">
        <v>12</v>
      </c>
      <c r="D487" s="9">
        <v>145000</v>
      </c>
      <c r="E487" s="9" t="s">
        <v>2323</v>
      </c>
      <c r="F487" s="9" t="s">
        <v>63</v>
      </c>
      <c r="G487" s="9" t="s">
        <v>43</v>
      </c>
    </row>
    <row r="488" spans="2:7" x14ac:dyDescent="0.25">
      <c r="B488" s="9" t="s">
        <v>1102</v>
      </c>
      <c r="C488" s="9" t="s">
        <v>14</v>
      </c>
      <c r="D488" s="9">
        <v>148000</v>
      </c>
      <c r="E488" s="9" t="s">
        <v>2324</v>
      </c>
      <c r="F488" s="9" t="s">
        <v>65</v>
      </c>
      <c r="G488" s="9" t="s">
        <v>55</v>
      </c>
    </row>
    <row r="489" spans="2:7" x14ac:dyDescent="0.25">
      <c r="B489" s="9" t="s">
        <v>1104</v>
      </c>
      <c r="C489" s="9" t="s">
        <v>12</v>
      </c>
      <c r="D489" s="9">
        <v>78000</v>
      </c>
      <c r="E489" s="9" t="s">
        <v>2325</v>
      </c>
      <c r="F489" s="9" t="s">
        <v>62</v>
      </c>
      <c r="G489" s="9" t="s">
        <v>58</v>
      </c>
    </row>
    <row r="490" spans="2:7" x14ac:dyDescent="0.25">
      <c r="B490" s="9" t="s">
        <v>1106</v>
      </c>
      <c r="C490" s="9" t="s">
        <v>24</v>
      </c>
      <c r="D490" s="9">
        <v>135000</v>
      </c>
      <c r="E490" s="9" t="s">
        <v>2326</v>
      </c>
      <c r="F490" s="9" t="s">
        <v>62</v>
      </c>
      <c r="G490" s="9" t="s">
        <v>55</v>
      </c>
    </row>
    <row r="491" spans="2:7" x14ac:dyDescent="0.25">
      <c r="B491" s="9" t="s">
        <v>1109</v>
      </c>
      <c r="C491" s="9" t="s">
        <v>24</v>
      </c>
      <c r="D491" s="9">
        <v>253000</v>
      </c>
      <c r="E491" s="9" t="s">
        <v>2327</v>
      </c>
      <c r="F491" s="9" t="s">
        <v>65</v>
      </c>
      <c r="G491" s="9" t="s">
        <v>47</v>
      </c>
    </row>
    <row r="492" spans="2:7" x14ac:dyDescent="0.25">
      <c r="B492" s="9" t="s">
        <v>1111</v>
      </c>
      <c r="C492" s="9" t="s">
        <v>24</v>
      </c>
      <c r="D492" s="9">
        <v>78000</v>
      </c>
      <c r="E492" s="9" t="s">
        <v>2328</v>
      </c>
      <c r="F492" s="9" t="s">
        <v>65</v>
      </c>
      <c r="G492" s="9" t="s">
        <v>53</v>
      </c>
    </row>
    <row r="493" spans="2:7" x14ac:dyDescent="0.25">
      <c r="B493" s="9" t="s">
        <v>1113</v>
      </c>
      <c r="C493" s="9" t="s">
        <v>14</v>
      </c>
      <c r="D493" s="9">
        <v>33000</v>
      </c>
      <c r="E493" s="9" t="s">
        <v>2329</v>
      </c>
      <c r="F493" s="9" t="s">
        <v>62</v>
      </c>
      <c r="G493" s="9" t="s">
        <v>47</v>
      </c>
    </row>
    <row r="494" spans="2:7" x14ac:dyDescent="0.25">
      <c r="B494" s="9" t="s">
        <v>1115</v>
      </c>
      <c r="C494" s="9" t="s">
        <v>20</v>
      </c>
      <c r="D494" s="9">
        <v>208000</v>
      </c>
      <c r="E494" s="9" t="s">
        <v>2330</v>
      </c>
      <c r="F494" s="9" t="s">
        <v>65</v>
      </c>
      <c r="G494" s="9" t="s">
        <v>49</v>
      </c>
    </row>
    <row r="495" spans="2:7" x14ac:dyDescent="0.25">
      <c r="B495" s="9" t="s">
        <v>1117</v>
      </c>
      <c r="C495" s="9" t="s">
        <v>24</v>
      </c>
      <c r="D495" s="9">
        <v>152000</v>
      </c>
      <c r="E495" s="9" t="s">
        <v>2330</v>
      </c>
      <c r="F495" s="9" t="s">
        <v>64</v>
      </c>
      <c r="G495" s="9" t="s">
        <v>45</v>
      </c>
    </row>
    <row r="496" spans="2:7" x14ac:dyDescent="0.25">
      <c r="B496" s="9" t="s">
        <v>1118</v>
      </c>
      <c r="C496" s="9" t="s">
        <v>18</v>
      </c>
      <c r="D496" s="9">
        <v>235000</v>
      </c>
      <c r="E496" s="9" t="s">
        <v>2331</v>
      </c>
      <c r="F496" s="9" t="s">
        <v>65</v>
      </c>
      <c r="G496" s="9" t="s">
        <v>51</v>
      </c>
    </row>
    <row r="497" spans="2:7" x14ac:dyDescent="0.25">
      <c r="B497" s="9" t="s">
        <v>1120</v>
      </c>
      <c r="C497" s="9" t="s">
        <v>12</v>
      </c>
      <c r="D497" s="9">
        <v>42000</v>
      </c>
      <c r="E497" s="9" t="s">
        <v>2332</v>
      </c>
      <c r="F497" s="9" t="s">
        <v>62</v>
      </c>
      <c r="G497" s="9" t="s">
        <v>51</v>
      </c>
    </row>
    <row r="498" spans="2:7" x14ac:dyDescent="0.25">
      <c r="B498" s="9" t="s">
        <v>1122</v>
      </c>
      <c r="C498" s="9" t="s">
        <v>12</v>
      </c>
      <c r="D498" s="9">
        <v>31000</v>
      </c>
      <c r="E498" s="9" t="s">
        <v>2333</v>
      </c>
      <c r="F498" s="9" t="s">
        <v>62</v>
      </c>
      <c r="G498" s="9" t="s">
        <v>53</v>
      </c>
    </row>
    <row r="499" spans="2:7" x14ac:dyDescent="0.25">
      <c r="B499" s="9" t="s">
        <v>1124</v>
      </c>
      <c r="C499" s="9" t="s">
        <v>22</v>
      </c>
      <c r="D499" s="9">
        <v>240000</v>
      </c>
      <c r="E499" s="9" t="s">
        <v>2334</v>
      </c>
      <c r="F499" s="9" t="s">
        <v>66</v>
      </c>
      <c r="G499" s="9" t="s">
        <v>47</v>
      </c>
    </row>
    <row r="500" spans="2:7" x14ac:dyDescent="0.25">
      <c r="B500" s="9" t="s">
        <v>1127</v>
      </c>
      <c r="C500" s="9" t="s">
        <v>18</v>
      </c>
      <c r="D500" s="9">
        <v>295000</v>
      </c>
      <c r="E500" s="9" t="s">
        <v>2335</v>
      </c>
      <c r="F500" s="9" t="s">
        <v>66</v>
      </c>
      <c r="G500" s="9" t="s">
        <v>47</v>
      </c>
    </row>
    <row r="501" spans="2:7" x14ac:dyDescent="0.25">
      <c r="B501" s="9" t="s">
        <v>1130</v>
      </c>
      <c r="C501" s="9" t="s">
        <v>14</v>
      </c>
      <c r="D501" s="9">
        <v>31000</v>
      </c>
      <c r="E501" s="9" t="s">
        <v>2335</v>
      </c>
      <c r="F501" s="9" t="s">
        <v>67</v>
      </c>
      <c r="G501" s="9" t="s">
        <v>51</v>
      </c>
    </row>
    <row r="502" spans="2:7" x14ac:dyDescent="0.25">
      <c r="B502" s="9" t="s">
        <v>1131</v>
      </c>
      <c r="C502" s="9" t="s">
        <v>24</v>
      </c>
      <c r="D502" s="9">
        <v>278000</v>
      </c>
      <c r="E502" s="9" t="s">
        <v>2336</v>
      </c>
      <c r="F502" s="9" t="s">
        <v>67</v>
      </c>
      <c r="G502" s="9" t="s">
        <v>61</v>
      </c>
    </row>
    <row r="503" spans="2:7" x14ac:dyDescent="0.25">
      <c r="B503" s="9" t="s">
        <v>1133</v>
      </c>
      <c r="C503" s="9" t="s">
        <v>12</v>
      </c>
      <c r="D503" s="9">
        <v>218000</v>
      </c>
      <c r="E503" s="9" t="s">
        <v>2336</v>
      </c>
      <c r="F503" s="9" t="s">
        <v>62</v>
      </c>
      <c r="G503" s="9" t="s">
        <v>49</v>
      </c>
    </row>
    <row r="504" spans="2:7" x14ac:dyDescent="0.25">
      <c r="B504" s="9" t="s">
        <v>1134</v>
      </c>
      <c r="C504" s="9" t="s">
        <v>18</v>
      </c>
      <c r="D504" s="9">
        <v>297000</v>
      </c>
      <c r="E504" s="9" t="s">
        <v>2336</v>
      </c>
      <c r="F504" s="9" t="s">
        <v>66</v>
      </c>
      <c r="G504" s="9" t="s">
        <v>51</v>
      </c>
    </row>
    <row r="505" spans="2:7" x14ac:dyDescent="0.25">
      <c r="B505" s="9" t="s">
        <v>1135</v>
      </c>
      <c r="C505" s="9" t="s">
        <v>22</v>
      </c>
      <c r="D505" s="9">
        <v>241000</v>
      </c>
      <c r="E505" s="9" t="s">
        <v>2336</v>
      </c>
      <c r="F505" s="9" t="s">
        <v>67</v>
      </c>
      <c r="G505" s="9" t="s">
        <v>53</v>
      </c>
    </row>
    <row r="506" spans="2:7" x14ac:dyDescent="0.25">
      <c r="B506" s="9" t="s">
        <v>1136</v>
      </c>
      <c r="C506" s="9" t="s">
        <v>22</v>
      </c>
      <c r="D506" s="9">
        <v>108000</v>
      </c>
      <c r="E506" s="9" t="s">
        <v>2337</v>
      </c>
      <c r="F506" s="9" t="s">
        <v>65</v>
      </c>
      <c r="G506" s="9" t="s">
        <v>51</v>
      </c>
    </row>
    <row r="507" spans="2:7" x14ac:dyDescent="0.25">
      <c r="B507" s="9" t="s">
        <v>1138</v>
      </c>
      <c r="C507" s="9" t="s">
        <v>24</v>
      </c>
      <c r="D507" s="9">
        <v>108000</v>
      </c>
      <c r="E507" s="9" t="s">
        <v>2338</v>
      </c>
      <c r="F507" s="9" t="s">
        <v>67</v>
      </c>
      <c r="G507" s="9" t="s">
        <v>51</v>
      </c>
    </row>
    <row r="508" spans="2:7" x14ac:dyDescent="0.25">
      <c r="B508" s="9" t="s">
        <v>1140</v>
      </c>
      <c r="C508" s="9" t="s">
        <v>18</v>
      </c>
      <c r="D508" s="9">
        <v>170000</v>
      </c>
      <c r="E508" s="9" t="s">
        <v>2339</v>
      </c>
      <c r="F508" s="9" t="s">
        <v>63</v>
      </c>
      <c r="G508" s="9" t="s">
        <v>53</v>
      </c>
    </row>
    <row r="509" spans="2:7" x14ac:dyDescent="0.25">
      <c r="B509" s="9" t="s">
        <v>1142</v>
      </c>
      <c r="C509" s="9" t="s">
        <v>20</v>
      </c>
      <c r="D509" s="9">
        <v>211000</v>
      </c>
      <c r="E509" s="9" t="s">
        <v>2340</v>
      </c>
      <c r="F509" s="9" t="s">
        <v>65</v>
      </c>
      <c r="G509" s="9" t="s">
        <v>58</v>
      </c>
    </row>
    <row r="510" spans="2:7" x14ac:dyDescent="0.25">
      <c r="B510" s="9" t="s">
        <v>1144</v>
      </c>
      <c r="C510" s="9" t="s">
        <v>18</v>
      </c>
      <c r="D510" s="9">
        <v>110000</v>
      </c>
      <c r="E510" s="9" t="s">
        <v>2341</v>
      </c>
      <c r="F510" s="9" t="s">
        <v>66</v>
      </c>
      <c r="G510" s="9" t="s">
        <v>49</v>
      </c>
    </row>
    <row r="511" spans="2:7" x14ac:dyDescent="0.25">
      <c r="B511" s="9" t="s">
        <v>1146</v>
      </c>
      <c r="C511" s="9" t="s">
        <v>14</v>
      </c>
      <c r="D511" s="9">
        <v>254000</v>
      </c>
      <c r="E511" s="9" t="s">
        <v>2342</v>
      </c>
      <c r="F511" s="9" t="s">
        <v>62</v>
      </c>
      <c r="G511" s="9" t="s">
        <v>49</v>
      </c>
    </row>
    <row r="512" spans="2:7" x14ac:dyDescent="0.25">
      <c r="B512" s="9" t="s">
        <v>1149</v>
      </c>
      <c r="C512" s="9" t="s">
        <v>22</v>
      </c>
      <c r="D512" s="9">
        <v>64000</v>
      </c>
      <c r="E512" s="9" t="s">
        <v>2342</v>
      </c>
      <c r="F512" s="9" t="s">
        <v>62</v>
      </c>
      <c r="G512" s="9" t="s">
        <v>61</v>
      </c>
    </row>
    <row r="513" spans="2:7" x14ac:dyDescent="0.25">
      <c r="B513" s="9" t="s">
        <v>1150</v>
      </c>
      <c r="C513" s="9" t="s">
        <v>16</v>
      </c>
      <c r="D513" s="9">
        <v>133000</v>
      </c>
      <c r="E513" s="9" t="s">
        <v>2342</v>
      </c>
      <c r="F513" s="9" t="s">
        <v>63</v>
      </c>
      <c r="G513" s="9" t="s">
        <v>51</v>
      </c>
    </row>
    <row r="514" spans="2:7" x14ac:dyDescent="0.25">
      <c r="B514" s="9" t="s">
        <v>1152</v>
      </c>
      <c r="C514" s="9" t="s">
        <v>12</v>
      </c>
      <c r="D514" s="9">
        <v>194000</v>
      </c>
      <c r="E514" s="9" t="s">
        <v>2343</v>
      </c>
      <c r="F514" s="9" t="s">
        <v>62</v>
      </c>
      <c r="G514" s="9" t="s">
        <v>49</v>
      </c>
    </row>
    <row r="515" spans="2:7" x14ac:dyDescent="0.25">
      <c r="B515" s="9" t="s">
        <v>1155</v>
      </c>
      <c r="C515" s="9" t="s">
        <v>18</v>
      </c>
      <c r="D515" s="9">
        <v>108000</v>
      </c>
      <c r="E515" s="9" t="s">
        <v>2344</v>
      </c>
      <c r="F515" s="9" t="s">
        <v>67</v>
      </c>
      <c r="G515" s="9" t="s">
        <v>51</v>
      </c>
    </row>
    <row r="516" spans="2:7" x14ac:dyDescent="0.25">
      <c r="B516" s="9" t="s">
        <v>1157</v>
      </c>
      <c r="C516" s="9" t="s">
        <v>22</v>
      </c>
      <c r="D516" s="9">
        <v>135000</v>
      </c>
      <c r="E516" s="9" t="s">
        <v>2345</v>
      </c>
      <c r="F516" s="9" t="s">
        <v>62</v>
      </c>
      <c r="G516" s="9" t="s">
        <v>45</v>
      </c>
    </row>
    <row r="517" spans="2:7" x14ac:dyDescent="0.25">
      <c r="B517" s="9" t="s">
        <v>1159</v>
      </c>
      <c r="C517" s="9" t="s">
        <v>12</v>
      </c>
      <c r="D517" s="9">
        <v>129000</v>
      </c>
      <c r="E517" s="9" t="s">
        <v>2346</v>
      </c>
      <c r="F517" s="9" t="s">
        <v>66</v>
      </c>
      <c r="G517" s="9" t="s">
        <v>47</v>
      </c>
    </row>
    <row r="518" spans="2:7" x14ac:dyDescent="0.25">
      <c r="B518" s="9" t="s">
        <v>1161</v>
      </c>
      <c r="C518" s="9" t="s">
        <v>12</v>
      </c>
      <c r="D518" s="9">
        <v>142000</v>
      </c>
      <c r="E518" s="9" t="s">
        <v>2347</v>
      </c>
      <c r="F518" s="9" t="s">
        <v>67</v>
      </c>
      <c r="G518" s="9" t="s">
        <v>51</v>
      </c>
    </row>
    <row r="519" spans="2:7" x14ac:dyDescent="0.25">
      <c r="B519" s="9" t="s">
        <v>1163</v>
      </c>
      <c r="C519" s="9" t="s">
        <v>18</v>
      </c>
      <c r="D519" s="9">
        <v>253000</v>
      </c>
      <c r="E519" s="9" t="s">
        <v>2348</v>
      </c>
      <c r="F519" s="9" t="s">
        <v>66</v>
      </c>
      <c r="G519" s="9" t="s">
        <v>55</v>
      </c>
    </row>
    <row r="520" spans="2:7" x14ac:dyDescent="0.25">
      <c r="B520" s="9" t="s">
        <v>1165</v>
      </c>
      <c r="C520" s="9" t="s">
        <v>18</v>
      </c>
      <c r="D520" s="9">
        <v>187000</v>
      </c>
      <c r="E520" s="9" t="s">
        <v>2349</v>
      </c>
      <c r="F520" s="9" t="s">
        <v>62</v>
      </c>
      <c r="G520" s="9" t="s">
        <v>58</v>
      </c>
    </row>
    <row r="521" spans="2:7" x14ac:dyDescent="0.25">
      <c r="B521" s="9" t="s">
        <v>1167</v>
      </c>
      <c r="C521" s="9" t="s">
        <v>24</v>
      </c>
      <c r="D521" s="9">
        <v>243000</v>
      </c>
      <c r="E521" s="9" t="s">
        <v>2350</v>
      </c>
      <c r="F521" s="9" t="s">
        <v>62</v>
      </c>
      <c r="G521" s="9" t="s">
        <v>53</v>
      </c>
    </row>
    <row r="522" spans="2:7" x14ac:dyDescent="0.25">
      <c r="B522" s="9" t="s">
        <v>1169</v>
      </c>
      <c r="C522" s="9" t="s">
        <v>18</v>
      </c>
      <c r="D522" s="9">
        <v>268000</v>
      </c>
      <c r="E522" s="9" t="s">
        <v>2350</v>
      </c>
      <c r="F522" s="9" t="s">
        <v>66</v>
      </c>
      <c r="G522" s="9" t="s">
        <v>45</v>
      </c>
    </row>
    <row r="523" spans="2:7" x14ac:dyDescent="0.25">
      <c r="B523" s="9" t="s">
        <v>1170</v>
      </c>
      <c r="C523" s="9" t="s">
        <v>16</v>
      </c>
      <c r="D523" s="9">
        <v>68000</v>
      </c>
      <c r="E523" s="9" t="s">
        <v>2351</v>
      </c>
      <c r="F523" s="9" t="s">
        <v>62</v>
      </c>
      <c r="G523" s="9" t="s">
        <v>47</v>
      </c>
    </row>
    <row r="524" spans="2:7" x14ac:dyDescent="0.25">
      <c r="B524" s="9" t="s">
        <v>1172</v>
      </c>
      <c r="C524" s="9" t="s">
        <v>22</v>
      </c>
      <c r="D524" s="9">
        <v>278000</v>
      </c>
      <c r="E524" s="9" t="s">
        <v>2352</v>
      </c>
      <c r="F524" s="9" t="s">
        <v>67</v>
      </c>
      <c r="G524" s="9" t="s">
        <v>43</v>
      </c>
    </row>
    <row r="525" spans="2:7" x14ac:dyDescent="0.25">
      <c r="B525" s="9" t="s">
        <v>1174</v>
      </c>
      <c r="C525" s="9" t="s">
        <v>22</v>
      </c>
      <c r="D525" s="9">
        <v>198000</v>
      </c>
      <c r="E525" s="9" t="s">
        <v>2352</v>
      </c>
      <c r="F525" s="9" t="s">
        <v>64</v>
      </c>
      <c r="G525" s="9" t="s">
        <v>51</v>
      </c>
    </row>
    <row r="526" spans="2:7" x14ac:dyDescent="0.25">
      <c r="B526" s="9" t="s">
        <v>1175</v>
      </c>
      <c r="C526" s="9" t="s">
        <v>16</v>
      </c>
      <c r="D526" s="9">
        <v>83000</v>
      </c>
      <c r="E526" s="9" t="s">
        <v>2353</v>
      </c>
      <c r="F526" s="9" t="s">
        <v>63</v>
      </c>
      <c r="G526" s="9" t="s">
        <v>47</v>
      </c>
    </row>
    <row r="527" spans="2:7" x14ac:dyDescent="0.25">
      <c r="B527" s="9" t="s">
        <v>1177</v>
      </c>
      <c r="C527" s="9" t="s">
        <v>24</v>
      </c>
      <c r="D527" s="9">
        <v>92000</v>
      </c>
      <c r="E527" s="9" t="s">
        <v>2354</v>
      </c>
      <c r="F527" s="9" t="s">
        <v>66</v>
      </c>
      <c r="G527" s="9" t="s">
        <v>49</v>
      </c>
    </row>
    <row r="528" spans="2:7" x14ac:dyDescent="0.25">
      <c r="B528" s="9" t="s">
        <v>1179</v>
      </c>
      <c r="C528" s="9" t="s">
        <v>14</v>
      </c>
      <c r="D528" s="9">
        <v>145000</v>
      </c>
      <c r="E528" s="9" t="s">
        <v>2354</v>
      </c>
      <c r="F528" s="9" t="s">
        <v>67</v>
      </c>
      <c r="G528" s="9" t="s">
        <v>51</v>
      </c>
    </row>
    <row r="529" spans="2:7" x14ac:dyDescent="0.25">
      <c r="B529" s="9" t="s">
        <v>1180</v>
      </c>
      <c r="C529" s="9" t="s">
        <v>22</v>
      </c>
      <c r="D529" s="9">
        <v>218000</v>
      </c>
      <c r="E529" s="9" t="s">
        <v>2355</v>
      </c>
      <c r="F529" s="9" t="s">
        <v>65</v>
      </c>
      <c r="G529" s="9" t="s">
        <v>58</v>
      </c>
    </row>
    <row r="530" spans="2:7" x14ac:dyDescent="0.25">
      <c r="B530" s="9" t="s">
        <v>1182</v>
      </c>
      <c r="C530" s="9" t="s">
        <v>16</v>
      </c>
      <c r="D530" s="9">
        <v>224000</v>
      </c>
      <c r="E530" s="9" t="s">
        <v>2355</v>
      </c>
      <c r="F530" s="9" t="s">
        <v>62</v>
      </c>
      <c r="G530" s="9" t="s">
        <v>55</v>
      </c>
    </row>
    <row r="531" spans="2:7" x14ac:dyDescent="0.25">
      <c r="B531" s="9" t="s">
        <v>1184</v>
      </c>
      <c r="C531" s="9" t="s">
        <v>12</v>
      </c>
      <c r="D531" s="9">
        <v>179000</v>
      </c>
      <c r="E531" s="9" t="s">
        <v>2356</v>
      </c>
      <c r="F531" s="9" t="s">
        <v>62</v>
      </c>
      <c r="G531" s="9" t="s">
        <v>49</v>
      </c>
    </row>
    <row r="532" spans="2:7" x14ac:dyDescent="0.25">
      <c r="B532" s="9" t="s">
        <v>1186</v>
      </c>
      <c r="C532" s="9" t="s">
        <v>20</v>
      </c>
      <c r="D532" s="9">
        <v>278000</v>
      </c>
      <c r="E532" s="9" t="s">
        <v>2356</v>
      </c>
      <c r="F532" s="9" t="s">
        <v>64</v>
      </c>
      <c r="G532" s="9" t="s">
        <v>49</v>
      </c>
    </row>
    <row r="533" spans="2:7" x14ac:dyDescent="0.25">
      <c r="B533" s="9" t="s">
        <v>1187</v>
      </c>
      <c r="C533" s="9" t="s">
        <v>12</v>
      </c>
      <c r="D533" s="9">
        <v>224000</v>
      </c>
      <c r="E533" s="9" t="s">
        <v>2357</v>
      </c>
      <c r="F533" s="9" t="s">
        <v>62</v>
      </c>
      <c r="G533" s="9" t="s">
        <v>58</v>
      </c>
    </row>
    <row r="534" spans="2:7" x14ac:dyDescent="0.25">
      <c r="B534" s="9" t="s">
        <v>1189</v>
      </c>
      <c r="C534" s="9" t="s">
        <v>24</v>
      </c>
      <c r="D534" s="9">
        <v>213000</v>
      </c>
      <c r="E534" s="9" t="s">
        <v>2357</v>
      </c>
      <c r="F534" s="9" t="s">
        <v>63</v>
      </c>
      <c r="G534" s="9" t="s">
        <v>55</v>
      </c>
    </row>
    <row r="535" spans="2:7" x14ac:dyDescent="0.25">
      <c r="B535" s="9" t="s">
        <v>1190</v>
      </c>
      <c r="C535" s="9" t="s">
        <v>20</v>
      </c>
      <c r="D535" s="9">
        <v>80000</v>
      </c>
      <c r="E535" s="9" t="s">
        <v>2357</v>
      </c>
      <c r="F535" s="9" t="s">
        <v>63</v>
      </c>
      <c r="G535" s="9" t="s">
        <v>51</v>
      </c>
    </row>
    <row r="536" spans="2:7" x14ac:dyDescent="0.25">
      <c r="B536" s="9" t="s">
        <v>1191</v>
      </c>
      <c r="C536" s="9" t="s">
        <v>24</v>
      </c>
      <c r="D536" s="9">
        <v>31000</v>
      </c>
      <c r="E536" s="9" t="s">
        <v>2358</v>
      </c>
      <c r="F536" s="9" t="s">
        <v>63</v>
      </c>
      <c r="G536" s="9" t="s">
        <v>49</v>
      </c>
    </row>
    <row r="537" spans="2:7" x14ac:dyDescent="0.25">
      <c r="B537" s="9" t="s">
        <v>1193</v>
      </c>
      <c r="C537" s="9" t="s">
        <v>16</v>
      </c>
      <c r="D537" s="9">
        <v>212000</v>
      </c>
      <c r="E537" s="9" t="s">
        <v>2358</v>
      </c>
      <c r="F537" s="9" t="s">
        <v>62</v>
      </c>
      <c r="G537" s="9" t="s">
        <v>51</v>
      </c>
    </row>
    <row r="538" spans="2:7" x14ac:dyDescent="0.25">
      <c r="B538" s="9" t="s">
        <v>1194</v>
      </c>
      <c r="C538" s="9" t="s">
        <v>14</v>
      </c>
      <c r="D538" s="9">
        <v>109000</v>
      </c>
      <c r="E538" s="9" t="s">
        <v>2359</v>
      </c>
      <c r="F538" s="9" t="s">
        <v>65</v>
      </c>
      <c r="G538" s="9" t="s">
        <v>47</v>
      </c>
    </row>
    <row r="539" spans="2:7" x14ac:dyDescent="0.25">
      <c r="B539" s="9" t="s">
        <v>1196</v>
      </c>
      <c r="C539" s="9" t="s">
        <v>20</v>
      </c>
      <c r="D539" s="9">
        <v>233000</v>
      </c>
      <c r="E539" s="9" t="s">
        <v>2360</v>
      </c>
      <c r="F539" s="9" t="s">
        <v>62</v>
      </c>
      <c r="G539" s="9" t="s">
        <v>53</v>
      </c>
    </row>
    <row r="540" spans="2:7" x14ac:dyDescent="0.25">
      <c r="B540" s="9" t="s">
        <v>1198</v>
      </c>
      <c r="C540" s="9" t="s">
        <v>24</v>
      </c>
      <c r="D540" s="9">
        <v>77000</v>
      </c>
      <c r="E540" s="9" t="s">
        <v>2360</v>
      </c>
      <c r="F540" s="9" t="s">
        <v>67</v>
      </c>
      <c r="G540" s="9" t="s">
        <v>51</v>
      </c>
    </row>
    <row r="541" spans="2:7" x14ac:dyDescent="0.25">
      <c r="B541" s="9" t="s">
        <v>1199</v>
      </c>
      <c r="C541" s="9" t="s">
        <v>18</v>
      </c>
      <c r="D541" s="9">
        <v>267000</v>
      </c>
      <c r="E541" s="9" t="s">
        <v>2360</v>
      </c>
      <c r="F541" s="9" t="s">
        <v>64</v>
      </c>
      <c r="G541" s="9" t="s">
        <v>45</v>
      </c>
    </row>
    <row r="542" spans="2:7" x14ac:dyDescent="0.25">
      <c r="B542" s="9" t="s">
        <v>1200</v>
      </c>
      <c r="C542" s="9" t="s">
        <v>12</v>
      </c>
      <c r="D542" s="9">
        <v>183000</v>
      </c>
      <c r="E542" s="9" t="s">
        <v>2361</v>
      </c>
      <c r="F542" s="9" t="s">
        <v>62</v>
      </c>
      <c r="G542" s="9" t="s">
        <v>47</v>
      </c>
    </row>
    <row r="543" spans="2:7" x14ac:dyDescent="0.25">
      <c r="B543" s="9" t="s">
        <v>1202</v>
      </c>
      <c r="C543" s="9" t="s">
        <v>22</v>
      </c>
      <c r="D543" s="9">
        <v>184000</v>
      </c>
      <c r="E543" s="9" t="s">
        <v>2362</v>
      </c>
      <c r="F543" s="9" t="s">
        <v>65</v>
      </c>
      <c r="G543" s="9" t="s">
        <v>49</v>
      </c>
    </row>
    <row r="544" spans="2:7" x14ac:dyDescent="0.25">
      <c r="B544" s="9" t="s">
        <v>1204</v>
      </c>
      <c r="C544" s="9" t="s">
        <v>18</v>
      </c>
      <c r="D544" s="9">
        <v>33000</v>
      </c>
      <c r="E544" s="9" t="s">
        <v>2363</v>
      </c>
      <c r="F544" s="9" t="s">
        <v>66</v>
      </c>
      <c r="G544" s="9" t="s">
        <v>49</v>
      </c>
    </row>
    <row r="545" spans="2:7" x14ac:dyDescent="0.25">
      <c r="B545" s="9" t="s">
        <v>1206</v>
      </c>
      <c r="C545" s="9" t="s">
        <v>22</v>
      </c>
      <c r="D545" s="9">
        <v>198000</v>
      </c>
      <c r="E545" s="9" t="s">
        <v>2363</v>
      </c>
      <c r="F545" s="9" t="s">
        <v>65</v>
      </c>
      <c r="G545" s="9" t="s">
        <v>58</v>
      </c>
    </row>
    <row r="546" spans="2:7" x14ac:dyDescent="0.25">
      <c r="B546" s="9" t="s">
        <v>1207</v>
      </c>
      <c r="C546" s="9" t="s">
        <v>16</v>
      </c>
      <c r="D546" s="9">
        <v>132000</v>
      </c>
      <c r="E546" s="9" t="s">
        <v>2364</v>
      </c>
      <c r="F546" s="9" t="s">
        <v>63</v>
      </c>
      <c r="G546" s="9" t="s">
        <v>51</v>
      </c>
    </row>
    <row r="547" spans="2:7" x14ac:dyDescent="0.25">
      <c r="B547" s="9" t="s">
        <v>1209</v>
      </c>
      <c r="C547" s="9" t="s">
        <v>16</v>
      </c>
      <c r="D547" s="9">
        <v>40000</v>
      </c>
      <c r="E547" s="9" t="s">
        <v>2365</v>
      </c>
      <c r="F547" s="9" t="s">
        <v>65</v>
      </c>
      <c r="G547" s="9" t="s">
        <v>55</v>
      </c>
    </row>
    <row r="548" spans="2:7" x14ac:dyDescent="0.25">
      <c r="B548" s="9" t="s">
        <v>1211</v>
      </c>
      <c r="C548" s="9" t="s">
        <v>12</v>
      </c>
      <c r="D548" s="9">
        <v>40000</v>
      </c>
      <c r="E548" s="9" t="s">
        <v>2365</v>
      </c>
      <c r="F548" s="9" t="s">
        <v>63</v>
      </c>
      <c r="G548" s="9" t="s">
        <v>49</v>
      </c>
    </row>
    <row r="549" spans="2:7" x14ac:dyDescent="0.25">
      <c r="B549" s="9" t="s">
        <v>1212</v>
      </c>
      <c r="C549" s="9" t="s">
        <v>16</v>
      </c>
      <c r="D549" s="9">
        <v>160000</v>
      </c>
      <c r="E549" s="9" t="s">
        <v>2365</v>
      </c>
      <c r="F549" s="9" t="s">
        <v>65</v>
      </c>
      <c r="G549" s="9" t="s">
        <v>45</v>
      </c>
    </row>
    <row r="550" spans="2:7" x14ac:dyDescent="0.25">
      <c r="B550" s="9" t="s">
        <v>1213</v>
      </c>
      <c r="C550" s="9" t="s">
        <v>18</v>
      </c>
      <c r="D550" s="9">
        <v>290000</v>
      </c>
      <c r="E550" s="9" t="s">
        <v>2366</v>
      </c>
      <c r="F550" s="9" t="s">
        <v>63</v>
      </c>
      <c r="G550" s="9" t="s">
        <v>45</v>
      </c>
    </row>
    <row r="551" spans="2:7" x14ac:dyDescent="0.25">
      <c r="B551" s="9" t="s">
        <v>1215</v>
      </c>
      <c r="C551" s="9" t="s">
        <v>14</v>
      </c>
      <c r="D551" s="9">
        <v>99000</v>
      </c>
      <c r="E551" s="9" t="s">
        <v>2366</v>
      </c>
      <c r="F551" s="9" t="s">
        <v>65</v>
      </c>
      <c r="G551" s="9" t="s">
        <v>43</v>
      </c>
    </row>
    <row r="552" spans="2:7" x14ac:dyDescent="0.25">
      <c r="B552" s="9" t="s">
        <v>1216</v>
      </c>
      <c r="C552" s="9" t="s">
        <v>14</v>
      </c>
      <c r="D552" s="9">
        <v>161000</v>
      </c>
      <c r="E552" s="9" t="s">
        <v>2367</v>
      </c>
      <c r="F552" s="9" t="s">
        <v>64</v>
      </c>
      <c r="G552" s="9" t="s">
        <v>51</v>
      </c>
    </row>
    <row r="553" spans="2:7" x14ac:dyDescent="0.25">
      <c r="B553" s="9" t="s">
        <v>1218</v>
      </c>
      <c r="C553" s="9" t="s">
        <v>14</v>
      </c>
      <c r="D553" s="9">
        <v>281000</v>
      </c>
      <c r="E553" s="9" t="s">
        <v>2368</v>
      </c>
      <c r="F553" s="9" t="s">
        <v>62</v>
      </c>
      <c r="G553" s="9" t="s">
        <v>47</v>
      </c>
    </row>
    <row r="554" spans="2:7" x14ac:dyDescent="0.25">
      <c r="B554" s="9" t="s">
        <v>1220</v>
      </c>
      <c r="C554" s="9" t="s">
        <v>16</v>
      </c>
      <c r="D554" s="9">
        <v>253000</v>
      </c>
      <c r="E554" s="9" t="s">
        <v>2369</v>
      </c>
      <c r="F554" s="9" t="s">
        <v>67</v>
      </c>
      <c r="G554" s="9" t="s">
        <v>53</v>
      </c>
    </row>
    <row r="555" spans="2:7" x14ac:dyDescent="0.25">
      <c r="B555" s="9" t="s">
        <v>1222</v>
      </c>
      <c r="C555" s="9" t="s">
        <v>14</v>
      </c>
      <c r="D555" s="9">
        <v>225000</v>
      </c>
      <c r="E555" s="9" t="s">
        <v>2369</v>
      </c>
      <c r="F555" s="9" t="s">
        <v>64</v>
      </c>
      <c r="G555" s="9" t="s">
        <v>49</v>
      </c>
    </row>
    <row r="556" spans="2:7" x14ac:dyDescent="0.25">
      <c r="B556" s="9" t="s">
        <v>1223</v>
      </c>
      <c r="C556" s="9" t="s">
        <v>12</v>
      </c>
      <c r="D556" s="9">
        <v>86000</v>
      </c>
      <c r="E556" s="9" t="s">
        <v>2370</v>
      </c>
      <c r="F556" s="9" t="s">
        <v>64</v>
      </c>
      <c r="G556" s="9" t="s">
        <v>51</v>
      </c>
    </row>
    <row r="557" spans="2:7" x14ac:dyDescent="0.25">
      <c r="B557" s="9" t="s">
        <v>1225</v>
      </c>
      <c r="C557" s="9" t="s">
        <v>18</v>
      </c>
      <c r="D557" s="9">
        <v>214000</v>
      </c>
      <c r="E557" s="9" t="s">
        <v>2371</v>
      </c>
      <c r="F557" s="9" t="s">
        <v>67</v>
      </c>
      <c r="G557" s="9" t="s">
        <v>58</v>
      </c>
    </row>
    <row r="558" spans="2:7" x14ac:dyDescent="0.25">
      <c r="B558" s="9" t="s">
        <v>1227</v>
      </c>
      <c r="C558" s="9" t="s">
        <v>22</v>
      </c>
      <c r="D558" s="9">
        <v>139000</v>
      </c>
      <c r="E558" s="9" t="s">
        <v>2371</v>
      </c>
      <c r="F558" s="9" t="s">
        <v>65</v>
      </c>
      <c r="G558" s="9" t="s">
        <v>51</v>
      </c>
    </row>
    <row r="559" spans="2:7" x14ac:dyDescent="0.25">
      <c r="B559" s="9" t="s">
        <v>1228</v>
      </c>
      <c r="C559" s="9" t="s">
        <v>18</v>
      </c>
      <c r="D559" s="9">
        <v>176000</v>
      </c>
      <c r="E559" s="9" t="s">
        <v>2371</v>
      </c>
      <c r="F559" s="9" t="s">
        <v>64</v>
      </c>
      <c r="G559" s="9" t="s">
        <v>51</v>
      </c>
    </row>
    <row r="560" spans="2:7" x14ac:dyDescent="0.25">
      <c r="B560" s="9" t="s">
        <v>1230</v>
      </c>
      <c r="C560" s="9" t="s">
        <v>20</v>
      </c>
      <c r="D560" s="9">
        <v>263000</v>
      </c>
      <c r="E560" s="9" t="s">
        <v>2372</v>
      </c>
      <c r="F560" s="9" t="s">
        <v>67</v>
      </c>
      <c r="G560" s="9" t="s">
        <v>43</v>
      </c>
    </row>
    <row r="561" spans="2:7" x14ac:dyDescent="0.25">
      <c r="B561" s="9" t="s">
        <v>1232</v>
      </c>
      <c r="C561" s="9" t="s">
        <v>12</v>
      </c>
      <c r="D561" s="9">
        <v>252000</v>
      </c>
      <c r="E561" s="9" t="s">
        <v>2372</v>
      </c>
      <c r="F561" s="9" t="s">
        <v>65</v>
      </c>
      <c r="G561" s="9" t="s">
        <v>47</v>
      </c>
    </row>
    <row r="562" spans="2:7" x14ac:dyDescent="0.25">
      <c r="B562" s="9" t="s">
        <v>1233</v>
      </c>
      <c r="C562" s="9" t="s">
        <v>20</v>
      </c>
      <c r="D562" s="9">
        <v>188000</v>
      </c>
      <c r="E562" s="9" t="s">
        <v>2373</v>
      </c>
      <c r="F562" s="9" t="s">
        <v>65</v>
      </c>
      <c r="G562" s="9" t="s">
        <v>45</v>
      </c>
    </row>
    <row r="563" spans="2:7" x14ac:dyDescent="0.25">
      <c r="B563" s="9" t="s">
        <v>1235</v>
      </c>
      <c r="C563" s="9" t="s">
        <v>24</v>
      </c>
      <c r="D563" s="9">
        <v>51000</v>
      </c>
      <c r="E563" s="9" t="s">
        <v>2374</v>
      </c>
      <c r="F563" s="9" t="s">
        <v>63</v>
      </c>
      <c r="G563" s="9" t="s">
        <v>47</v>
      </c>
    </row>
    <row r="564" spans="2:7" x14ac:dyDescent="0.25">
      <c r="B564" s="9" t="s">
        <v>1237</v>
      </c>
      <c r="C564" s="9" t="s">
        <v>16</v>
      </c>
      <c r="D564" s="9">
        <v>204000</v>
      </c>
      <c r="E564" s="9" t="s">
        <v>2374</v>
      </c>
      <c r="F564" s="9" t="s">
        <v>64</v>
      </c>
      <c r="G564" s="9" t="s">
        <v>49</v>
      </c>
    </row>
    <row r="565" spans="2:7" x14ac:dyDescent="0.25">
      <c r="B565" s="9" t="s">
        <v>1238</v>
      </c>
      <c r="C565" s="9" t="s">
        <v>16</v>
      </c>
      <c r="D565" s="9">
        <v>245000</v>
      </c>
      <c r="E565" s="9" t="s">
        <v>2374</v>
      </c>
      <c r="F565" s="9" t="s">
        <v>64</v>
      </c>
      <c r="G565" s="9" t="s">
        <v>45</v>
      </c>
    </row>
    <row r="566" spans="2:7" x14ac:dyDescent="0.25">
      <c r="B566" s="9" t="s">
        <v>1239</v>
      </c>
      <c r="C566" s="9" t="s">
        <v>16</v>
      </c>
      <c r="D566" s="9">
        <v>31000</v>
      </c>
      <c r="E566" s="9" t="s">
        <v>2375</v>
      </c>
      <c r="F566" s="9" t="s">
        <v>64</v>
      </c>
      <c r="G566" s="9" t="s">
        <v>55</v>
      </c>
    </row>
    <row r="567" spans="2:7" x14ac:dyDescent="0.25">
      <c r="B567" s="9" t="s">
        <v>1241</v>
      </c>
      <c r="C567" s="9" t="s">
        <v>18</v>
      </c>
      <c r="D567" s="9">
        <v>121000</v>
      </c>
      <c r="E567" s="9" t="s">
        <v>2375</v>
      </c>
      <c r="F567" s="9" t="s">
        <v>67</v>
      </c>
      <c r="G567" s="9" t="s">
        <v>43</v>
      </c>
    </row>
    <row r="568" spans="2:7" x14ac:dyDescent="0.25">
      <c r="B568" s="9" t="s">
        <v>1242</v>
      </c>
      <c r="C568" s="9" t="s">
        <v>22</v>
      </c>
      <c r="D568" s="9">
        <v>57000</v>
      </c>
      <c r="E568" s="9" t="s">
        <v>2376</v>
      </c>
      <c r="F568" s="9" t="s">
        <v>62</v>
      </c>
      <c r="G568" s="9" t="s">
        <v>58</v>
      </c>
    </row>
    <row r="569" spans="2:7" x14ac:dyDescent="0.25">
      <c r="B569" s="9" t="s">
        <v>1244</v>
      </c>
      <c r="C569" s="9" t="s">
        <v>12</v>
      </c>
      <c r="D569" s="9">
        <v>194000</v>
      </c>
      <c r="E569" s="9" t="s">
        <v>2376</v>
      </c>
      <c r="F569" s="9" t="s">
        <v>64</v>
      </c>
      <c r="G569" s="9" t="s">
        <v>47</v>
      </c>
    </row>
    <row r="570" spans="2:7" x14ac:dyDescent="0.25">
      <c r="B570" s="9" t="s">
        <v>1245</v>
      </c>
      <c r="C570" s="9" t="s">
        <v>16</v>
      </c>
      <c r="D570" s="9">
        <v>135000</v>
      </c>
      <c r="E570" s="9" t="s">
        <v>2377</v>
      </c>
      <c r="F570" s="9" t="s">
        <v>66</v>
      </c>
      <c r="G570" s="9" t="s">
        <v>45</v>
      </c>
    </row>
    <row r="571" spans="2:7" x14ac:dyDescent="0.25">
      <c r="B571" s="9" t="s">
        <v>1247</v>
      </c>
      <c r="C571" s="9" t="s">
        <v>18</v>
      </c>
      <c r="D571" s="9">
        <v>102000</v>
      </c>
      <c r="E571" s="9" t="s">
        <v>2378</v>
      </c>
      <c r="F571" s="9" t="s">
        <v>66</v>
      </c>
      <c r="G571" s="9" t="s">
        <v>49</v>
      </c>
    </row>
    <row r="572" spans="2:7" x14ac:dyDescent="0.25">
      <c r="B572" s="9" t="s">
        <v>1249</v>
      </c>
      <c r="C572" s="9" t="s">
        <v>12</v>
      </c>
      <c r="D572" s="9">
        <v>150000</v>
      </c>
      <c r="E572" s="9" t="s">
        <v>2379</v>
      </c>
      <c r="F572" s="9" t="s">
        <v>66</v>
      </c>
      <c r="G572" s="9" t="s">
        <v>53</v>
      </c>
    </row>
    <row r="573" spans="2:7" x14ac:dyDescent="0.25">
      <c r="B573" s="9" t="s">
        <v>1251</v>
      </c>
      <c r="C573" s="9" t="s">
        <v>24</v>
      </c>
      <c r="D573" s="9">
        <v>107000</v>
      </c>
      <c r="E573" s="9" t="s">
        <v>2380</v>
      </c>
      <c r="F573" s="9" t="s">
        <v>63</v>
      </c>
      <c r="G573" s="9" t="s">
        <v>58</v>
      </c>
    </row>
    <row r="574" spans="2:7" x14ac:dyDescent="0.25">
      <c r="B574" s="9" t="s">
        <v>1253</v>
      </c>
      <c r="C574" s="9" t="s">
        <v>24</v>
      </c>
      <c r="D574" s="9">
        <v>109000</v>
      </c>
      <c r="E574" s="9" t="s">
        <v>2381</v>
      </c>
      <c r="F574" s="9" t="s">
        <v>65</v>
      </c>
      <c r="G574" s="9" t="s">
        <v>43</v>
      </c>
    </row>
    <row r="575" spans="2:7" x14ac:dyDescent="0.25">
      <c r="B575" s="9" t="s">
        <v>1255</v>
      </c>
      <c r="C575" s="9" t="s">
        <v>24</v>
      </c>
      <c r="D575" s="9">
        <v>55000</v>
      </c>
      <c r="E575" s="9" t="s">
        <v>2382</v>
      </c>
      <c r="F575" s="9" t="s">
        <v>64</v>
      </c>
      <c r="G575" s="9" t="s">
        <v>47</v>
      </c>
    </row>
    <row r="576" spans="2:7" x14ac:dyDescent="0.25">
      <c r="B576" s="9" t="s">
        <v>1257</v>
      </c>
      <c r="C576" s="9" t="s">
        <v>14</v>
      </c>
      <c r="D576" s="9">
        <v>247000</v>
      </c>
      <c r="E576" s="9" t="s">
        <v>2383</v>
      </c>
      <c r="F576" s="9" t="s">
        <v>67</v>
      </c>
      <c r="G576" s="9" t="s">
        <v>43</v>
      </c>
    </row>
    <row r="577" spans="2:7" x14ac:dyDescent="0.25">
      <c r="B577" s="9" t="s">
        <v>1259</v>
      </c>
      <c r="C577" s="9" t="s">
        <v>22</v>
      </c>
      <c r="D577" s="9">
        <v>85000</v>
      </c>
      <c r="E577" s="9" t="s">
        <v>2384</v>
      </c>
      <c r="F577" s="9" t="s">
        <v>62</v>
      </c>
      <c r="G577" s="9" t="s">
        <v>58</v>
      </c>
    </row>
    <row r="578" spans="2:7" x14ac:dyDescent="0.25">
      <c r="B578" s="9" t="s">
        <v>1261</v>
      </c>
      <c r="C578" s="9" t="s">
        <v>24</v>
      </c>
      <c r="D578" s="9">
        <v>191000</v>
      </c>
      <c r="E578" s="9" t="s">
        <v>2385</v>
      </c>
      <c r="F578" s="9" t="s">
        <v>64</v>
      </c>
      <c r="G578" s="9" t="s">
        <v>55</v>
      </c>
    </row>
    <row r="579" spans="2:7" x14ac:dyDescent="0.25">
      <c r="B579" s="9" t="s">
        <v>1263</v>
      </c>
      <c r="C579" s="9" t="s">
        <v>14</v>
      </c>
      <c r="D579" s="9">
        <v>137000</v>
      </c>
      <c r="E579" s="9" t="s">
        <v>2386</v>
      </c>
      <c r="F579" s="9" t="s">
        <v>65</v>
      </c>
      <c r="G579" s="9" t="s">
        <v>51</v>
      </c>
    </row>
    <row r="580" spans="2:7" x14ac:dyDescent="0.25">
      <c r="B580" s="9" t="s">
        <v>1265</v>
      </c>
      <c r="C580" s="9" t="s">
        <v>24</v>
      </c>
      <c r="D580" s="9">
        <v>245000</v>
      </c>
      <c r="E580" s="9" t="s">
        <v>2386</v>
      </c>
      <c r="F580" s="9" t="s">
        <v>65</v>
      </c>
      <c r="G580" s="9" t="s">
        <v>47</v>
      </c>
    </row>
    <row r="581" spans="2:7" x14ac:dyDescent="0.25">
      <c r="B581" s="9" t="s">
        <v>1266</v>
      </c>
      <c r="C581" s="9" t="s">
        <v>14</v>
      </c>
      <c r="D581" s="9">
        <v>299000</v>
      </c>
      <c r="E581" s="9" t="s">
        <v>2387</v>
      </c>
      <c r="F581" s="9" t="s">
        <v>62</v>
      </c>
      <c r="G581" s="9" t="s">
        <v>47</v>
      </c>
    </row>
    <row r="582" spans="2:7" x14ac:dyDescent="0.25">
      <c r="B582" s="9" t="s">
        <v>1268</v>
      </c>
      <c r="C582" s="9" t="s">
        <v>14</v>
      </c>
      <c r="D582" s="9">
        <v>134000</v>
      </c>
      <c r="E582" s="9" t="s">
        <v>2387</v>
      </c>
      <c r="F582" s="9" t="s">
        <v>64</v>
      </c>
      <c r="G582" s="9" t="s">
        <v>47</v>
      </c>
    </row>
    <row r="583" spans="2:7" x14ac:dyDescent="0.25">
      <c r="B583" s="9" t="s">
        <v>1269</v>
      </c>
      <c r="C583" s="9" t="s">
        <v>18</v>
      </c>
      <c r="D583" s="9">
        <v>170000</v>
      </c>
      <c r="E583" s="9" t="s">
        <v>2388</v>
      </c>
      <c r="F583" s="9" t="s">
        <v>62</v>
      </c>
      <c r="G583" s="9" t="s">
        <v>53</v>
      </c>
    </row>
    <row r="584" spans="2:7" x14ac:dyDescent="0.25">
      <c r="B584" s="9" t="s">
        <v>1271</v>
      </c>
      <c r="C584" s="9" t="s">
        <v>12</v>
      </c>
      <c r="D584" s="9">
        <v>224000</v>
      </c>
      <c r="E584" s="9" t="s">
        <v>2388</v>
      </c>
      <c r="F584" s="9" t="s">
        <v>63</v>
      </c>
      <c r="G584" s="9" t="s">
        <v>58</v>
      </c>
    </row>
    <row r="585" spans="2:7" x14ac:dyDescent="0.25">
      <c r="B585" s="9" t="s">
        <v>1272</v>
      </c>
      <c r="C585" s="9" t="s">
        <v>20</v>
      </c>
      <c r="D585" s="9">
        <v>162000</v>
      </c>
      <c r="E585" s="9" t="s">
        <v>2389</v>
      </c>
      <c r="F585" s="9" t="s">
        <v>63</v>
      </c>
      <c r="G585" s="9" t="s">
        <v>45</v>
      </c>
    </row>
    <row r="586" spans="2:7" x14ac:dyDescent="0.25">
      <c r="B586" s="9" t="s">
        <v>1275</v>
      </c>
      <c r="C586" s="9" t="s">
        <v>20</v>
      </c>
      <c r="D586" s="9">
        <v>163000</v>
      </c>
      <c r="E586" s="9" t="s">
        <v>2390</v>
      </c>
      <c r="F586" s="9" t="s">
        <v>67</v>
      </c>
      <c r="G586" s="9" t="s">
        <v>53</v>
      </c>
    </row>
    <row r="587" spans="2:7" x14ac:dyDescent="0.25">
      <c r="B587" s="9" t="s">
        <v>1277</v>
      </c>
      <c r="C587" s="9" t="s">
        <v>18</v>
      </c>
      <c r="D587" s="9">
        <v>119000</v>
      </c>
      <c r="E587" s="9" t="s">
        <v>2390</v>
      </c>
      <c r="F587" s="9" t="s">
        <v>64</v>
      </c>
      <c r="G587" s="9" t="s">
        <v>51</v>
      </c>
    </row>
    <row r="588" spans="2:7" x14ac:dyDescent="0.25">
      <c r="B588" s="9" t="s">
        <v>1278</v>
      </c>
      <c r="C588" s="9" t="s">
        <v>22</v>
      </c>
      <c r="D588" s="9">
        <v>99000</v>
      </c>
      <c r="E588" s="9" t="s">
        <v>2391</v>
      </c>
      <c r="F588" s="9" t="s">
        <v>66</v>
      </c>
      <c r="G588" s="9" t="s">
        <v>49</v>
      </c>
    </row>
    <row r="589" spans="2:7" x14ac:dyDescent="0.25">
      <c r="B589" s="9" t="s">
        <v>1280</v>
      </c>
      <c r="C589" s="9" t="s">
        <v>16</v>
      </c>
      <c r="D589" s="9">
        <v>164000</v>
      </c>
      <c r="E589" s="9" t="s">
        <v>2392</v>
      </c>
      <c r="F589" s="9" t="s">
        <v>64</v>
      </c>
      <c r="G589" s="9" t="s">
        <v>51</v>
      </c>
    </row>
    <row r="590" spans="2:7" x14ac:dyDescent="0.25">
      <c r="B590" s="9" t="s">
        <v>1283</v>
      </c>
      <c r="C590" s="9" t="s">
        <v>18</v>
      </c>
      <c r="D590" s="9">
        <v>58000</v>
      </c>
      <c r="E590" s="9" t="s">
        <v>2393</v>
      </c>
      <c r="F590" s="9" t="s">
        <v>64</v>
      </c>
      <c r="G590" s="9" t="s">
        <v>58</v>
      </c>
    </row>
    <row r="591" spans="2:7" x14ac:dyDescent="0.25">
      <c r="B591" s="9" t="s">
        <v>1285</v>
      </c>
      <c r="C591" s="9" t="s">
        <v>18</v>
      </c>
      <c r="D591" s="9">
        <v>41000</v>
      </c>
      <c r="E591" s="9" t="s">
        <v>2394</v>
      </c>
      <c r="F591" s="9" t="s">
        <v>63</v>
      </c>
      <c r="G591" s="9" t="s">
        <v>55</v>
      </c>
    </row>
    <row r="592" spans="2:7" x14ac:dyDescent="0.25">
      <c r="B592" s="9" t="s">
        <v>1287</v>
      </c>
      <c r="C592" s="9" t="s">
        <v>16</v>
      </c>
      <c r="D592" s="9">
        <v>87000</v>
      </c>
      <c r="E592" s="9" t="s">
        <v>2395</v>
      </c>
      <c r="F592" s="9" t="s">
        <v>65</v>
      </c>
      <c r="G592" s="9" t="s">
        <v>51</v>
      </c>
    </row>
    <row r="593" spans="2:7" x14ac:dyDescent="0.25">
      <c r="B593" s="9" t="s">
        <v>1289</v>
      </c>
      <c r="C593" s="9" t="s">
        <v>14</v>
      </c>
      <c r="D593" s="9">
        <v>279000</v>
      </c>
      <c r="E593" s="9" t="s">
        <v>2396</v>
      </c>
      <c r="F593" s="9" t="s">
        <v>64</v>
      </c>
      <c r="G593" s="9" t="s">
        <v>45</v>
      </c>
    </row>
    <row r="594" spans="2:7" x14ac:dyDescent="0.25">
      <c r="B594" s="9" t="s">
        <v>1291</v>
      </c>
      <c r="C594" s="9" t="s">
        <v>18</v>
      </c>
      <c r="D594" s="9">
        <v>168000</v>
      </c>
      <c r="E594" s="9" t="s">
        <v>2396</v>
      </c>
      <c r="F594" s="9" t="s">
        <v>66</v>
      </c>
      <c r="G594" s="9" t="s">
        <v>49</v>
      </c>
    </row>
    <row r="595" spans="2:7" x14ac:dyDescent="0.25">
      <c r="B595" s="9" t="s">
        <v>1292</v>
      </c>
      <c r="C595" s="9" t="s">
        <v>24</v>
      </c>
      <c r="D595" s="9">
        <v>48000</v>
      </c>
      <c r="E595" s="9" t="s">
        <v>2397</v>
      </c>
      <c r="F595" s="9" t="s">
        <v>62</v>
      </c>
      <c r="G595" s="9" t="s">
        <v>58</v>
      </c>
    </row>
    <row r="596" spans="2:7" x14ac:dyDescent="0.25">
      <c r="B596" s="9" t="s">
        <v>1294</v>
      </c>
      <c r="C596" s="9" t="s">
        <v>12</v>
      </c>
      <c r="D596" s="9">
        <v>101000</v>
      </c>
      <c r="E596" s="9" t="s">
        <v>2398</v>
      </c>
      <c r="F596" s="9" t="s">
        <v>62</v>
      </c>
      <c r="G596" s="9" t="s">
        <v>43</v>
      </c>
    </row>
    <row r="597" spans="2:7" x14ac:dyDescent="0.25">
      <c r="B597" s="9" t="s">
        <v>1296</v>
      </c>
      <c r="C597" s="9" t="s">
        <v>16</v>
      </c>
      <c r="D597" s="9">
        <v>287000</v>
      </c>
      <c r="E597" s="9" t="s">
        <v>2398</v>
      </c>
      <c r="F597" s="9" t="s">
        <v>64</v>
      </c>
      <c r="G597" s="9" t="s">
        <v>58</v>
      </c>
    </row>
    <row r="598" spans="2:7" x14ac:dyDescent="0.25">
      <c r="B598" s="9" t="s">
        <v>1297</v>
      </c>
      <c r="C598" s="9" t="s">
        <v>18</v>
      </c>
      <c r="D598" s="9">
        <v>173000</v>
      </c>
      <c r="E598" s="9" t="s">
        <v>2399</v>
      </c>
      <c r="F598" s="9" t="s">
        <v>62</v>
      </c>
      <c r="G598" s="9" t="s">
        <v>43</v>
      </c>
    </row>
    <row r="599" spans="2:7" x14ac:dyDescent="0.25">
      <c r="B599" s="9" t="s">
        <v>1299</v>
      </c>
      <c r="C599" s="9" t="s">
        <v>16</v>
      </c>
      <c r="D599" s="9">
        <v>290000</v>
      </c>
      <c r="E599" s="9" t="s">
        <v>2400</v>
      </c>
      <c r="F599" s="9" t="s">
        <v>64</v>
      </c>
      <c r="G599" s="9" t="s">
        <v>55</v>
      </c>
    </row>
    <row r="600" spans="2:7" x14ac:dyDescent="0.25">
      <c r="B600" s="9" t="s">
        <v>1301</v>
      </c>
      <c r="C600" s="9" t="s">
        <v>22</v>
      </c>
      <c r="D600" s="9">
        <v>299000</v>
      </c>
      <c r="E600" s="9" t="s">
        <v>2400</v>
      </c>
      <c r="F600" s="9" t="s">
        <v>66</v>
      </c>
      <c r="G600" s="9" t="s">
        <v>53</v>
      </c>
    </row>
    <row r="601" spans="2:7" x14ac:dyDescent="0.25">
      <c r="B601" s="9" t="s">
        <v>1302</v>
      </c>
      <c r="C601" s="9" t="s">
        <v>12</v>
      </c>
      <c r="D601" s="9">
        <v>163000</v>
      </c>
      <c r="E601" s="9" t="s">
        <v>2401</v>
      </c>
      <c r="F601" s="9" t="s">
        <v>62</v>
      </c>
      <c r="G601" s="9" t="s">
        <v>43</v>
      </c>
    </row>
    <row r="602" spans="2:7" x14ac:dyDescent="0.25">
      <c r="B602" s="9" t="s">
        <v>1304</v>
      </c>
      <c r="C602" s="9" t="s">
        <v>16</v>
      </c>
      <c r="D602" s="9">
        <v>199000</v>
      </c>
      <c r="E602" s="9" t="s">
        <v>2401</v>
      </c>
      <c r="F602" s="9" t="s">
        <v>65</v>
      </c>
      <c r="G602" s="9" t="s">
        <v>43</v>
      </c>
    </row>
    <row r="603" spans="2:7" x14ac:dyDescent="0.25">
      <c r="B603" s="9" t="s">
        <v>1305</v>
      </c>
      <c r="C603" s="9" t="s">
        <v>12</v>
      </c>
      <c r="D603" s="9">
        <v>251000</v>
      </c>
      <c r="E603" s="9" t="s">
        <v>2402</v>
      </c>
      <c r="F603" s="9" t="s">
        <v>63</v>
      </c>
      <c r="G603" s="9" t="s">
        <v>45</v>
      </c>
    </row>
    <row r="604" spans="2:7" x14ac:dyDescent="0.25">
      <c r="B604" s="9" t="s">
        <v>1307</v>
      </c>
      <c r="C604" s="9" t="s">
        <v>16</v>
      </c>
      <c r="D604" s="9">
        <v>187000</v>
      </c>
      <c r="E604" s="9" t="s">
        <v>2403</v>
      </c>
      <c r="F604" s="9" t="s">
        <v>67</v>
      </c>
      <c r="G604" s="9" t="s">
        <v>49</v>
      </c>
    </row>
    <row r="605" spans="2:7" x14ac:dyDescent="0.25">
      <c r="B605" s="9" t="s">
        <v>1309</v>
      </c>
      <c r="C605" s="9" t="s">
        <v>16</v>
      </c>
      <c r="D605" s="9">
        <v>33000</v>
      </c>
      <c r="E605" s="9" t="s">
        <v>2404</v>
      </c>
      <c r="F605" s="9" t="s">
        <v>66</v>
      </c>
      <c r="G605" s="9" t="s">
        <v>43</v>
      </c>
    </row>
    <row r="606" spans="2:7" x14ac:dyDescent="0.25">
      <c r="B606" s="9" t="s">
        <v>1311</v>
      </c>
      <c r="C606" s="9" t="s">
        <v>16</v>
      </c>
      <c r="D606" s="9">
        <v>176000</v>
      </c>
      <c r="E606" s="9" t="s">
        <v>2405</v>
      </c>
      <c r="F606" s="9" t="s">
        <v>64</v>
      </c>
      <c r="G606" s="9" t="s">
        <v>45</v>
      </c>
    </row>
    <row r="607" spans="2:7" x14ac:dyDescent="0.25">
      <c r="B607" s="9" t="s">
        <v>1313</v>
      </c>
      <c r="C607" s="9" t="s">
        <v>20</v>
      </c>
      <c r="D607" s="9">
        <v>220000</v>
      </c>
      <c r="E607" s="9" t="s">
        <v>2406</v>
      </c>
      <c r="F607" s="9" t="s">
        <v>64</v>
      </c>
      <c r="G607" s="9" t="s">
        <v>55</v>
      </c>
    </row>
    <row r="608" spans="2:7" x14ac:dyDescent="0.25">
      <c r="B608" s="9" t="s">
        <v>1316</v>
      </c>
      <c r="C608" s="9" t="s">
        <v>12</v>
      </c>
      <c r="D608" s="9">
        <v>76000</v>
      </c>
      <c r="E608" s="9" t="s">
        <v>2406</v>
      </c>
      <c r="F608" s="9" t="s">
        <v>66</v>
      </c>
      <c r="G608" s="9" t="s">
        <v>49</v>
      </c>
    </row>
    <row r="609" spans="2:7" x14ac:dyDescent="0.25">
      <c r="B609" s="9" t="s">
        <v>1318</v>
      </c>
      <c r="C609" s="9" t="s">
        <v>14</v>
      </c>
      <c r="D609" s="9">
        <v>187000</v>
      </c>
      <c r="E609" s="9" t="s">
        <v>2406</v>
      </c>
      <c r="F609" s="9" t="s">
        <v>63</v>
      </c>
      <c r="G609" s="9" t="s">
        <v>49</v>
      </c>
    </row>
    <row r="610" spans="2:7" x14ac:dyDescent="0.25">
      <c r="B610" s="9" t="s">
        <v>1319</v>
      </c>
      <c r="C610" s="9" t="s">
        <v>12</v>
      </c>
      <c r="D610" s="9">
        <v>225000</v>
      </c>
      <c r="E610" s="9" t="s">
        <v>2407</v>
      </c>
      <c r="F610" s="9" t="s">
        <v>63</v>
      </c>
      <c r="G610" s="9" t="s">
        <v>47</v>
      </c>
    </row>
    <row r="611" spans="2:7" x14ac:dyDescent="0.25">
      <c r="B611" s="9" t="s">
        <v>1321</v>
      </c>
      <c r="C611" s="9" t="s">
        <v>16</v>
      </c>
      <c r="D611" s="9">
        <v>283000</v>
      </c>
      <c r="E611" s="9" t="s">
        <v>2408</v>
      </c>
      <c r="F611" s="9" t="s">
        <v>67</v>
      </c>
      <c r="G611" s="9" t="s">
        <v>49</v>
      </c>
    </row>
    <row r="612" spans="2:7" x14ac:dyDescent="0.25">
      <c r="B612" s="9" t="s">
        <v>1324</v>
      </c>
      <c r="C612" s="9" t="s">
        <v>22</v>
      </c>
      <c r="D612" s="9">
        <v>225000</v>
      </c>
      <c r="E612" s="9" t="s">
        <v>2409</v>
      </c>
      <c r="F612" s="9" t="s">
        <v>65</v>
      </c>
      <c r="G612" s="9" t="s">
        <v>51</v>
      </c>
    </row>
    <row r="613" spans="2:7" x14ac:dyDescent="0.25">
      <c r="B613" s="9" t="s">
        <v>1326</v>
      </c>
      <c r="C613" s="9" t="s">
        <v>16</v>
      </c>
      <c r="D613" s="9">
        <v>44000</v>
      </c>
      <c r="E613" s="9" t="s">
        <v>2410</v>
      </c>
      <c r="F613" s="9" t="s">
        <v>65</v>
      </c>
      <c r="G613" s="9" t="s">
        <v>43</v>
      </c>
    </row>
    <row r="614" spans="2:7" x14ac:dyDescent="0.25">
      <c r="B614" s="9" t="s">
        <v>1329</v>
      </c>
      <c r="C614" s="9" t="s">
        <v>16</v>
      </c>
      <c r="D614" s="9">
        <v>132000</v>
      </c>
      <c r="E614" s="9" t="s">
        <v>2410</v>
      </c>
      <c r="F614" s="9" t="s">
        <v>62</v>
      </c>
      <c r="G614" s="9" t="s">
        <v>61</v>
      </c>
    </row>
    <row r="615" spans="2:7" x14ac:dyDescent="0.25">
      <c r="B615" s="9" t="s">
        <v>1330</v>
      </c>
      <c r="C615" s="9" t="s">
        <v>12</v>
      </c>
      <c r="D615" s="9">
        <v>202000</v>
      </c>
      <c r="E615" s="9" t="s">
        <v>2410</v>
      </c>
      <c r="F615" s="9" t="s">
        <v>64</v>
      </c>
      <c r="G615" s="9" t="s">
        <v>49</v>
      </c>
    </row>
    <row r="616" spans="2:7" x14ac:dyDescent="0.25">
      <c r="B616" s="9" t="s">
        <v>1331</v>
      </c>
      <c r="C616" s="9" t="s">
        <v>14</v>
      </c>
      <c r="D616" s="9">
        <v>261000</v>
      </c>
      <c r="E616" s="9" t="s">
        <v>2411</v>
      </c>
      <c r="F616" s="9" t="s">
        <v>64</v>
      </c>
      <c r="G616" s="9" t="s">
        <v>58</v>
      </c>
    </row>
    <row r="617" spans="2:7" x14ac:dyDescent="0.25">
      <c r="B617" s="9" t="s">
        <v>1333</v>
      </c>
      <c r="C617" s="9" t="s">
        <v>22</v>
      </c>
      <c r="D617" s="9">
        <v>213000</v>
      </c>
      <c r="E617" s="9" t="s">
        <v>2412</v>
      </c>
      <c r="F617" s="9" t="s">
        <v>67</v>
      </c>
      <c r="G617" s="9" t="s">
        <v>47</v>
      </c>
    </row>
    <row r="618" spans="2:7" x14ac:dyDescent="0.25">
      <c r="B618" s="9" t="s">
        <v>1335</v>
      </c>
      <c r="C618" s="9" t="s">
        <v>24</v>
      </c>
      <c r="D618" s="9">
        <v>296000</v>
      </c>
      <c r="E618" s="9" t="s">
        <v>2413</v>
      </c>
      <c r="F618" s="9" t="s">
        <v>63</v>
      </c>
      <c r="G618" s="9" t="s">
        <v>61</v>
      </c>
    </row>
    <row r="619" spans="2:7" x14ac:dyDescent="0.25">
      <c r="B619" s="9" t="s">
        <v>1337</v>
      </c>
      <c r="C619" s="9" t="s">
        <v>14</v>
      </c>
      <c r="D619" s="9">
        <v>169000</v>
      </c>
      <c r="E619" s="9" t="s">
        <v>2413</v>
      </c>
      <c r="F619" s="9" t="s">
        <v>67</v>
      </c>
      <c r="G619" s="9" t="s">
        <v>43</v>
      </c>
    </row>
    <row r="620" spans="2:7" x14ac:dyDescent="0.25">
      <c r="B620" s="9" t="s">
        <v>1338</v>
      </c>
      <c r="C620" s="9" t="s">
        <v>20</v>
      </c>
      <c r="D620" s="9">
        <v>64000</v>
      </c>
      <c r="E620" s="9" t="s">
        <v>2413</v>
      </c>
      <c r="F620" s="9" t="s">
        <v>64</v>
      </c>
      <c r="G620" s="9" t="s">
        <v>43</v>
      </c>
    </row>
    <row r="621" spans="2:7" x14ac:dyDescent="0.25">
      <c r="B621" s="9" t="s">
        <v>1339</v>
      </c>
      <c r="C621" s="9" t="s">
        <v>20</v>
      </c>
      <c r="D621" s="9">
        <v>101000</v>
      </c>
      <c r="E621" s="9" t="s">
        <v>2414</v>
      </c>
      <c r="F621" s="9" t="s">
        <v>67</v>
      </c>
      <c r="G621" s="9" t="s">
        <v>47</v>
      </c>
    </row>
    <row r="622" spans="2:7" x14ac:dyDescent="0.25">
      <c r="B622" s="9" t="s">
        <v>1341</v>
      </c>
      <c r="C622" s="9" t="s">
        <v>22</v>
      </c>
      <c r="D622" s="9">
        <v>87000</v>
      </c>
      <c r="E622" s="9" t="s">
        <v>2415</v>
      </c>
      <c r="F622" s="9" t="s">
        <v>62</v>
      </c>
      <c r="G622" s="9" t="s">
        <v>49</v>
      </c>
    </row>
    <row r="623" spans="2:7" x14ac:dyDescent="0.25">
      <c r="B623" s="9" t="s">
        <v>1343</v>
      </c>
      <c r="C623" s="9" t="s">
        <v>14</v>
      </c>
      <c r="D623" s="9">
        <v>195000</v>
      </c>
      <c r="E623" s="9" t="s">
        <v>2416</v>
      </c>
      <c r="F623" s="9" t="s">
        <v>64</v>
      </c>
      <c r="G623" s="9" t="s">
        <v>43</v>
      </c>
    </row>
    <row r="624" spans="2:7" x14ac:dyDescent="0.25">
      <c r="B624" s="9" t="s">
        <v>1346</v>
      </c>
      <c r="C624" s="9" t="s">
        <v>16</v>
      </c>
      <c r="D624" s="9">
        <v>103000</v>
      </c>
      <c r="E624" s="9" t="s">
        <v>2417</v>
      </c>
      <c r="F624" s="9" t="s">
        <v>64</v>
      </c>
      <c r="G624" s="9" t="s">
        <v>47</v>
      </c>
    </row>
    <row r="625" spans="2:7" x14ac:dyDescent="0.25">
      <c r="B625" s="9" t="s">
        <v>1348</v>
      </c>
      <c r="C625" s="9" t="s">
        <v>12</v>
      </c>
      <c r="D625" s="9">
        <v>262000</v>
      </c>
      <c r="E625" s="9" t="s">
        <v>2417</v>
      </c>
      <c r="F625" s="9" t="s">
        <v>62</v>
      </c>
      <c r="G625" s="9" t="s">
        <v>43</v>
      </c>
    </row>
    <row r="626" spans="2:7" x14ac:dyDescent="0.25">
      <c r="B626" s="9" t="s">
        <v>1350</v>
      </c>
      <c r="C626" s="9" t="s">
        <v>14</v>
      </c>
      <c r="D626" s="9">
        <v>91000</v>
      </c>
      <c r="E626" s="9" t="s">
        <v>2417</v>
      </c>
      <c r="F626" s="9" t="s">
        <v>67</v>
      </c>
      <c r="G626" s="9" t="s">
        <v>45</v>
      </c>
    </row>
    <row r="627" spans="2:7" x14ac:dyDescent="0.25">
      <c r="B627" s="9" t="s">
        <v>1351</v>
      </c>
      <c r="C627" s="9" t="s">
        <v>20</v>
      </c>
      <c r="D627" s="9">
        <v>78000</v>
      </c>
      <c r="E627" s="9" t="s">
        <v>2418</v>
      </c>
      <c r="F627" s="9" t="s">
        <v>65</v>
      </c>
      <c r="G627" s="9" t="s">
        <v>49</v>
      </c>
    </row>
    <row r="628" spans="2:7" x14ac:dyDescent="0.25">
      <c r="B628" s="9" t="s">
        <v>1353</v>
      </c>
      <c r="C628" s="9" t="s">
        <v>14</v>
      </c>
      <c r="D628" s="9">
        <v>232000</v>
      </c>
      <c r="E628" s="9" t="s">
        <v>2418</v>
      </c>
      <c r="F628" s="9" t="s">
        <v>62</v>
      </c>
      <c r="G628" s="9" t="s">
        <v>55</v>
      </c>
    </row>
    <row r="629" spans="2:7" x14ac:dyDescent="0.25">
      <c r="B629" s="9" t="s">
        <v>1354</v>
      </c>
      <c r="C629" s="9" t="s">
        <v>18</v>
      </c>
      <c r="D629" s="9">
        <v>288000</v>
      </c>
      <c r="E629" s="9" t="s">
        <v>2419</v>
      </c>
      <c r="F629" s="9" t="s">
        <v>67</v>
      </c>
      <c r="G629" s="9" t="s">
        <v>53</v>
      </c>
    </row>
    <row r="630" spans="2:7" x14ac:dyDescent="0.25">
      <c r="B630" s="9" t="s">
        <v>1356</v>
      </c>
      <c r="C630" s="9" t="s">
        <v>24</v>
      </c>
      <c r="D630" s="9">
        <v>58000</v>
      </c>
      <c r="E630" s="9" t="s">
        <v>2420</v>
      </c>
      <c r="F630" s="9" t="s">
        <v>67</v>
      </c>
      <c r="G630" s="9" t="s">
        <v>55</v>
      </c>
    </row>
    <row r="631" spans="2:7" x14ac:dyDescent="0.25">
      <c r="B631" s="9" t="s">
        <v>1358</v>
      </c>
      <c r="C631" s="9" t="s">
        <v>16</v>
      </c>
      <c r="D631" s="9">
        <v>55000</v>
      </c>
      <c r="E631" s="9" t="s">
        <v>2421</v>
      </c>
      <c r="F631" s="9" t="s">
        <v>63</v>
      </c>
      <c r="G631" s="9" t="s">
        <v>45</v>
      </c>
    </row>
    <row r="632" spans="2:7" x14ac:dyDescent="0.25">
      <c r="B632" s="9" t="s">
        <v>1360</v>
      </c>
      <c r="C632" s="9" t="s">
        <v>22</v>
      </c>
      <c r="D632" s="9">
        <v>61000</v>
      </c>
      <c r="E632" s="9" t="s">
        <v>2422</v>
      </c>
      <c r="F632" s="9" t="s">
        <v>66</v>
      </c>
      <c r="G632" s="9" t="s">
        <v>53</v>
      </c>
    </row>
    <row r="633" spans="2:7" x14ac:dyDescent="0.25">
      <c r="B633" s="9" t="s">
        <v>1362</v>
      </c>
      <c r="C633" s="9" t="s">
        <v>14</v>
      </c>
      <c r="D633" s="9">
        <v>211000</v>
      </c>
      <c r="E633" s="9" t="s">
        <v>2423</v>
      </c>
      <c r="F633" s="9" t="s">
        <v>62</v>
      </c>
      <c r="G633" s="9" t="s">
        <v>47</v>
      </c>
    </row>
    <row r="634" spans="2:7" x14ac:dyDescent="0.25">
      <c r="B634" s="9" t="s">
        <v>1364</v>
      </c>
      <c r="C634" s="9" t="s">
        <v>22</v>
      </c>
      <c r="D634" s="9">
        <v>197000</v>
      </c>
      <c r="E634" s="9" t="s">
        <v>2424</v>
      </c>
      <c r="F634" s="9" t="s">
        <v>65</v>
      </c>
      <c r="G634" s="9" t="s">
        <v>58</v>
      </c>
    </row>
    <row r="635" spans="2:7" x14ac:dyDescent="0.25">
      <c r="B635" s="9" t="s">
        <v>1366</v>
      </c>
      <c r="C635" s="9" t="s">
        <v>14</v>
      </c>
      <c r="D635" s="9">
        <v>69000</v>
      </c>
      <c r="E635" s="9" t="s">
        <v>2425</v>
      </c>
      <c r="F635" s="9" t="s">
        <v>66</v>
      </c>
      <c r="G635" s="9" t="s">
        <v>55</v>
      </c>
    </row>
    <row r="636" spans="2:7" x14ac:dyDescent="0.25">
      <c r="B636" s="9" t="s">
        <v>1368</v>
      </c>
      <c r="C636" s="9" t="s">
        <v>22</v>
      </c>
      <c r="D636" s="9">
        <v>123000</v>
      </c>
      <c r="E636" s="9" t="s">
        <v>2426</v>
      </c>
      <c r="F636" s="9" t="s">
        <v>63</v>
      </c>
      <c r="G636" s="9" t="s">
        <v>55</v>
      </c>
    </row>
    <row r="637" spans="2:7" x14ac:dyDescent="0.25">
      <c r="B637" s="9" t="s">
        <v>1370</v>
      </c>
      <c r="C637" s="9" t="s">
        <v>12</v>
      </c>
      <c r="D637" s="9">
        <v>157000</v>
      </c>
      <c r="E637" s="9" t="s">
        <v>2427</v>
      </c>
      <c r="F637" s="9" t="s">
        <v>63</v>
      </c>
      <c r="G637" s="9" t="s">
        <v>49</v>
      </c>
    </row>
    <row r="638" spans="2:7" x14ac:dyDescent="0.25">
      <c r="B638" s="9" t="s">
        <v>1372</v>
      </c>
      <c r="C638" s="9" t="s">
        <v>24</v>
      </c>
      <c r="D638" s="9">
        <v>110000</v>
      </c>
      <c r="E638" s="9" t="s">
        <v>2428</v>
      </c>
      <c r="F638" s="9" t="s">
        <v>64</v>
      </c>
      <c r="G638" s="9" t="s">
        <v>53</v>
      </c>
    </row>
    <row r="639" spans="2:7" x14ac:dyDescent="0.25">
      <c r="B639" s="9" t="s">
        <v>1374</v>
      </c>
      <c r="C639" s="9" t="s">
        <v>22</v>
      </c>
      <c r="D639" s="9">
        <v>167000</v>
      </c>
      <c r="E639" s="9" t="s">
        <v>2429</v>
      </c>
      <c r="F639" s="9" t="s">
        <v>64</v>
      </c>
      <c r="G639" s="9" t="s">
        <v>55</v>
      </c>
    </row>
    <row r="640" spans="2:7" x14ac:dyDescent="0.25">
      <c r="B640" s="9" t="s">
        <v>1376</v>
      </c>
      <c r="C640" s="9" t="s">
        <v>24</v>
      </c>
      <c r="D640" s="9">
        <v>161000</v>
      </c>
      <c r="E640" s="9" t="s">
        <v>2429</v>
      </c>
      <c r="F640" s="9" t="s">
        <v>67</v>
      </c>
      <c r="G640" s="9" t="s">
        <v>51</v>
      </c>
    </row>
    <row r="641" spans="2:7" x14ac:dyDescent="0.25">
      <c r="B641" s="9" t="s">
        <v>1377</v>
      </c>
      <c r="C641" s="9" t="s">
        <v>12</v>
      </c>
      <c r="D641" s="9">
        <v>241000</v>
      </c>
      <c r="E641" s="9" t="s">
        <v>2430</v>
      </c>
      <c r="F641" s="9" t="s">
        <v>67</v>
      </c>
      <c r="G641" s="9" t="s">
        <v>47</v>
      </c>
    </row>
    <row r="642" spans="2:7" x14ac:dyDescent="0.25">
      <c r="B642" s="9" t="s">
        <v>1379</v>
      </c>
      <c r="C642" s="9" t="s">
        <v>16</v>
      </c>
      <c r="D642" s="9">
        <v>216000</v>
      </c>
      <c r="E642" s="9" t="s">
        <v>2430</v>
      </c>
      <c r="F642" s="9" t="s">
        <v>67</v>
      </c>
      <c r="G642" s="9" t="s">
        <v>51</v>
      </c>
    </row>
    <row r="643" spans="2:7" x14ac:dyDescent="0.25">
      <c r="B643" s="9" t="s">
        <v>1380</v>
      </c>
      <c r="C643" s="9" t="s">
        <v>14</v>
      </c>
      <c r="D643" s="9">
        <v>39000</v>
      </c>
      <c r="E643" s="9" t="s">
        <v>2431</v>
      </c>
      <c r="F643" s="9" t="s">
        <v>62</v>
      </c>
      <c r="G643" s="9" t="s">
        <v>53</v>
      </c>
    </row>
    <row r="644" spans="2:7" x14ac:dyDescent="0.25">
      <c r="B644" s="9" t="s">
        <v>1383</v>
      </c>
      <c r="C644" s="9" t="s">
        <v>18</v>
      </c>
      <c r="D644" s="9">
        <v>152000</v>
      </c>
      <c r="E644" s="9" t="s">
        <v>2432</v>
      </c>
      <c r="F644" s="9" t="s">
        <v>63</v>
      </c>
      <c r="G644" s="9" t="s">
        <v>55</v>
      </c>
    </row>
    <row r="645" spans="2:7" x14ac:dyDescent="0.25">
      <c r="B645" s="9" t="s">
        <v>1385</v>
      </c>
      <c r="C645" s="9" t="s">
        <v>22</v>
      </c>
      <c r="D645" s="9">
        <v>61000</v>
      </c>
      <c r="E645" s="9" t="s">
        <v>2433</v>
      </c>
      <c r="F645" s="9" t="s">
        <v>67</v>
      </c>
      <c r="G645" s="9" t="s">
        <v>47</v>
      </c>
    </row>
    <row r="646" spans="2:7" x14ac:dyDescent="0.25">
      <c r="B646" s="9" t="s">
        <v>1387</v>
      </c>
      <c r="C646" s="9" t="s">
        <v>12</v>
      </c>
      <c r="D646" s="9">
        <v>41000</v>
      </c>
      <c r="E646" s="9" t="s">
        <v>2433</v>
      </c>
      <c r="F646" s="9" t="s">
        <v>64</v>
      </c>
      <c r="G646" s="9" t="s">
        <v>58</v>
      </c>
    </row>
    <row r="647" spans="2:7" x14ac:dyDescent="0.25">
      <c r="B647" s="9" t="s">
        <v>1388</v>
      </c>
      <c r="C647" s="9" t="s">
        <v>16</v>
      </c>
      <c r="D647" s="9">
        <v>102000</v>
      </c>
      <c r="E647" s="9" t="s">
        <v>2434</v>
      </c>
      <c r="F647" s="9" t="s">
        <v>66</v>
      </c>
      <c r="G647" s="9" t="s">
        <v>49</v>
      </c>
    </row>
    <row r="648" spans="2:7" x14ac:dyDescent="0.25">
      <c r="B648" s="9" t="s">
        <v>1390</v>
      </c>
      <c r="C648" s="9" t="s">
        <v>14</v>
      </c>
      <c r="D648" s="9">
        <v>79000</v>
      </c>
      <c r="E648" s="9" t="s">
        <v>2435</v>
      </c>
      <c r="F648" s="9" t="s">
        <v>65</v>
      </c>
      <c r="G648" s="9" t="s">
        <v>45</v>
      </c>
    </row>
    <row r="649" spans="2:7" x14ac:dyDescent="0.25">
      <c r="B649" s="9" t="s">
        <v>1392</v>
      </c>
      <c r="C649" s="9" t="s">
        <v>12</v>
      </c>
      <c r="D649" s="9">
        <v>47000</v>
      </c>
      <c r="E649" s="9" t="s">
        <v>2435</v>
      </c>
      <c r="F649" s="9" t="s">
        <v>62</v>
      </c>
      <c r="G649" s="9" t="s">
        <v>58</v>
      </c>
    </row>
    <row r="650" spans="2:7" x14ac:dyDescent="0.25">
      <c r="B650" s="9" t="s">
        <v>1393</v>
      </c>
      <c r="C650" s="9" t="s">
        <v>18</v>
      </c>
      <c r="D650" s="9">
        <v>91000</v>
      </c>
      <c r="E650" s="9" t="s">
        <v>2436</v>
      </c>
      <c r="F650" s="9" t="s">
        <v>66</v>
      </c>
      <c r="G650" s="9" t="s">
        <v>51</v>
      </c>
    </row>
    <row r="651" spans="2:7" x14ac:dyDescent="0.25">
      <c r="B651" s="9" t="s">
        <v>1395</v>
      </c>
      <c r="C651" s="9" t="s">
        <v>22</v>
      </c>
      <c r="D651" s="9">
        <v>65000</v>
      </c>
      <c r="E651" s="9" t="s">
        <v>2437</v>
      </c>
      <c r="F651" s="9" t="s">
        <v>66</v>
      </c>
      <c r="G651" s="9" t="s">
        <v>55</v>
      </c>
    </row>
    <row r="652" spans="2:7" x14ac:dyDescent="0.25">
      <c r="B652" s="9" t="s">
        <v>1397</v>
      </c>
      <c r="C652" s="9" t="s">
        <v>20</v>
      </c>
      <c r="D652" s="9">
        <v>125000</v>
      </c>
      <c r="E652" s="9" t="s">
        <v>2438</v>
      </c>
      <c r="F652" s="9" t="s">
        <v>64</v>
      </c>
      <c r="G652" s="9" t="s">
        <v>55</v>
      </c>
    </row>
    <row r="653" spans="2:7" x14ac:dyDescent="0.25">
      <c r="B653" s="9" t="s">
        <v>1399</v>
      </c>
      <c r="C653" s="9" t="s">
        <v>20</v>
      </c>
      <c r="D653" s="9">
        <v>198000</v>
      </c>
      <c r="E653" s="9" t="s">
        <v>2439</v>
      </c>
      <c r="F653" s="9" t="s">
        <v>64</v>
      </c>
      <c r="G653" s="9" t="s">
        <v>47</v>
      </c>
    </row>
    <row r="654" spans="2:7" x14ac:dyDescent="0.25">
      <c r="B654" s="9" t="s">
        <v>1401</v>
      </c>
      <c r="C654" s="9" t="s">
        <v>22</v>
      </c>
      <c r="D654" s="9">
        <v>116000</v>
      </c>
      <c r="E654" s="9" t="s">
        <v>2440</v>
      </c>
      <c r="F654" s="9" t="s">
        <v>67</v>
      </c>
      <c r="G654" s="9" t="s">
        <v>49</v>
      </c>
    </row>
    <row r="655" spans="2:7" x14ac:dyDescent="0.25">
      <c r="B655" s="9" t="s">
        <v>1403</v>
      </c>
      <c r="C655" s="9" t="s">
        <v>16</v>
      </c>
      <c r="D655" s="9">
        <v>255000</v>
      </c>
      <c r="E655" s="9" t="s">
        <v>2440</v>
      </c>
      <c r="F655" s="9" t="s">
        <v>65</v>
      </c>
      <c r="G655" s="9" t="s">
        <v>49</v>
      </c>
    </row>
    <row r="656" spans="2:7" x14ac:dyDescent="0.25">
      <c r="B656" s="9" t="s">
        <v>1404</v>
      </c>
      <c r="C656" s="9" t="s">
        <v>24</v>
      </c>
      <c r="D656" s="9">
        <v>120000</v>
      </c>
      <c r="E656" s="9" t="s">
        <v>2441</v>
      </c>
      <c r="F656" s="9" t="s">
        <v>66</v>
      </c>
      <c r="G656" s="9" t="s">
        <v>55</v>
      </c>
    </row>
    <row r="657" spans="2:7" x14ac:dyDescent="0.25">
      <c r="B657" s="9" t="s">
        <v>1406</v>
      </c>
      <c r="C657" s="9" t="s">
        <v>12</v>
      </c>
      <c r="D657" s="9">
        <v>68000</v>
      </c>
      <c r="E657" s="9" t="s">
        <v>2442</v>
      </c>
      <c r="F657" s="9" t="s">
        <v>63</v>
      </c>
      <c r="G657" s="9" t="s">
        <v>47</v>
      </c>
    </row>
    <row r="658" spans="2:7" x14ac:dyDescent="0.25">
      <c r="B658" s="9" t="s">
        <v>1408</v>
      </c>
      <c r="C658" s="9" t="s">
        <v>18</v>
      </c>
      <c r="D658" s="9">
        <v>67000</v>
      </c>
      <c r="E658" s="9" t="s">
        <v>2442</v>
      </c>
      <c r="F658" s="9" t="s">
        <v>65</v>
      </c>
      <c r="G658" s="9" t="s">
        <v>53</v>
      </c>
    </row>
    <row r="659" spans="2:7" x14ac:dyDescent="0.25">
      <c r="B659" s="9" t="s">
        <v>1410</v>
      </c>
      <c r="C659" s="9" t="s">
        <v>12</v>
      </c>
      <c r="D659" s="9">
        <v>173000</v>
      </c>
      <c r="E659" s="9" t="s">
        <v>2443</v>
      </c>
      <c r="F659" s="9" t="s">
        <v>67</v>
      </c>
      <c r="G659" s="9" t="s">
        <v>47</v>
      </c>
    </row>
    <row r="660" spans="2:7" x14ac:dyDescent="0.25">
      <c r="B660" s="9" t="s">
        <v>1412</v>
      </c>
      <c r="C660" s="9" t="s">
        <v>20</v>
      </c>
      <c r="D660" s="9">
        <v>178000</v>
      </c>
      <c r="E660" s="9" t="s">
        <v>2443</v>
      </c>
      <c r="F660" s="9" t="s">
        <v>66</v>
      </c>
      <c r="G660" s="9" t="s">
        <v>45</v>
      </c>
    </row>
    <row r="661" spans="2:7" x14ac:dyDescent="0.25">
      <c r="B661" s="9" t="s">
        <v>1413</v>
      </c>
      <c r="C661" s="9" t="s">
        <v>22</v>
      </c>
      <c r="D661" s="9">
        <v>252000</v>
      </c>
      <c r="E661" s="9" t="s">
        <v>2444</v>
      </c>
      <c r="F661" s="9" t="s">
        <v>66</v>
      </c>
      <c r="G661" s="9" t="s">
        <v>61</v>
      </c>
    </row>
    <row r="662" spans="2:7" x14ac:dyDescent="0.25">
      <c r="B662" s="9" t="s">
        <v>1415</v>
      </c>
      <c r="C662" s="9" t="s">
        <v>14</v>
      </c>
      <c r="D662" s="9">
        <v>217000</v>
      </c>
      <c r="E662" s="9" t="s">
        <v>2445</v>
      </c>
      <c r="F662" s="9" t="s">
        <v>62</v>
      </c>
      <c r="G662" s="9" t="s">
        <v>55</v>
      </c>
    </row>
    <row r="663" spans="2:7" x14ac:dyDescent="0.25">
      <c r="B663" s="9" t="s">
        <v>1417</v>
      </c>
      <c r="C663" s="9" t="s">
        <v>12</v>
      </c>
      <c r="D663" s="9">
        <v>224000</v>
      </c>
      <c r="E663" s="9" t="s">
        <v>2446</v>
      </c>
      <c r="F663" s="9" t="s">
        <v>67</v>
      </c>
      <c r="G663" s="9" t="s">
        <v>47</v>
      </c>
    </row>
    <row r="664" spans="2:7" x14ac:dyDescent="0.25">
      <c r="B664" s="9" t="s">
        <v>1419</v>
      </c>
      <c r="C664" s="9" t="s">
        <v>12</v>
      </c>
      <c r="D664" s="9">
        <v>252000</v>
      </c>
      <c r="E664" s="9" t="s">
        <v>2447</v>
      </c>
      <c r="F664" s="9" t="s">
        <v>67</v>
      </c>
      <c r="G664" s="9" t="s">
        <v>51</v>
      </c>
    </row>
    <row r="665" spans="2:7" x14ac:dyDescent="0.25">
      <c r="B665" s="9" t="s">
        <v>1421</v>
      </c>
      <c r="C665" s="9" t="s">
        <v>14</v>
      </c>
      <c r="D665" s="9">
        <v>130000</v>
      </c>
      <c r="E665" s="9" t="s">
        <v>2447</v>
      </c>
      <c r="F665" s="9" t="s">
        <v>63</v>
      </c>
      <c r="G665" s="9" t="s">
        <v>53</v>
      </c>
    </row>
    <row r="666" spans="2:7" x14ac:dyDescent="0.25">
      <c r="B666" s="9" t="s">
        <v>1422</v>
      </c>
      <c r="C666" s="9" t="s">
        <v>22</v>
      </c>
      <c r="D666" s="9">
        <v>297000</v>
      </c>
      <c r="E666" s="9" t="s">
        <v>2448</v>
      </c>
      <c r="F666" s="9" t="s">
        <v>63</v>
      </c>
      <c r="G666" s="9" t="s">
        <v>45</v>
      </c>
    </row>
    <row r="667" spans="2:7" x14ac:dyDescent="0.25">
      <c r="B667" s="9" t="s">
        <v>1424</v>
      </c>
      <c r="C667" s="9" t="s">
        <v>18</v>
      </c>
      <c r="D667" s="9">
        <v>179000</v>
      </c>
      <c r="E667" s="9" t="s">
        <v>2449</v>
      </c>
      <c r="F667" s="9" t="s">
        <v>63</v>
      </c>
      <c r="G667" s="9" t="s">
        <v>51</v>
      </c>
    </row>
    <row r="668" spans="2:7" x14ac:dyDescent="0.25">
      <c r="B668" s="9" t="s">
        <v>1426</v>
      </c>
      <c r="C668" s="9" t="s">
        <v>20</v>
      </c>
      <c r="D668" s="9">
        <v>264000</v>
      </c>
      <c r="E668" s="9" t="s">
        <v>2449</v>
      </c>
      <c r="F668" s="9" t="s">
        <v>67</v>
      </c>
      <c r="G668" s="9" t="s">
        <v>61</v>
      </c>
    </row>
    <row r="669" spans="2:7" x14ac:dyDescent="0.25">
      <c r="B669" s="9" t="s">
        <v>1427</v>
      </c>
      <c r="C669" s="9" t="s">
        <v>18</v>
      </c>
      <c r="D669" s="9">
        <v>212000</v>
      </c>
      <c r="E669" s="9" t="s">
        <v>2450</v>
      </c>
      <c r="F669" s="9" t="s">
        <v>67</v>
      </c>
      <c r="G669" s="9" t="s">
        <v>51</v>
      </c>
    </row>
    <row r="670" spans="2:7" x14ac:dyDescent="0.25">
      <c r="B670" s="9" t="s">
        <v>1429</v>
      </c>
      <c r="C670" s="9" t="s">
        <v>16</v>
      </c>
      <c r="D670" s="9">
        <v>153000</v>
      </c>
      <c r="E670" s="9" t="s">
        <v>2451</v>
      </c>
      <c r="F670" s="9" t="s">
        <v>65</v>
      </c>
      <c r="G670" s="9" t="s">
        <v>49</v>
      </c>
    </row>
    <row r="671" spans="2:7" x14ac:dyDescent="0.25">
      <c r="B671" s="9" t="s">
        <v>1431</v>
      </c>
      <c r="C671" s="9" t="s">
        <v>12</v>
      </c>
      <c r="D671" s="9">
        <v>176000</v>
      </c>
      <c r="E671" s="9" t="s">
        <v>2451</v>
      </c>
      <c r="F671" s="9" t="s">
        <v>67</v>
      </c>
      <c r="G671" s="9" t="s">
        <v>61</v>
      </c>
    </row>
    <row r="672" spans="2:7" x14ac:dyDescent="0.25">
      <c r="B672" s="9" t="s">
        <v>1432</v>
      </c>
      <c r="C672" s="9" t="s">
        <v>20</v>
      </c>
      <c r="D672" s="9">
        <v>38000</v>
      </c>
      <c r="E672" s="9" t="s">
        <v>2452</v>
      </c>
      <c r="F672" s="9" t="s">
        <v>67</v>
      </c>
      <c r="G672" s="9" t="s">
        <v>43</v>
      </c>
    </row>
    <row r="673" spans="2:7" x14ac:dyDescent="0.25">
      <c r="B673" s="9" t="s">
        <v>1434</v>
      </c>
      <c r="C673" s="9" t="s">
        <v>20</v>
      </c>
      <c r="D673" s="9">
        <v>153000</v>
      </c>
      <c r="E673" s="9" t="s">
        <v>2452</v>
      </c>
      <c r="F673" s="9" t="s">
        <v>63</v>
      </c>
      <c r="G673" s="9" t="s">
        <v>61</v>
      </c>
    </row>
    <row r="674" spans="2:7" x14ac:dyDescent="0.25">
      <c r="B674" s="9" t="s">
        <v>1435</v>
      </c>
      <c r="C674" s="9" t="s">
        <v>16</v>
      </c>
      <c r="D674" s="9">
        <v>166000</v>
      </c>
      <c r="E674" s="9" t="s">
        <v>2453</v>
      </c>
      <c r="F674" s="9" t="s">
        <v>63</v>
      </c>
      <c r="G674" s="9" t="s">
        <v>53</v>
      </c>
    </row>
    <row r="675" spans="2:7" x14ac:dyDescent="0.25">
      <c r="B675" s="9" t="s">
        <v>1437</v>
      </c>
      <c r="C675" s="9" t="s">
        <v>18</v>
      </c>
      <c r="D675" s="9">
        <v>269000</v>
      </c>
      <c r="E675" s="9" t="s">
        <v>2454</v>
      </c>
      <c r="F675" s="9" t="s">
        <v>67</v>
      </c>
      <c r="G675" s="9" t="s">
        <v>47</v>
      </c>
    </row>
    <row r="676" spans="2:7" x14ac:dyDescent="0.25">
      <c r="B676" s="9" t="s">
        <v>1439</v>
      </c>
      <c r="C676" s="9" t="s">
        <v>14</v>
      </c>
      <c r="D676" s="9">
        <v>69000</v>
      </c>
      <c r="E676" s="9" t="s">
        <v>2454</v>
      </c>
      <c r="F676" s="9" t="s">
        <v>64</v>
      </c>
      <c r="G676" s="9" t="s">
        <v>55</v>
      </c>
    </row>
    <row r="677" spans="2:7" x14ac:dyDescent="0.25">
      <c r="B677" s="9" t="s">
        <v>1440</v>
      </c>
      <c r="C677" s="9" t="s">
        <v>16</v>
      </c>
      <c r="D677" s="9">
        <v>276000</v>
      </c>
      <c r="E677" s="9" t="s">
        <v>2455</v>
      </c>
      <c r="F677" s="9" t="s">
        <v>65</v>
      </c>
      <c r="G677" s="9" t="s">
        <v>47</v>
      </c>
    </row>
    <row r="678" spans="2:7" x14ac:dyDescent="0.25">
      <c r="B678" s="9" t="s">
        <v>1442</v>
      </c>
      <c r="C678" s="9" t="s">
        <v>16</v>
      </c>
      <c r="D678" s="9">
        <v>50000</v>
      </c>
      <c r="E678" s="9" t="s">
        <v>2455</v>
      </c>
      <c r="F678" s="9" t="s">
        <v>66</v>
      </c>
      <c r="G678" s="9" t="s">
        <v>45</v>
      </c>
    </row>
    <row r="679" spans="2:7" x14ac:dyDescent="0.25">
      <c r="B679" s="9" t="s">
        <v>1444</v>
      </c>
      <c r="C679" s="9" t="s">
        <v>18</v>
      </c>
      <c r="D679" s="9">
        <v>79000</v>
      </c>
      <c r="E679" s="9" t="s">
        <v>2456</v>
      </c>
      <c r="F679" s="9" t="s">
        <v>65</v>
      </c>
      <c r="G679" s="9" t="s">
        <v>47</v>
      </c>
    </row>
    <row r="680" spans="2:7" x14ac:dyDescent="0.25">
      <c r="B680" s="9" t="s">
        <v>1446</v>
      </c>
      <c r="C680" s="9" t="s">
        <v>16</v>
      </c>
      <c r="D680" s="9">
        <v>266000</v>
      </c>
      <c r="E680" s="9" t="s">
        <v>2457</v>
      </c>
      <c r="F680" s="9" t="s">
        <v>67</v>
      </c>
      <c r="G680" s="9" t="s">
        <v>53</v>
      </c>
    </row>
    <row r="681" spans="2:7" x14ac:dyDescent="0.25">
      <c r="B681" s="9" t="s">
        <v>1448</v>
      </c>
      <c r="C681" s="9" t="s">
        <v>16</v>
      </c>
      <c r="D681" s="9">
        <v>249000</v>
      </c>
      <c r="E681" s="9" t="s">
        <v>2457</v>
      </c>
      <c r="F681" s="9" t="s">
        <v>63</v>
      </c>
      <c r="G681" s="9" t="s">
        <v>55</v>
      </c>
    </row>
    <row r="682" spans="2:7" x14ac:dyDescent="0.25">
      <c r="B682" s="9" t="s">
        <v>1449</v>
      </c>
      <c r="C682" s="9" t="s">
        <v>16</v>
      </c>
      <c r="D682" s="9">
        <v>98000</v>
      </c>
      <c r="E682" s="9" t="s">
        <v>2457</v>
      </c>
      <c r="F682" s="9" t="s">
        <v>67</v>
      </c>
      <c r="G682" s="9" t="s">
        <v>53</v>
      </c>
    </row>
    <row r="683" spans="2:7" x14ac:dyDescent="0.25">
      <c r="B683" s="9" t="s">
        <v>1450</v>
      </c>
      <c r="C683" s="9" t="s">
        <v>16</v>
      </c>
      <c r="D683" s="9">
        <v>161000</v>
      </c>
      <c r="E683" s="9" t="s">
        <v>2457</v>
      </c>
      <c r="F683" s="9" t="s">
        <v>67</v>
      </c>
      <c r="G683" s="9" t="s">
        <v>47</v>
      </c>
    </row>
    <row r="684" spans="2:7" x14ac:dyDescent="0.25">
      <c r="B684" s="9" t="s">
        <v>1451</v>
      </c>
      <c r="C684" s="9" t="s">
        <v>12</v>
      </c>
      <c r="D684" s="9">
        <v>175000</v>
      </c>
      <c r="E684" s="9" t="s">
        <v>2458</v>
      </c>
      <c r="F684" s="9" t="s">
        <v>62</v>
      </c>
      <c r="G684" s="9" t="s">
        <v>47</v>
      </c>
    </row>
    <row r="685" spans="2:7" x14ac:dyDescent="0.25">
      <c r="B685" s="9" t="s">
        <v>1453</v>
      </c>
      <c r="C685" s="9" t="s">
        <v>12</v>
      </c>
      <c r="D685" s="9">
        <v>249000</v>
      </c>
      <c r="E685" s="9" t="s">
        <v>2458</v>
      </c>
      <c r="F685" s="9" t="s">
        <v>66</v>
      </c>
      <c r="G685" s="9" t="s">
        <v>45</v>
      </c>
    </row>
    <row r="686" spans="2:7" x14ac:dyDescent="0.25">
      <c r="B686" s="9" t="s">
        <v>1454</v>
      </c>
      <c r="C686" s="9" t="s">
        <v>14</v>
      </c>
      <c r="D686" s="9">
        <v>182000</v>
      </c>
      <c r="E686" s="9" t="s">
        <v>2459</v>
      </c>
      <c r="F686" s="9" t="s">
        <v>63</v>
      </c>
      <c r="G686" s="9" t="s">
        <v>47</v>
      </c>
    </row>
    <row r="687" spans="2:7" x14ac:dyDescent="0.25">
      <c r="B687" s="9" t="s">
        <v>1456</v>
      </c>
      <c r="C687" s="9" t="s">
        <v>12</v>
      </c>
      <c r="D687" s="9">
        <v>251000</v>
      </c>
      <c r="E687" s="9" t="s">
        <v>2459</v>
      </c>
      <c r="F687" s="9" t="s">
        <v>63</v>
      </c>
      <c r="G687" s="9" t="s">
        <v>58</v>
      </c>
    </row>
    <row r="688" spans="2:7" x14ac:dyDescent="0.25">
      <c r="B688" s="9" t="s">
        <v>1457</v>
      </c>
      <c r="C688" s="9" t="s">
        <v>14</v>
      </c>
      <c r="D688" s="9">
        <v>133000</v>
      </c>
      <c r="E688" s="9" t="s">
        <v>2460</v>
      </c>
      <c r="F688" s="9" t="s">
        <v>66</v>
      </c>
      <c r="G688" s="9" t="s">
        <v>61</v>
      </c>
    </row>
    <row r="689" spans="2:7" x14ac:dyDescent="0.25">
      <c r="B689" s="9" t="s">
        <v>1459</v>
      </c>
      <c r="C689" s="9" t="s">
        <v>14</v>
      </c>
      <c r="D689" s="9">
        <v>179000</v>
      </c>
      <c r="E689" s="9" t="s">
        <v>2461</v>
      </c>
      <c r="F689" s="9" t="s">
        <v>62</v>
      </c>
      <c r="G689" s="9" t="s">
        <v>47</v>
      </c>
    </row>
    <row r="690" spans="2:7" x14ac:dyDescent="0.25">
      <c r="B690" s="9" t="s">
        <v>1461</v>
      </c>
      <c r="C690" s="9" t="s">
        <v>24</v>
      </c>
      <c r="D690" s="9">
        <v>149000</v>
      </c>
      <c r="E690" s="9" t="s">
        <v>2461</v>
      </c>
      <c r="F690" s="9" t="s">
        <v>62</v>
      </c>
      <c r="G690" s="9" t="s">
        <v>55</v>
      </c>
    </row>
    <row r="691" spans="2:7" x14ac:dyDescent="0.25">
      <c r="B691" s="9" t="s">
        <v>1462</v>
      </c>
      <c r="C691" s="9" t="s">
        <v>18</v>
      </c>
      <c r="D691" s="9">
        <v>247000</v>
      </c>
      <c r="E691" s="9" t="s">
        <v>2462</v>
      </c>
      <c r="F691" s="9" t="s">
        <v>64</v>
      </c>
      <c r="G691" s="9" t="s">
        <v>58</v>
      </c>
    </row>
    <row r="692" spans="2:7" x14ac:dyDescent="0.25">
      <c r="B692" s="9" t="s">
        <v>1464</v>
      </c>
      <c r="C692" s="9" t="s">
        <v>22</v>
      </c>
      <c r="D692" s="9">
        <v>272000</v>
      </c>
      <c r="E692" s="9" t="s">
        <v>2463</v>
      </c>
      <c r="F692" s="9" t="s">
        <v>67</v>
      </c>
      <c r="G692" s="9" t="s">
        <v>47</v>
      </c>
    </row>
    <row r="693" spans="2:7" x14ac:dyDescent="0.25">
      <c r="B693" s="9" t="s">
        <v>1466</v>
      </c>
      <c r="C693" s="9" t="s">
        <v>20</v>
      </c>
      <c r="D693" s="9">
        <v>107000</v>
      </c>
      <c r="E693" s="9" t="s">
        <v>2464</v>
      </c>
      <c r="F693" s="9" t="s">
        <v>64</v>
      </c>
      <c r="G693" s="9" t="s">
        <v>51</v>
      </c>
    </row>
    <row r="694" spans="2:7" x14ac:dyDescent="0.25">
      <c r="B694" s="9" t="s">
        <v>1468</v>
      </c>
      <c r="C694" s="9" t="s">
        <v>24</v>
      </c>
      <c r="D694" s="9">
        <v>289000</v>
      </c>
      <c r="E694" s="9" t="s">
        <v>2465</v>
      </c>
      <c r="F694" s="9" t="s">
        <v>62</v>
      </c>
      <c r="G694" s="9" t="s">
        <v>61</v>
      </c>
    </row>
    <row r="695" spans="2:7" x14ac:dyDescent="0.25">
      <c r="B695" s="9" t="s">
        <v>1470</v>
      </c>
      <c r="C695" s="9" t="s">
        <v>22</v>
      </c>
      <c r="D695" s="9">
        <v>214000</v>
      </c>
      <c r="E695" s="9" t="s">
        <v>2466</v>
      </c>
      <c r="F695" s="9" t="s">
        <v>63</v>
      </c>
      <c r="G695" s="9" t="s">
        <v>58</v>
      </c>
    </row>
    <row r="696" spans="2:7" x14ac:dyDescent="0.25">
      <c r="B696" s="9" t="s">
        <v>1472</v>
      </c>
      <c r="C696" s="9" t="s">
        <v>14</v>
      </c>
      <c r="D696" s="9">
        <v>195000</v>
      </c>
      <c r="E696" s="9" t="s">
        <v>2467</v>
      </c>
      <c r="F696" s="9" t="s">
        <v>66</v>
      </c>
      <c r="G696" s="9" t="s">
        <v>49</v>
      </c>
    </row>
    <row r="697" spans="2:7" x14ac:dyDescent="0.25">
      <c r="B697" s="9" t="s">
        <v>1474</v>
      </c>
      <c r="C697" s="9" t="s">
        <v>16</v>
      </c>
      <c r="D697" s="9">
        <v>264000</v>
      </c>
      <c r="E697" s="9" t="s">
        <v>2467</v>
      </c>
      <c r="F697" s="9" t="s">
        <v>65</v>
      </c>
      <c r="G697" s="9" t="s">
        <v>47</v>
      </c>
    </row>
    <row r="698" spans="2:7" x14ac:dyDescent="0.25">
      <c r="B698" s="9" t="s">
        <v>1475</v>
      </c>
      <c r="C698" s="9" t="s">
        <v>12</v>
      </c>
      <c r="D698" s="9">
        <v>242000</v>
      </c>
      <c r="E698" s="9" t="s">
        <v>2468</v>
      </c>
      <c r="F698" s="9" t="s">
        <v>64</v>
      </c>
      <c r="G698" s="9" t="s">
        <v>43</v>
      </c>
    </row>
    <row r="699" spans="2:7" x14ac:dyDescent="0.25">
      <c r="B699" s="9" t="s">
        <v>1477</v>
      </c>
      <c r="C699" s="9" t="s">
        <v>18</v>
      </c>
      <c r="D699" s="9">
        <v>252000</v>
      </c>
      <c r="E699" s="9" t="s">
        <v>2468</v>
      </c>
      <c r="F699" s="9" t="s">
        <v>64</v>
      </c>
      <c r="G699" s="9" t="s">
        <v>43</v>
      </c>
    </row>
    <row r="700" spans="2:7" x14ac:dyDescent="0.25">
      <c r="B700" s="9" t="s">
        <v>1478</v>
      </c>
      <c r="C700" s="9" t="s">
        <v>24</v>
      </c>
      <c r="D700" s="9">
        <v>200000</v>
      </c>
      <c r="E700" s="9" t="s">
        <v>2469</v>
      </c>
      <c r="F700" s="9" t="s">
        <v>62</v>
      </c>
      <c r="G700" s="9" t="s">
        <v>53</v>
      </c>
    </row>
    <row r="701" spans="2:7" x14ac:dyDescent="0.25">
      <c r="B701" s="9" t="s">
        <v>1480</v>
      </c>
      <c r="C701" s="9" t="s">
        <v>12</v>
      </c>
      <c r="D701" s="9">
        <v>90000</v>
      </c>
      <c r="E701" s="9" t="s">
        <v>2470</v>
      </c>
      <c r="F701" s="9" t="s">
        <v>63</v>
      </c>
      <c r="G701" s="9" t="s">
        <v>47</v>
      </c>
    </row>
    <row r="702" spans="2:7" x14ac:dyDescent="0.25">
      <c r="B702" s="9" t="s">
        <v>1482</v>
      </c>
      <c r="C702" s="9" t="s">
        <v>24</v>
      </c>
      <c r="D702" s="9">
        <v>266000</v>
      </c>
      <c r="E702" s="9" t="s">
        <v>2470</v>
      </c>
      <c r="F702" s="9" t="s">
        <v>64</v>
      </c>
      <c r="G702" s="9" t="s">
        <v>61</v>
      </c>
    </row>
    <row r="703" spans="2:7" x14ac:dyDescent="0.25">
      <c r="B703" s="9" t="s">
        <v>1483</v>
      </c>
      <c r="C703" s="9" t="s">
        <v>18</v>
      </c>
      <c r="D703" s="9">
        <v>73000</v>
      </c>
      <c r="E703" s="9" t="s">
        <v>2471</v>
      </c>
      <c r="F703" s="9" t="s">
        <v>64</v>
      </c>
      <c r="G703" s="9" t="s">
        <v>53</v>
      </c>
    </row>
    <row r="704" spans="2:7" x14ac:dyDescent="0.25">
      <c r="B704" s="9" t="s">
        <v>1486</v>
      </c>
      <c r="C704" s="9" t="s">
        <v>16</v>
      </c>
      <c r="D704" s="9">
        <v>84000</v>
      </c>
      <c r="E704" s="9" t="s">
        <v>2472</v>
      </c>
      <c r="F704" s="9" t="s">
        <v>63</v>
      </c>
      <c r="G704" s="9" t="s">
        <v>49</v>
      </c>
    </row>
    <row r="705" spans="2:7" x14ac:dyDescent="0.25">
      <c r="B705" s="9" t="s">
        <v>1488</v>
      </c>
      <c r="C705" s="9" t="s">
        <v>22</v>
      </c>
      <c r="D705" s="9">
        <v>261000</v>
      </c>
      <c r="E705" s="9" t="s">
        <v>2472</v>
      </c>
      <c r="F705" s="9" t="s">
        <v>64</v>
      </c>
      <c r="G705" s="9" t="s">
        <v>53</v>
      </c>
    </row>
    <row r="706" spans="2:7" x14ac:dyDescent="0.25">
      <c r="B706" s="9" t="s">
        <v>1489</v>
      </c>
      <c r="C706" s="9" t="s">
        <v>12</v>
      </c>
      <c r="D706" s="9">
        <v>69000</v>
      </c>
      <c r="E706" s="9" t="s">
        <v>2473</v>
      </c>
      <c r="F706" s="9" t="s">
        <v>63</v>
      </c>
      <c r="G706" s="9" t="s">
        <v>47</v>
      </c>
    </row>
    <row r="707" spans="2:7" x14ac:dyDescent="0.25">
      <c r="B707" s="9" t="s">
        <v>1491</v>
      </c>
      <c r="C707" s="9" t="s">
        <v>14</v>
      </c>
      <c r="D707" s="9">
        <v>175000</v>
      </c>
      <c r="E707" s="9" t="s">
        <v>2474</v>
      </c>
      <c r="F707" s="9" t="s">
        <v>67</v>
      </c>
      <c r="G707" s="9" t="s">
        <v>61</v>
      </c>
    </row>
    <row r="708" spans="2:7" x14ac:dyDescent="0.25">
      <c r="B708" s="9" t="s">
        <v>1493</v>
      </c>
      <c r="C708" s="9" t="s">
        <v>14</v>
      </c>
      <c r="D708" s="9">
        <v>39000</v>
      </c>
      <c r="E708" s="9" t="s">
        <v>2475</v>
      </c>
      <c r="F708" s="9" t="s">
        <v>63</v>
      </c>
      <c r="G708" s="9" t="s">
        <v>49</v>
      </c>
    </row>
    <row r="709" spans="2:7" x14ac:dyDescent="0.25">
      <c r="B709" s="9" t="s">
        <v>1495</v>
      </c>
      <c r="C709" s="9" t="s">
        <v>18</v>
      </c>
      <c r="D709" s="9">
        <v>185000</v>
      </c>
      <c r="E709" s="9" t="s">
        <v>2476</v>
      </c>
      <c r="F709" s="9" t="s">
        <v>65</v>
      </c>
      <c r="G709" s="9" t="s">
        <v>51</v>
      </c>
    </row>
    <row r="710" spans="2:7" x14ac:dyDescent="0.25">
      <c r="B710" s="9" t="s">
        <v>1497</v>
      </c>
      <c r="C710" s="9" t="s">
        <v>24</v>
      </c>
      <c r="D710" s="9">
        <v>240000</v>
      </c>
      <c r="E710" s="9" t="s">
        <v>2476</v>
      </c>
      <c r="F710" s="9" t="s">
        <v>65</v>
      </c>
      <c r="G710" s="9" t="s">
        <v>58</v>
      </c>
    </row>
    <row r="711" spans="2:7" x14ac:dyDescent="0.25">
      <c r="B711" s="9" t="s">
        <v>1498</v>
      </c>
      <c r="C711" s="9" t="s">
        <v>24</v>
      </c>
      <c r="D711" s="9">
        <v>211000</v>
      </c>
      <c r="E711" s="9" t="s">
        <v>2477</v>
      </c>
      <c r="F711" s="9" t="s">
        <v>66</v>
      </c>
      <c r="G711" s="9" t="s">
        <v>49</v>
      </c>
    </row>
    <row r="712" spans="2:7" x14ac:dyDescent="0.25">
      <c r="B712" s="9" t="s">
        <v>1500</v>
      </c>
      <c r="C712" s="9" t="s">
        <v>12</v>
      </c>
      <c r="D712" s="9">
        <v>291000</v>
      </c>
      <c r="E712" s="9" t="s">
        <v>2478</v>
      </c>
      <c r="F712" s="9" t="s">
        <v>65</v>
      </c>
      <c r="G712" s="9" t="s">
        <v>51</v>
      </c>
    </row>
    <row r="713" spans="2:7" x14ac:dyDescent="0.25">
      <c r="B713" s="9" t="s">
        <v>1502</v>
      </c>
      <c r="C713" s="9" t="s">
        <v>16</v>
      </c>
      <c r="D713" s="9">
        <v>201000</v>
      </c>
      <c r="E713" s="9" t="s">
        <v>2478</v>
      </c>
      <c r="F713" s="9" t="s">
        <v>64</v>
      </c>
      <c r="G713" s="9" t="s">
        <v>45</v>
      </c>
    </row>
    <row r="714" spans="2:7" x14ac:dyDescent="0.25">
      <c r="B714" s="9" t="s">
        <v>1504</v>
      </c>
      <c r="C714" s="9" t="s">
        <v>22</v>
      </c>
      <c r="D714" s="9">
        <v>120000</v>
      </c>
      <c r="E714" s="9" t="s">
        <v>2479</v>
      </c>
      <c r="F714" s="9" t="s">
        <v>63</v>
      </c>
      <c r="G714" s="9" t="s">
        <v>49</v>
      </c>
    </row>
    <row r="715" spans="2:7" x14ac:dyDescent="0.25">
      <c r="B715" s="9" t="s">
        <v>1506</v>
      </c>
      <c r="C715" s="9" t="s">
        <v>14</v>
      </c>
      <c r="D715" s="9">
        <v>45000</v>
      </c>
      <c r="E715" s="9" t="s">
        <v>2479</v>
      </c>
      <c r="F715" s="9" t="s">
        <v>65</v>
      </c>
      <c r="G715" s="9" t="s">
        <v>53</v>
      </c>
    </row>
    <row r="716" spans="2:7" x14ac:dyDescent="0.25">
      <c r="B716" s="9" t="s">
        <v>1508</v>
      </c>
      <c r="C716" s="9" t="s">
        <v>12</v>
      </c>
      <c r="D716" s="9">
        <v>135000</v>
      </c>
      <c r="E716" s="9" t="s">
        <v>2480</v>
      </c>
      <c r="F716" s="9" t="s">
        <v>63</v>
      </c>
      <c r="G716" s="9" t="s">
        <v>47</v>
      </c>
    </row>
    <row r="717" spans="2:7" x14ac:dyDescent="0.25">
      <c r="B717" s="9" t="s">
        <v>1510</v>
      </c>
      <c r="C717" s="9" t="s">
        <v>24</v>
      </c>
      <c r="D717" s="9">
        <v>211000</v>
      </c>
      <c r="E717" s="9" t="s">
        <v>2481</v>
      </c>
      <c r="F717" s="9" t="s">
        <v>63</v>
      </c>
      <c r="G717" s="9" t="s">
        <v>45</v>
      </c>
    </row>
    <row r="718" spans="2:7" x14ac:dyDescent="0.25">
      <c r="B718" s="9" t="s">
        <v>1512</v>
      </c>
      <c r="C718" s="9" t="s">
        <v>16</v>
      </c>
      <c r="D718" s="9">
        <v>230000</v>
      </c>
      <c r="E718" s="9" t="s">
        <v>2482</v>
      </c>
      <c r="F718" s="9" t="s">
        <v>63</v>
      </c>
      <c r="G718" s="9" t="s">
        <v>51</v>
      </c>
    </row>
    <row r="719" spans="2:7" x14ac:dyDescent="0.25">
      <c r="B719" s="9" t="s">
        <v>1514</v>
      </c>
      <c r="C719" s="9" t="s">
        <v>22</v>
      </c>
      <c r="D719" s="9">
        <v>249000</v>
      </c>
      <c r="E719" s="9" t="s">
        <v>2482</v>
      </c>
      <c r="F719" s="9" t="s">
        <v>65</v>
      </c>
      <c r="G719" s="9" t="s">
        <v>51</v>
      </c>
    </row>
    <row r="720" spans="2:7" x14ac:dyDescent="0.25">
      <c r="B720" s="9" t="s">
        <v>1515</v>
      </c>
      <c r="C720" s="9" t="s">
        <v>12</v>
      </c>
      <c r="D720" s="9">
        <v>200000</v>
      </c>
      <c r="E720" s="9" t="s">
        <v>2482</v>
      </c>
      <c r="F720" s="9" t="s">
        <v>67</v>
      </c>
      <c r="G720" s="9" t="s">
        <v>45</v>
      </c>
    </row>
    <row r="721" spans="2:7" x14ac:dyDescent="0.25">
      <c r="B721" s="9" t="s">
        <v>1516</v>
      </c>
      <c r="C721" s="9" t="s">
        <v>16</v>
      </c>
      <c r="D721" s="9">
        <v>270000</v>
      </c>
      <c r="E721" s="9" t="s">
        <v>2483</v>
      </c>
      <c r="F721" s="9" t="s">
        <v>67</v>
      </c>
      <c r="G721" s="9" t="s">
        <v>58</v>
      </c>
    </row>
    <row r="722" spans="2:7" x14ac:dyDescent="0.25">
      <c r="B722" s="9" t="s">
        <v>1518</v>
      </c>
      <c r="C722" s="9" t="s">
        <v>14</v>
      </c>
      <c r="D722" s="9">
        <v>169000</v>
      </c>
      <c r="E722" s="9" t="s">
        <v>2484</v>
      </c>
      <c r="F722" s="9" t="s">
        <v>66</v>
      </c>
      <c r="G722" s="9" t="s">
        <v>61</v>
      </c>
    </row>
    <row r="723" spans="2:7" x14ac:dyDescent="0.25">
      <c r="B723" s="9" t="s">
        <v>1520</v>
      </c>
      <c r="C723" s="9" t="s">
        <v>18</v>
      </c>
      <c r="D723" s="9">
        <v>99000</v>
      </c>
      <c r="E723" s="9" t="s">
        <v>2485</v>
      </c>
      <c r="F723" s="9" t="s">
        <v>62</v>
      </c>
      <c r="G723" s="9" t="s">
        <v>53</v>
      </c>
    </row>
    <row r="724" spans="2:7" x14ac:dyDescent="0.25">
      <c r="B724" s="9" t="s">
        <v>1522</v>
      </c>
      <c r="C724" s="9" t="s">
        <v>12</v>
      </c>
      <c r="D724" s="9">
        <v>60000</v>
      </c>
      <c r="E724" s="9" t="s">
        <v>2486</v>
      </c>
      <c r="F724" s="9" t="s">
        <v>66</v>
      </c>
      <c r="G724" s="9" t="s">
        <v>47</v>
      </c>
    </row>
    <row r="725" spans="2:7" x14ac:dyDescent="0.25">
      <c r="B725" s="9" t="s">
        <v>1524</v>
      </c>
      <c r="C725" s="9" t="s">
        <v>24</v>
      </c>
      <c r="D725" s="9">
        <v>248000</v>
      </c>
      <c r="E725" s="9" t="s">
        <v>2486</v>
      </c>
      <c r="F725" s="9" t="s">
        <v>63</v>
      </c>
      <c r="G725" s="9" t="s">
        <v>58</v>
      </c>
    </row>
    <row r="726" spans="2:7" x14ac:dyDescent="0.25">
      <c r="B726" s="9" t="s">
        <v>1525</v>
      </c>
      <c r="C726" s="9" t="s">
        <v>14</v>
      </c>
      <c r="D726" s="9">
        <v>36000</v>
      </c>
      <c r="E726" s="9" t="s">
        <v>2486</v>
      </c>
      <c r="F726" s="9" t="s">
        <v>67</v>
      </c>
      <c r="G726" s="9" t="s">
        <v>47</v>
      </c>
    </row>
    <row r="727" spans="2:7" x14ac:dyDescent="0.25">
      <c r="B727" s="9" t="s">
        <v>1526</v>
      </c>
      <c r="C727" s="9" t="s">
        <v>14</v>
      </c>
      <c r="D727" s="9">
        <v>55000</v>
      </c>
      <c r="E727" s="9" t="s">
        <v>2486</v>
      </c>
      <c r="F727" s="9" t="s">
        <v>65</v>
      </c>
      <c r="G727" s="9" t="s">
        <v>43</v>
      </c>
    </row>
    <row r="728" spans="2:7" x14ac:dyDescent="0.25">
      <c r="B728" s="9" t="s">
        <v>1527</v>
      </c>
      <c r="C728" s="9" t="s">
        <v>18</v>
      </c>
      <c r="D728" s="9">
        <v>139000</v>
      </c>
      <c r="E728" s="9" t="s">
        <v>2487</v>
      </c>
      <c r="F728" s="9" t="s">
        <v>65</v>
      </c>
      <c r="G728" s="9" t="s">
        <v>55</v>
      </c>
    </row>
    <row r="729" spans="2:7" x14ac:dyDescent="0.25">
      <c r="B729" s="9" t="s">
        <v>1529</v>
      </c>
      <c r="C729" s="9" t="s">
        <v>16</v>
      </c>
      <c r="D729" s="9">
        <v>291000</v>
      </c>
      <c r="E729" s="9" t="s">
        <v>2488</v>
      </c>
      <c r="F729" s="9" t="s">
        <v>67</v>
      </c>
      <c r="G729" s="9" t="s">
        <v>53</v>
      </c>
    </row>
    <row r="730" spans="2:7" x14ac:dyDescent="0.25">
      <c r="B730" s="9" t="s">
        <v>1531</v>
      </c>
      <c r="C730" s="9" t="s">
        <v>20</v>
      </c>
      <c r="D730" s="9">
        <v>102000</v>
      </c>
      <c r="E730" s="9" t="s">
        <v>2489</v>
      </c>
      <c r="F730" s="9" t="s">
        <v>67</v>
      </c>
      <c r="G730" s="9" t="s">
        <v>47</v>
      </c>
    </row>
    <row r="731" spans="2:7" x14ac:dyDescent="0.25">
      <c r="B731" s="9" t="s">
        <v>1533</v>
      </c>
      <c r="C731" s="9" t="s">
        <v>16</v>
      </c>
      <c r="D731" s="9">
        <v>131000</v>
      </c>
      <c r="E731" s="9" t="s">
        <v>2490</v>
      </c>
      <c r="F731" s="9" t="s">
        <v>67</v>
      </c>
      <c r="G731" s="9" t="s">
        <v>43</v>
      </c>
    </row>
    <row r="732" spans="2:7" x14ac:dyDescent="0.25">
      <c r="B732" s="9" t="s">
        <v>1536</v>
      </c>
      <c r="C732" s="9" t="s">
        <v>20</v>
      </c>
      <c r="D732" s="9">
        <v>282000</v>
      </c>
      <c r="E732" s="9" t="s">
        <v>2491</v>
      </c>
      <c r="F732" s="9" t="s">
        <v>67</v>
      </c>
      <c r="G732" s="9" t="s">
        <v>61</v>
      </c>
    </row>
    <row r="733" spans="2:7" x14ac:dyDescent="0.25">
      <c r="B733" s="9" t="s">
        <v>1538</v>
      </c>
      <c r="C733" s="9" t="s">
        <v>20</v>
      </c>
      <c r="D733" s="9">
        <v>291000</v>
      </c>
      <c r="E733" s="9" t="s">
        <v>2492</v>
      </c>
      <c r="F733" s="9" t="s">
        <v>65</v>
      </c>
      <c r="G733" s="9" t="s">
        <v>45</v>
      </c>
    </row>
    <row r="734" spans="2:7" x14ac:dyDescent="0.25">
      <c r="B734" s="9" t="s">
        <v>1540</v>
      </c>
      <c r="C734" s="9" t="s">
        <v>16</v>
      </c>
      <c r="D734" s="9">
        <v>77000</v>
      </c>
      <c r="E734" s="9" t="s">
        <v>2492</v>
      </c>
      <c r="F734" s="9" t="s">
        <v>66</v>
      </c>
      <c r="G734" s="9" t="s">
        <v>49</v>
      </c>
    </row>
    <row r="735" spans="2:7" x14ac:dyDescent="0.25">
      <c r="B735" s="9" t="s">
        <v>1541</v>
      </c>
      <c r="C735" s="9" t="s">
        <v>12</v>
      </c>
      <c r="D735" s="9">
        <v>119000</v>
      </c>
      <c r="E735" s="9" t="s">
        <v>2493</v>
      </c>
      <c r="F735" s="9" t="s">
        <v>66</v>
      </c>
      <c r="G735" s="9" t="s">
        <v>43</v>
      </c>
    </row>
    <row r="736" spans="2:7" x14ac:dyDescent="0.25">
      <c r="B736" s="9" t="s">
        <v>1543</v>
      </c>
      <c r="C736" s="9" t="s">
        <v>20</v>
      </c>
      <c r="D736" s="9">
        <v>274000</v>
      </c>
      <c r="E736" s="9" t="s">
        <v>2494</v>
      </c>
      <c r="F736" s="9" t="s">
        <v>62</v>
      </c>
      <c r="G736" s="9" t="s">
        <v>61</v>
      </c>
    </row>
    <row r="737" spans="2:7" x14ac:dyDescent="0.25">
      <c r="B737" s="9" t="s">
        <v>1545</v>
      </c>
      <c r="C737" s="9" t="s">
        <v>16</v>
      </c>
      <c r="D737" s="9">
        <v>238000</v>
      </c>
      <c r="E737" s="9" t="s">
        <v>2495</v>
      </c>
      <c r="F737" s="9" t="s">
        <v>65</v>
      </c>
      <c r="G737" s="9" t="s">
        <v>58</v>
      </c>
    </row>
    <row r="738" spans="2:7" x14ac:dyDescent="0.25">
      <c r="B738" s="9" t="s">
        <v>1547</v>
      </c>
      <c r="C738" s="9" t="s">
        <v>20</v>
      </c>
      <c r="D738" s="9">
        <v>158000</v>
      </c>
      <c r="E738" s="9" t="s">
        <v>2495</v>
      </c>
      <c r="F738" s="9" t="s">
        <v>63</v>
      </c>
      <c r="G738" s="9" t="s">
        <v>55</v>
      </c>
    </row>
    <row r="739" spans="2:7" x14ac:dyDescent="0.25">
      <c r="B739" s="9" t="s">
        <v>1548</v>
      </c>
      <c r="C739" s="9" t="s">
        <v>18</v>
      </c>
      <c r="D739" s="9">
        <v>259000</v>
      </c>
      <c r="E739" s="9" t="s">
        <v>2496</v>
      </c>
      <c r="F739" s="9" t="s">
        <v>64</v>
      </c>
      <c r="G739" s="9" t="s">
        <v>61</v>
      </c>
    </row>
    <row r="740" spans="2:7" x14ac:dyDescent="0.25">
      <c r="B740" s="9" t="s">
        <v>1550</v>
      </c>
      <c r="C740" s="9" t="s">
        <v>16</v>
      </c>
      <c r="D740" s="9">
        <v>40000</v>
      </c>
      <c r="E740" s="9" t="s">
        <v>2497</v>
      </c>
      <c r="F740" s="9" t="s">
        <v>66</v>
      </c>
      <c r="G740" s="9" t="s">
        <v>55</v>
      </c>
    </row>
    <row r="741" spans="2:7" x14ac:dyDescent="0.25">
      <c r="B741" s="9" t="s">
        <v>1552</v>
      </c>
      <c r="C741" s="9" t="s">
        <v>12</v>
      </c>
      <c r="D741" s="9">
        <v>141000</v>
      </c>
      <c r="E741" s="9" t="s">
        <v>2498</v>
      </c>
      <c r="F741" s="9" t="s">
        <v>67</v>
      </c>
      <c r="G741" s="9" t="s">
        <v>53</v>
      </c>
    </row>
    <row r="742" spans="2:7" x14ac:dyDescent="0.25">
      <c r="B742" s="9" t="s">
        <v>1554</v>
      </c>
      <c r="C742" s="9" t="s">
        <v>12</v>
      </c>
      <c r="D742" s="9">
        <v>237000</v>
      </c>
      <c r="E742" s="9" t="s">
        <v>2499</v>
      </c>
      <c r="F742" s="9" t="s">
        <v>63</v>
      </c>
      <c r="G742" s="9" t="s">
        <v>53</v>
      </c>
    </row>
    <row r="743" spans="2:7" x14ac:dyDescent="0.25">
      <c r="B743" s="9" t="s">
        <v>1556</v>
      </c>
      <c r="C743" s="9" t="s">
        <v>18</v>
      </c>
      <c r="D743" s="9">
        <v>172000</v>
      </c>
      <c r="E743" s="9" t="s">
        <v>2500</v>
      </c>
      <c r="F743" s="9" t="s">
        <v>63</v>
      </c>
      <c r="G743" s="9" t="s">
        <v>43</v>
      </c>
    </row>
    <row r="744" spans="2:7" x14ac:dyDescent="0.25">
      <c r="B744" s="9" t="s">
        <v>1558</v>
      </c>
      <c r="C744" s="9" t="s">
        <v>16</v>
      </c>
      <c r="D744" s="9">
        <v>204000</v>
      </c>
      <c r="E744" s="9" t="s">
        <v>2500</v>
      </c>
      <c r="F744" s="9" t="s">
        <v>64</v>
      </c>
      <c r="G744" s="9" t="s">
        <v>49</v>
      </c>
    </row>
    <row r="745" spans="2:7" x14ac:dyDescent="0.25">
      <c r="B745" s="9" t="s">
        <v>1559</v>
      </c>
      <c r="C745" s="9" t="s">
        <v>24</v>
      </c>
      <c r="D745" s="9">
        <v>158000</v>
      </c>
      <c r="E745" s="9" t="s">
        <v>2500</v>
      </c>
      <c r="F745" s="9" t="s">
        <v>66</v>
      </c>
      <c r="G745" s="9" t="s">
        <v>45</v>
      </c>
    </row>
    <row r="746" spans="2:7" x14ac:dyDescent="0.25">
      <c r="B746" s="9" t="s">
        <v>1560</v>
      </c>
      <c r="C746" s="9" t="s">
        <v>24</v>
      </c>
      <c r="D746" s="9">
        <v>84000</v>
      </c>
      <c r="E746" s="9" t="s">
        <v>2501</v>
      </c>
      <c r="F746" s="9" t="s">
        <v>64</v>
      </c>
      <c r="G746" s="9" t="s">
        <v>51</v>
      </c>
    </row>
    <row r="747" spans="2:7" x14ac:dyDescent="0.25">
      <c r="B747" s="9" t="s">
        <v>1562</v>
      </c>
      <c r="C747" s="9" t="s">
        <v>20</v>
      </c>
      <c r="D747" s="9">
        <v>102000</v>
      </c>
      <c r="E747" s="9" t="s">
        <v>2502</v>
      </c>
      <c r="F747" s="9" t="s">
        <v>66</v>
      </c>
      <c r="G747" s="9" t="s">
        <v>49</v>
      </c>
    </row>
    <row r="748" spans="2:7" x14ac:dyDescent="0.25">
      <c r="B748" s="9" t="s">
        <v>1564</v>
      </c>
      <c r="C748" s="9" t="s">
        <v>24</v>
      </c>
      <c r="D748" s="9">
        <v>45000</v>
      </c>
      <c r="E748" s="9" t="s">
        <v>2503</v>
      </c>
      <c r="F748" s="9" t="s">
        <v>65</v>
      </c>
      <c r="G748" s="9" t="s">
        <v>51</v>
      </c>
    </row>
    <row r="749" spans="2:7" x14ac:dyDescent="0.25">
      <c r="B749" s="9" t="s">
        <v>1566</v>
      </c>
      <c r="C749" s="9" t="s">
        <v>16</v>
      </c>
      <c r="D749" s="9">
        <v>181000</v>
      </c>
      <c r="E749" s="9" t="s">
        <v>2503</v>
      </c>
      <c r="F749" s="9" t="s">
        <v>67</v>
      </c>
      <c r="G749" s="9" t="s">
        <v>55</v>
      </c>
    </row>
    <row r="750" spans="2:7" x14ac:dyDescent="0.25">
      <c r="B750" s="9" t="s">
        <v>1568</v>
      </c>
      <c r="C750" s="9" t="s">
        <v>12</v>
      </c>
      <c r="D750" s="9">
        <v>142000</v>
      </c>
      <c r="E750" s="9" t="s">
        <v>2504</v>
      </c>
      <c r="F750" s="9" t="s">
        <v>65</v>
      </c>
      <c r="G750" s="9" t="s">
        <v>47</v>
      </c>
    </row>
    <row r="751" spans="2:7" x14ac:dyDescent="0.25">
      <c r="B751" s="9" t="s">
        <v>1570</v>
      </c>
      <c r="C751" s="9" t="s">
        <v>14</v>
      </c>
      <c r="D751" s="9">
        <v>103000</v>
      </c>
      <c r="E751" s="9" t="s">
        <v>2504</v>
      </c>
      <c r="F751" s="9" t="s">
        <v>65</v>
      </c>
      <c r="G751" s="9" t="s">
        <v>55</v>
      </c>
    </row>
    <row r="752" spans="2:7" x14ac:dyDescent="0.25">
      <c r="B752" s="9" t="s">
        <v>1571</v>
      </c>
      <c r="C752" s="9" t="s">
        <v>14</v>
      </c>
      <c r="D752" s="9">
        <v>276000</v>
      </c>
      <c r="E752" s="9" t="s">
        <v>2504</v>
      </c>
      <c r="F752" s="9" t="s">
        <v>66</v>
      </c>
      <c r="G752" s="9" t="s">
        <v>61</v>
      </c>
    </row>
    <row r="753" spans="2:7" x14ac:dyDescent="0.25">
      <c r="B753" s="9" t="s">
        <v>1572</v>
      </c>
      <c r="C753" s="9" t="s">
        <v>22</v>
      </c>
      <c r="D753" s="9">
        <v>148000</v>
      </c>
      <c r="E753" s="9" t="s">
        <v>2505</v>
      </c>
      <c r="F753" s="9" t="s">
        <v>66</v>
      </c>
      <c r="G753" s="9" t="s">
        <v>45</v>
      </c>
    </row>
    <row r="754" spans="2:7" x14ac:dyDescent="0.25">
      <c r="B754" s="9" t="s">
        <v>1574</v>
      </c>
      <c r="C754" s="9" t="s">
        <v>12</v>
      </c>
      <c r="D754" s="9">
        <v>160000</v>
      </c>
      <c r="E754" s="9" t="s">
        <v>2506</v>
      </c>
      <c r="F754" s="9" t="s">
        <v>63</v>
      </c>
      <c r="G754" s="9" t="s">
        <v>47</v>
      </c>
    </row>
    <row r="755" spans="2:7" x14ac:dyDescent="0.25">
      <c r="B755" s="9" t="s">
        <v>1576</v>
      </c>
      <c r="C755" s="9" t="s">
        <v>12</v>
      </c>
      <c r="D755" s="9">
        <v>108000</v>
      </c>
      <c r="E755" s="9" t="s">
        <v>2507</v>
      </c>
      <c r="F755" s="9" t="s">
        <v>63</v>
      </c>
      <c r="G755" s="9" t="s">
        <v>47</v>
      </c>
    </row>
    <row r="756" spans="2:7" x14ac:dyDescent="0.25">
      <c r="B756" s="9" t="s">
        <v>1578</v>
      </c>
      <c r="C756" s="9" t="s">
        <v>12</v>
      </c>
      <c r="D756" s="9">
        <v>177000</v>
      </c>
      <c r="E756" s="9" t="s">
        <v>2508</v>
      </c>
      <c r="F756" s="9" t="s">
        <v>62</v>
      </c>
      <c r="G756" s="9" t="s">
        <v>53</v>
      </c>
    </row>
    <row r="757" spans="2:7" x14ac:dyDescent="0.25">
      <c r="B757" s="9" t="s">
        <v>1581</v>
      </c>
      <c r="C757" s="9" t="s">
        <v>24</v>
      </c>
      <c r="D757" s="9">
        <v>39000</v>
      </c>
      <c r="E757" s="9" t="s">
        <v>2508</v>
      </c>
      <c r="F757" s="9" t="s">
        <v>66</v>
      </c>
      <c r="G757" s="9" t="s">
        <v>55</v>
      </c>
    </row>
    <row r="758" spans="2:7" x14ac:dyDescent="0.25">
      <c r="B758" s="9" t="s">
        <v>1582</v>
      </c>
      <c r="C758" s="9" t="s">
        <v>14</v>
      </c>
      <c r="D758" s="9">
        <v>246000</v>
      </c>
      <c r="E758" s="9" t="s">
        <v>2509</v>
      </c>
      <c r="F758" s="9" t="s">
        <v>63</v>
      </c>
      <c r="G758" s="9" t="s">
        <v>47</v>
      </c>
    </row>
    <row r="759" spans="2:7" x14ac:dyDescent="0.25">
      <c r="B759" s="9" t="s">
        <v>1584</v>
      </c>
      <c r="C759" s="9" t="s">
        <v>14</v>
      </c>
      <c r="D759" s="9">
        <v>152000</v>
      </c>
      <c r="E759" s="9" t="s">
        <v>2510</v>
      </c>
      <c r="F759" s="9" t="s">
        <v>63</v>
      </c>
      <c r="G759" s="9" t="s">
        <v>61</v>
      </c>
    </row>
    <row r="760" spans="2:7" x14ac:dyDescent="0.25">
      <c r="B760" s="9" t="s">
        <v>1586</v>
      </c>
      <c r="C760" s="9" t="s">
        <v>12</v>
      </c>
      <c r="D760" s="9">
        <v>123000</v>
      </c>
      <c r="E760" s="9" t="s">
        <v>2511</v>
      </c>
      <c r="F760" s="9" t="s">
        <v>65</v>
      </c>
      <c r="G760" s="9" t="s">
        <v>49</v>
      </c>
    </row>
    <row r="761" spans="2:7" x14ac:dyDescent="0.25">
      <c r="B761" s="9" t="s">
        <v>1588</v>
      </c>
      <c r="C761" s="9" t="s">
        <v>20</v>
      </c>
      <c r="D761" s="9">
        <v>263000</v>
      </c>
      <c r="E761" s="9" t="s">
        <v>2511</v>
      </c>
      <c r="F761" s="9" t="s">
        <v>62</v>
      </c>
      <c r="G761" s="9" t="s">
        <v>55</v>
      </c>
    </row>
    <row r="762" spans="2:7" x14ac:dyDescent="0.25">
      <c r="B762" s="9" t="s">
        <v>1589</v>
      </c>
      <c r="C762" s="9" t="s">
        <v>24</v>
      </c>
      <c r="D762" s="9">
        <v>210000</v>
      </c>
      <c r="E762" s="9" t="s">
        <v>2512</v>
      </c>
      <c r="F762" s="9" t="s">
        <v>62</v>
      </c>
      <c r="G762" s="9" t="s">
        <v>61</v>
      </c>
    </row>
    <row r="763" spans="2:7" x14ac:dyDescent="0.25">
      <c r="B763" s="9" t="s">
        <v>1591</v>
      </c>
      <c r="C763" s="9" t="s">
        <v>16</v>
      </c>
      <c r="D763" s="9">
        <v>197000</v>
      </c>
      <c r="E763" s="9" t="s">
        <v>2513</v>
      </c>
      <c r="F763" s="9" t="s">
        <v>67</v>
      </c>
      <c r="G763" s="9" t="s">
        <v>51</v>
      </c>
    </row>
    <row r="764" spans="2:7" x14ac:dyDescent="0.25">
      <c r="B764" s="9" t="s">
        <v>1593</v>
      </c>
      <c r="C764" s="9" t="s">
        <v>16</v>
      </c>
      <c r="D764" s="9">
        <v>43000</v>
      </c>
      <c r="E764" s="9" t="s">
        <v>2513</v>
      </c>
      <c r="F764" s="9" t="s">
        <v>63</v>
      </c>
      <c r="G764" s="9" t="s">
        <v>47</v>
      </c>
    </row>
    <row r="765" spans="2:7" x14ac:dyDescent="0.25">
      <c r="B765" s="9" t="s">
        <v>1594</v>
      </c>
      <c r="C765" s="9" t="s">
        <v>22</v>
      </c>
      <c r="D765" s="9">
        <v>222000</v>
      </c>
      <c r="E765" s="9" t="s">
        <v>2514</v>
      </c>
      <c r="F765" s="9" t="s">
        <v>64</v>
      </c>
      <c r="G765" s="9" t="s">
        <v>51</v>
      </c>
    </row>
    <row r="766" spans="2:7" x14ac:dyDescent="0.25">
      <c r="B766" s="9" t="s">
        <v>1596</v>
      </c>
      <c r="C766" s="9" t="s">
        <v>20</v>
      </c>
      <c r="D766" s="9">
        <v>203000</v>
      </c>
      <c r="E766" s="9" t="s">
        <v>2514</v>
      </c>
      <c r="F766" s="9" t="s">
        <v>64</v>
      </c>
      <c r="G766" s="9" t="s">
        <v>43</v>
      </c>
    </row>
    <row r="767" spans="2:7" x14ac:dyDescent="0.25">
      <c r="B767" s="9" t="s">
        <v>1598</v>
      </c>
      <c r="C767" s="9" t="s">
        <v>20</v>
      </c>
      <c r="D767" s="9">
        <v>94000</v>
      </c>
      <c r="E767" s="9" t="s">
        <v>2514</v>
      </c>
      <c r="F767" s="9" t="s">
        <v>66</v>
      </c>
      <c r="G767" s="9" t="s">
        <v>47</v>
      </c>
    </row>
    <row r="768" spans="2:7" x14ac:dyDescent="0.25">
      <c r="B768" s="9" t="s">
        <v>1599</v>
      </c>
      <c r="C768" s="9" t="s">
        <v>12</v>
      </c>
      <c r="D768" s="9">
        <v>159000</v>
      </c>
      <c r="E768" s="9" t="s">
        <v>2514</v>
      </c>
      <c r="F768" s="9" t="s">
        <v>64</v>
      </c>
      <c r="G768" s="9" t="s">
        <v>43</v>
      </c>
    </row>
    <row r="769" spans="2:7" x14ac:dyDescent="0.25">
      <c r="B769" s="9" t="s">
        <v>1600</v>
      </c>
      <c r="C769" s="9" t="s">
        <v>18</v>
      </c>
      <c r="D769" s="9">
        <v>300000</v>
      </c>
      <c r="E769" s="9" t="s">
        <v>2514</v>
      </c>
      <c r="F769" s="9" t="s">
        <v>66</v>
      </c>
      <c r="G769" s="9" t="s">
        <v>43</v>
      </c>
    </row>
    <row r="770" spans="2:7" x14ac:dyDescent="0.25">
      <c r="B770" s="9" t="s">
        <v>1602</v>
      </c>
      <c r="C770" s="9" t="s">
        <v>20</v>
      </c>
      <c r="D770" s="9">
        <v>101000</v>
      </c>
      <c r="E770" s="9" t="s">
        <v>2515</v>
      </c>
      <c r="F770" s="9" t="s">
        <v>66</v>
      </c>
      <c r="G770" s="9" t="s">
        <v>47</v>
      </c>
    </row>
    <row r="771" spans="2:7" x14ac:dyDescent="0.25">
      <c r="B771" s="9" t="s">
        <v>1604</v>
      </c>
      <c r="C771" s="9" t="s">
        <v>22</v>
      </c>
      <c r="D771" s="9">
        <v>287000</v>
      </c>
      <c r="E771" s="9" t="s">
        <v>2516</v>
      </c>
      <c r="F771" s="9" t="s">
        <v>66</v>
      </c>
      <c r="G771" s="9" t="s">
        <v>51</v>
      </c>
    </row>
    <row r="772" spans="2:7" x14ac:dyDescent="0.25">
      <c r="B772" s="9" t="s">
        <v>1606</v>
      </c>
      <c r="C772" s="9" t="s">
        <v>18</v>
      </c>
      <c r="D772" s="9">
        <v>103000</v>
      </c>
      <c r="E772" s="9" t="s">
        <v>2517</v>
      </c>
      <c r="F772" s="9" t="s">
        <v>63</v>
      </c>
      <c r="G772" s="9" t="s">
        <v>55</v>
      </c>
    </row>
    <row r="773" spans="2:7" x14ac:dyDescent="0.25">
      <c r="B773" s="9" t="s">
        <v>1608</v>
      </c>
      <c r="C773" s="9" t="s">
        <v>22</v>
      </c>
      <c r="D773" s="9">
        <v>58000</v>
      </c>
      <c r="E773" s="9" t="s">
        <v>2518</v>
      </c>
      <c r="F773" s="9" t="s">
        <v>64</v>
      </c>
      <c r="G773" s="9" t="s">
        <v>61</v>
      </c>
    </row>
    <row r="774" spans="2:7" x14ac:dyDescent="0.25">
      <c r="B774" s="9" t="s">
        <v>1610</v>
      </c>
      <c r="C774" s="9" t="s">
        <v>14</v>
      </c>
      <c r="D774" s="9">
        <v>145000</v>
      </c>
      <c r="E774" s="9" t="s">
        <v>2518</v>
      </c>
      <c r="F774" s="9" t="s">
        <v>62</v>
      </c>
      <c r="G774" s="9" t="s">
        <v>43</v>
      </c>
    </row>
    <row r="775" spans="2:7" x14ac:dyDescent="0.25">
      <c r="B775" s="9" t="s">
        <v>1611</v>
      </c>
      <c r="C775" s="9" t="s">
        <v>24</v>
      </c>
      <c r="D775" s="9">
        <v>278000</v>
      </c>
      <c r="E775" s="9" t="s">
        <v>2518</v>
      </c>
      <c r="F775" s="9" t="s">
        <v>64</v>
      </c>
      <c r="G775" s="9" t="s">
        <v>47</v>
      </c>
    </row>
    <row r="776" spans="2:7" x14ac:dyDescent="0.25">
      <c r="B776" s="9" t="s">
        <v>1612</v>
      </c>
      <c r="C776" s="9" t="s">
        <v>22</v>
      </c>
      <c r="D776" s="9">
        <v>176000</v>
      </c>
      <c r="E776" s="9" t="s">
        <v>2519</v>
      </c>
      <c r="F776" s="9" t="s">
        <v>67</v>
      </c>
      <c r="G776" s="9" t="s">
        <v>49</v>
      </c>
    </row>
    <row r="777" spans="2:7" x14ac:dyDescent="0.25">
      <c r="B777" s="9" t="s">
        <v>1614</v>
      </c>
      <c r="C777" s="9" t="s">
        <v>18</v>
      </c>
      <c r="D777" s="9">
        <v>100000</v>
      </c>
      <c r="E777" s="9" t="s">
        <v>2519</v>
      </c>
      <c r="F777" s="9" t="s">
        <v>63</v>
      </c>
      <c r="G777" s="9" t="s">
        <v>47</v>
      </c>
    </row>
    <row r="778" spans="2:7" x14ac:dyDescent="0.25">
      <c r="B778" s="9" t="s">
        <v>1615</v>
      </c>
      <c r="C778" s="9" t="s">
        <v>18</v>
      </c>
      <c r="D778" s="9">
        <v>148000</v>
      </c>
      <c r="E778" s="9" t="s">
        <v>2520</v>
      </c>
      <c r="F778" s="9" t="s">
        <v>67</v>
      </c>
      <c r="G778" s="9" t="s">
        <v>49</v>
      </c>
    </row>
    <row r="779" spans="2:7" x14ac:dyDescent="0.25">
      <c r="B779" s="9" t="s">
        <v>1617</v>
      </c>
      <c r="C779" s="9" t="s">
        <v>24</v>
      </c>
      <c r="D779" s="9">
        <v>151000</v>
      </c>
      <c r="E779" s="9" t="s">
        <v>2520</v>
      </c>
      <c r="F779" s="9" t="s">
        <v>62</v>
      </c>
      <c r="G779" s="9" t="s">
        <v>61</v>
      </c>
    </row>
    <row r="780" spans="2:7" x14ac:dyDescent="0.25">
      <c r="B780" s="9" t="s">
        <v>1619</v>
      </c>
      <c r="C780" s="9" t="s">
        <v>12</v>
      </c>
      <c r="D780" s="9">
        <v>63000</v>
      </c>
      <c r="E780" s="9" t="s">
        <v>2520</v>
      </c>
      <c r="F780" s="9" t="s">
        <v>63</v>
      </c>
      <c r="G780" s="9" t="s">
        <v>45</v>
      </c>
    </row>
    <row r="781" spans="2:7" x14ac:dyDescent="0.25">
      <c r="B781" s="9" t="s">
        <v>1620</v>
      </c>
      <c r="C781" s="9" t="s">
        <v>18</v>
      </c>
      <c r="D781" s="9">
        <v>94000</v>
      </c>
      <c r="E781" s="9" t="s">
        <v>2520</v>
      </c>
      <c r="F781" s="9" t="s">
        <v>63</v>
      </c>
      <c r="G781" s="9" t="s">
        <v>49</v>
      </c>
    </row>
    <row r="782" spans="2:7" x14ac:dyDescent="0.25">
      <c r="B782" s="9" t="s">
        <v>1621</v>
      </c>
      <c r="C782" s="9" t="s">
        <v>22</v>
      </c>
      <c r="D782" s="9">
        <v>274000</v>
      </c>
      <c r="E782" s="9" t="s">
        <v>2520</v>
      </c>
      <c r="F782" s="9" t="s">
        <v>65</v>
      </c>
      <c r="G782" s="9" t="s">
        <v>43</v>
      </c>
    </row>
    <row r="783" spans="2:7" x14ac:dyDescent="0.25">
      <c r="B783" s="9" t="s">
        <v>1622</v>
      </c>
      <c r="C783" s="9" t="s">
        <v>12</v>
      </c>
      <c r="D783" s="9">
        <v>219000</v>
      </c>
      <c r="E783" s="9" t="s">
        <v>2521</v>
      </c>
      <c r="F783" s="9" t="s">
        <v>64</v>
      </c>
      <c r="G783" s="9" t="s">
        <v>45</v>
      </c>
    </row>
    <row r="784" spans="2:7" x14ac:dyDescent="0.25">
      <c r="B784" s="9" t="s">
        <v>1625</v>
      </c>
      <c r="C784" s="9" t="s">
        <v>16</v>
      </c>
      <c r="D784" s="9">
        <v>230000</v>
      </c>
      <c r="E784" s="9" t="s">
        <v>2521</v>
      </c>
      <c r="F784" s="9" t="s">
        <v>67</v>
      </c>
      <c r="G784" s="9" t="s">
        <v>45</v>
      </c>
    </row>
    <row r="785" spans="2:7" x14ac:dyDescent="0.25">
      <c r="B785" s="9" t="s">
        <v>1626</v>
      </c>
      <c r="C785" s="9" t="s">
        <v>18</v>
      </c>
      <c r="D785" s="9">
        <v>215000</v>
      </c>
      <c r="E785" s="9" t="s">
        <v>2522</v>
      </c>
      <c r="F785" s="9" t="s">
        <v>62</v>
      </c>
      <c r="G785" s="9" t="s">
        <v>55</v>
      </c>
    </row>
    <row r="786" spans="2:7" x14ac:dyDescent="0.25">
      <c r="B786" s="9" t="s">
        <v>1628</v>
      </c>
      <c r="C786" s="9" t="s">
        <v>14</v>
      </c>
      <c r="D786" s="9">
        <v>281000</v>
      </c>
      <c r="E786" s="9" t="s">
        <v>2522</v>
      </c>
      <c r="F786" s="9" t="s">
        <v>64</v>
      </c>
      <c r="G786" s="9" t="s">
        <v>58</v>
      </c>
    </row>
    <row r="787" spans="2:7" x14ac:dyDescent="0.25">
      <c r="B787" s="9" t="s">
        <v>1629</v>
      </c>
      <c r="C787" s="9" t="s">
        <v>12</v>
      </c>
      <c r="D787" s="9">
        <v>281000</v>
      </c>
      <c r="E787" s="9" t="s">
        <v>2522</v>
      </c>
      <c r="F787" s="9" t="s">
        <v>65</v>
      </c>
      <c r="G787" s="9" t="s">
        <v>58</v>
      </c>
    </row>
    <row r="788" spans="2:7" x14ac:dyDescent="0.25">
      <c r="B788" s="9" t="s">
        <v>1630</v>
      </c>
      <c r="C788" s="9" t="s">
        <v>12</v>
      </c>
      <c r="D788" s="9">
        <v>173000</v>
      </c>
      <c r="E788" s="9" t="s">
        <v>2523</v>
      </c>
      <c r="F788" s="9" t="s">
        <v>64</v>
      </c>
      <c r="G788" s="9" t="s">
        <v>43</v>
      </c>
    </row>
    <row r="789" spans="2:7" x14ac:dyDescent="0.25">
      <c r="B789" s="9" t="s">
        <v>1632</v>
      </c>
      <c r="C789" s="9" t="s">
        <v>12</v>
      </c>
      <c r="D789" s="9">
        <v>35000</v>
      </c>
      <c r="E789" s="9" t="s">
        <v>2524</v>
      </c>
      <c r="F789" s="9" t="s">
        <v>64</v>
      </c>
      <c r="G789" s="9" t="s">
        <v>61</v>
      </c>
    </row>
    <row r="790" spans="2:7" x14ac:dyDescent="0.25">
      <c r="B790" s="9" t="s">
        <v>1634</v>
      </c>
      <c r="C790" s="9" t="s">
        <v>14</v>
      </c>
      <c r="D790" s="9">
        <v>76000</v>
      </c>
      <c r="E790" s="9" t="s">
        <v>2525</v>
      </c>
      <c r="F790" s="9" t="s">
        <v>64</v>
      </c>
      <c r="G790" s="9" t="s">
        <v>61</v>
      </c>
    </row>
    <row r="791" spans="2:7" x14ac:dyDescent="0.25">
      <c r="B791" s="9" t="s">
        <v>1636</v>
      </c>
      <c r="C791" s="9" t="s">
        <v>24</v>
      </c>
      <c r="D791" s="9">
        <v>260000</v>
      </c>
      <c r="E791" s="9" t="s">
        <v>2526</v>
      </c>
      <c r="F791" s="9" t="s">
        <v>64</v>
      </c>
      <c r="G791" s="9" t="s">
        <v>47</v>
      </c>
    </row>
    <row r="792" spans="2:7" x14ac:dyDescent="0.25">
      <c r="B792" s="9" t="s">
        <v>1638</v>
      </c>
      <c r="C792" s="9" t="s">
        <v>18</v>
      </c>
      <c r="D792" s="9">
        <v>108000</v>
      </c>
      <c r="E792" s="9" t="s">
        <v>2526</v>
      </c>
      <c r="F792" s="9" t="s">
        <v>62</v>
      </c>
      <c r="G792" s="9" t="s">
        <v>53</v>
      </c>
    </row>
    <row r="793" spans="2:7" x14ac:dyDescent="0.25">
      <c r="B793" s="9" t="s">
        <v>1639</v>
      </c>
      <c r="C793" s="9" t="s">
        <v>16</v>
      </c>
      <c r="D793" s="9">
        <v>71000</v>
      </c>
      <c r="E793" s="9" t="s">
        <v>2527</v>
      </c>
      <c r="F793" s="9" t="s">
        <v>63</v>
      </c>
      <c r="G793" s="9" t="s">
        <v>58</v>
      </c>
    </row>
    <row r="794" spans="2:7" x14ac:dyDescent="0.25">
      <c r="B794" s="9" t="s">
        <v>1641</v>
      </c>
      <c r="C794" s="9" t="s">
        <v>24</v>
      </c>
      <c r="D794" s="9">
        <v>187000</v>
      </c>
      <c r="E794" s="9" t="s">
        <v>2528</v>
      </c>
      <c r="F794" s="9" t="s">
        <v>66</v>
      </c>
      <c r="G794" s="9" t="s">
        <v>55</v>
      </c>
    </row>
    <row r="795" spans="2:7" x14ac:dyDescent="0.25">
      <c r="B795" s="9" t="s">
        <v>1643</v>
      </c>
      <c r="C795" s="9" t="s">
        <v>12</v>
      </c>
      <c r="D795" s="9">
        <v>178000</v>
      </c>
      <c r="E795" s="9" t="s">
        <v>2529</v>
      </c>
      <c r="F795" s="9" t="s">
        <v>62</v>
      </c>
      <c r="G795" s="9" t="s">
        <v>49</v>
      </c>
    </row>
    <row r="796" spans="2:7" x14ac:dyDescent="0.25">
      <c r="B796" s="9" t="s">
        <v>1645</v>
      </c>
      <c r="C796" s="9" t="s">
        <v>20</v>
      </c>
      <c r="D796" s="9">
        <v>205000</v>
      </c>
      <c r="E796" s="9" t="s">
        <v>2530</v>
      </c>
      <c r="F796" s="9" t="s">
        <v>64</v>
      </c>
      <c r="G796" s="9" t="s">
        <v>51</v>
      </c>
    </row>
    <row r="797" spans="2:7" x14ac:dyDescent="0.25">
      <c r="B797" s="9" t="s">
        <v>1648</v>
      </c>
      <c r="C797" s="9" t="s">
        <v>22</v>
      </c>
      <c r="D797" s="9">
        <v>69000</v>
      </c>
      <c r="E797" s="9" t="s">
        <v>2531</v>
      </c>
      <c r="F797" s="9" t="s">
        <v>62</v>
      </c>
      <c r="G797" s="9" t="s">
        <v>49</v>
      </c>
    </row>
    <row r="798" spans="2:7" x14ac:dyDescent="0.25">
      <c r="B798" s="9" t="s">
        <v>1650</v>
      </c>
      <c r="C798" s="9" t="s">
        <v>12</v>
      </c>
      <c r="D798" s="9">
        <v>136000</v>
      </c>
      <c r="E798" s="9" t="s">
        <v>2532</v>
      </c>
      <c r="F798" s="9" t="s">
        <v>63</v>
      </c>
      <c r="G798" s="9" t="s">
        <v>47</v>
      </c>
    </row>
    <row r="799" spans="2:7" x14ac:dyDescent="0.25">
      <c r="B799" s="9" t="s">
        <v>1652</v>
      </c>
      <c r="C799" s="9" t="s">
        <v>22</v>
      </c>
      <c r="D799" s="9">
        <v>91000</v>
      </c>
      <c r="E799" s="9" t="s">
        <v>2533</v>
      </c>
      <c r="F799" s="9" t="s">
        <v>63</v>
      </c>
      <c r="G799" s="9" t="s">
        <v>51</v>
      </c>
    </row>
    <row r="800" spans="2:7" x14ac:dyDescent="0.25">
      <c r="B800" s="9" t="s">
        <v>1654</v>
      </c>
      <c r="C800" s="9" t="s">
        <v>18</v>
      </c>
      <c r="D800" s="9">
        <v>245000</v>
      </c>
      <c r="E800" s="9" t="s">
        <v>2533</v>
      </c>
      <c r="F800" s="9" t="s">
        <v>63</v>
      </c>
      <c r="G800" s="9" t="s">
        <v>47</v>
      </c>
    </row>
    <row r="801" spans="2:7" x14ac:dyDescent="0.25">
      <c r="B801" s="9" t="s">
        <v>1655</v>
      </c>
      <c r="C801" s="9" t="s">
        <v>16</v>
      </c>
      <c r="D801" s="9">
        <v>249000</v>
      </c>
      <c r="E801" s="9" t="s">
        <v>2534</v>
      </c>
      <c r="F801" s="9" t="s">
        <v>62</v>
      </c>
      <c r="G801" s="9" t="s">
        <v>45</v>
      </c>
    </row>
    <row r="802" spans="2:7" x14ac:dyDescent="0.25">
      <c r="B802" s="9" t="s">
        <v>1657</v>
      </c>
      <c r="C802" s="9" t="s">
        <v>14</v>
      </c>
      <c r="D802" s="9">
        <v>43000</v>
      </c>
      <c r="E802" s="9" t="s">
        <v>2534</v>
      </c>
      <c r="F802" s="9" t="s">
        <v>64</v>
      </c>
      <c r="G802" s="9" t="s">
        <v>47</v>
      </c>
    </row>
    <row r="803" spans="2:7" x14ac:dyDescent="0.25">
      <c r="B803" s="9" t="s">
        <v>1658</v>
      </c>
      <c r="C803" s="9" t="s">
        <v>16</v>
      </c>
      <c r="D803" s="9">
        <v>142000</v>
      </c>
      <c r="E803" s="9" t="s">
        <v>2535</v>
      </c>
      <c r="F803" s="9" t="s">
        <v>63</v>
      </c>
      <c r="G803" s="9" t="s">
        <v>58</v>
      </c>
    </row>
    <row r="804" spans="2:7" x14ac:dyDescent="0.25">
      <c r="B804" s="9" t="s">
        <v>1660</v>
      </c>
      <c r="C804" s="9" t="s">
        <v>14</v>
      </c>
      <c r="D804" s="9">
        <v>32000</v>
      </c>
      <c r="E804" s="9" t="s">
        <v>2535</v>
      </c>
      <c r="F804" s="9" t="s">
        <v>63</v>
      </c>
      <c r="G804" s="9" t="s">
        <v>45</v>
      </c>
    </row>
    <row r="805" spans="2:7" x14ac:dyDescent="0.25">
      <c r="B805" s="9" t="s">
        <v>1662</v>
      </c>
      <c r="C805" s="9" t="s">
        <v>16</v>
      </c>
      <c r="D805" s="9">
        <v>97000</v>
      </c>
      <c r="E805" s="9" t="s">
        <v>2536</v>
      </c>
      <c r="F805" s="9" t="s">
        <v>62</v>
      </c>
      <c r="G805" s="9" t="s">
        <v>45</v>
      </c>
    </row>
    <row r="806" spans="2:7" x14ac:dyDescent="0.25">
      <c r="B806" s="9" t="s">
        <v>1664</v>
      </c>
      <c r="C806" s="9" t="s">
        <v>18</v>
      </c>
      <c r="D806" s="9">
        <v>215000</v>
      </c>
      <c r="E806" s="9" t="s">
        <v>2537</v>
      </c>
      <c r="F806" s="9" t="s">
        <v>63</v>
      </c>
      <c r="G806" s="9" t="s">
        <v>45</v>
      </c>
    </row>
    <row r="807" spans="2:7" x14ac:dyDescent="0.25">
      <c r="B807" s="9" t="s">
        <v>1666</v>
      </c>
      <c r="C807" s="9" t="s">
        <v>16</v>
      </c>
      <c r="D807" s="9">
        <v>269000</v>
      </c>
      <c r="E807" s="9" t="s">
        <v>2538</v>
      </c>
      <c r="F807" s="9" t="s">
        <v>67</v>
      </c>
      <c r="G807" s="9" t="s">
        <v>47</v>
      </c>
    </row>
    <row r="808" spans="2:7" x14ac:dyDescent="0.25">
      <c r="B808" s="9" t="s">
        <v>1668</v>
      </c>
      <c r="C808" s="9" t="s">
        <v>14</v>
      </c>
      <c r="D808" s="9">
        <v>145000</v>
      </c>
      <c r="E808" s="9" t="s">
        <v>2539</v>
      </c>
      <c r="F808" s="9" t="s">
        <v>65</v>
      </c>
      <c r="G808" s="9" t="s">
        <v>51</v>
      </c>
    </row>
    <row r="809" spans="2:7" x14ac:dyDescent="0.25">
      <c r="B809" s="9" t="s">
        <v>1670</v>
      </c>
      <c r="C809" s="9" t="s">
        <v>14</v>
      </c>
      <c r="D809" s="9">
        <v>180000</v>
      </c>
      <c r="E809" s="9" t="s">
        <v>2539</v>
      </c>
      <c r="F809" s="9" t="s">
        <v>64</v>
      </c>
      <c r="G809" s="9" t="s">
        <v>51</v>
      </c>
    </row>
    <row r="810" spans="2:7" x14ac:dyDescent="0.25">
      <c r="B810" s="9" t="s">
        <v>1671</v>
      </c>
      <c r="C810" s="9" t="s">
        <v>16</v>
      </c>
      <c r="D810" s="9">
        <v>257000</v>
      </c>
      <c r="E810" s="9" t="s">
        <v>2540</v>
      </c>
      <c r="F810" s="9" t="s">
        <v>64</v>
      </c>
      <c r="G810" s="9" t="s">
        <v>53</v>
      </c>
    </row>
    <row r="811" spans="2:7" x14ac:dyDescent="0.25">
      <c r="B811" s="9" t="s">
        <v>1673</v>
      </c>
      <c r="C811" s="9" t="s">
        <v>12</v>
      </c>
      <c r="D811" s="9">
        <v>43000</v>
      </c>
      <c r="E811" s="9" t="s">
        <v>2541</v>
      </c>
      <c r="F811" s="9" t="s">
        <v>62</v>
      </c>
      <c r="G811" s="9" t="s">
        <v>49</v>
      </c>
    </row>
    <row r="812" spans="2:7" x14ac:dyDescent="0.25">
      <c r="B812" s="9" t="s">
        <v>1675</v>
      </c>
      <c r="C812" s="9" t="s">
        <v>24</v>
      </c>
      <c r="D812" s="9">
        <v>254000</v>
      </c>
      <c r="E812" s="9" t="s">
        <v>2542</v>
      </c>
      <c r="F812" s="9" t="s">
        <v>62</v>
      </c>
      <c r="G812" s="9" t="s">
        <v>51</v>
      </c>
    </row>
    <row r="813" spans="2:7" x14ac:dyDescent="0.25">
      <c r="B813" s="9" t="s">
        <v>1677</v>
      </c>
      <c r="C813" s="9" t="s">
        <v>16</v>
      </c>
      <c r="D813" s="9">
        <v>237000</v>
      </c>
      <c r="E813" s="9" t="s">
        <v>2542</v>
      </c>
      <c r="F813" s="9" t="s">
        <v>66</v>
      </c>
      <c r="G813" s="9" t="s">
        <v>47</v>
      </c>
    </row>
    <row r="814" spans="2:7" x14ac:dyDescent="0.25">
      <c r="B814" s="9" t="s">
        <v>1678</v>
      </c>
      <c r="C814" s="9" t="s">
        <v>16</v>
      </c>
      <c r="D814" s="9">
        <v>152000</v>
      </c>
      <c r="E814" s="9" t="s">
        <v>2542</v>
      </c>
      <c r="F814" s="9" t="s">
        <v>64</v>
      </c>
      <c r="G814" s="9" t="s">
        <v>61</v>
      </c>
    </row>
    <row r="815" spans="2:7" x14ac:dyDescent="0.25">
      <c r="B815" s="9" t="s">
        <v>1679</v>
      </c>
      <c r="C815" s="9" t="s">
        <v>14</v>
      </c>
      <c r="D815" s="9">
        <v>299000</v>
      </c>
      <c r="E815" s="9" t="s">
        <v>2543</v>
      </c>
      <c r="F815" s="9" t="s">
        <v>67</v>
      </c>
      <c r="G815" s="9" t="s">
        <v>61</v>
      </c>
    </row>
    <row r="816" spans="2:7" x14ac:dyDescent="0.25">
      <c r="B816" s="9" t="s">
        <v>1681</v>
      </c>
      <c r="C816" s="9" t="s">
        <v>12</v>
      </c>
      <c r="D816" s="9">
        <v>35000</v>
      </c>
      <c r="E816" s="9" t="s">
        <v>2543</v>
      </c>
      <c r="F816" s="9" t="s">
        <v>62</v>
      </c>
      <c r="G816" s="9" t="s">
        <v>51</v>
      </c>
    </row>
    <row r="817" spans="2:7" x14ac:dyDescent="0.25">
      <c r="B817" s="9" t="s">
        <v>1682</v>
      </c>
      <c r="C817" s="9" t="s">
        <v>20</v>
      </c>
      <c r="D817" s="9">
        <v>45000</v>
      </c>
      <c r="E817" s="9" t="s">
        <v>2544</v>
      </c>
      <c r="F817" s="9" t="s">
        <v>65</v>
      </c>
      <c r="G817" s="9" t="s">
        <v>49</v>
      </c>
    </row>
    <row r="818" spans="2:7" x14ac:dyDescent="0.25">
      <c r="B818" s="9" t="s">
        <v>1684</v>
      </c>
      <c r="C818" s="9" t="s">
        <v>22</v>
      </c>
      <c r="D818" s="9">
        <v>132000</v>
      </c>
      <c r="E818" s="9" t="s">
        <v>2544</v>
      </c>
      <c r="F818" s="9" t="s">
        <v>65</v>
      </c>
      <c r="G818" s="9" t="s">
        <v>55</v>
      </c>
    </row>
    <row r="819" spans="2:7" x14ac:dyDescent="0.25">
      <c r="B819" s="9" t="s">
        <v>1685</v>
      </c>
      <c r="C819" s="9" t="s">
        <v>14</v>
      </c>
      <c r="D819" s="9">
        <v>83000</v>
      </c>
      <c r="E819" s="9" t="s">
        <v>2544</v>
      </c>
      <c r="F819" s="9" t="s">
        <v>64</v>
      </c>
      <c r="G819" s="9" t="s">
        <v>53</v>
      </c>
    </row>
    <row r="820" spans="2:7" x14ac:dyDescent="0.25">
      <c r="B820" s="9" t="s">
        <v>1686</v>
      </c>
      <c r="C820" s="9" t="s">
        <v>24</v>
      </c>
      <c r="D820" s="9">
        <v>184000</v>
      </c>
      <c r="E820" s="9" t="s">
        <v>2545</v>
      </c>
      <c r="F820" s="9" t="s">
        <v>67</v>
      </c>
      <c r="G820" s="9" t="s">
        <v>58</v>
      </c>
    </row>
    <row r="821" spans="2:7" x14ac:dyDescent="0.25">
      <c r="B821" s="9" t="s">
        <v>1688</v>
      </c>
      <c r="C821" s="9" t="s">
        <v>24</v>
      </c>
      <c r="D821" s="9">
        <v>43000</v>
      </c>
      <c r="E821" s="9" t="s">
        <v>2546</v>
      </c>
      <c r="F821" s="9" t="s">
        <v>65</v>
      </c>
      <c r="G821" s="9" t="s">
        <v>43</v>
      </c>
    </row>
    <row r="822" spans="2:7" x14ac:dyDescent="0.25">
      <c r="B822" s="9" t="s">
        <v>1690</v>
      </c>
      <c r="C822" s="9" t="s">
        <v>18</v>
      </c>
      <c r="D822" s="9">
        <v>84000</v>
      </c>
      <c r="E822" s="9" t="s">
        <v>2546</v>
      </c>
      <c r="F822" s="9" t="s">
        <v>65</v>
      </c>
      <c r="G822" s="9" t="s">
        <v>61</v>
      </c>
    </row>
    <row r="823" spans="2:7" x14ac:dyDescent="0.25">
      <c r="B823" s="9" t="s">
        <v>1691</v>
      </c>
      <c r="C823" s="9" t="s">
        <v>20</v>
      </c>
      <c r="D823" s="9">
        <v>54000</v>
      </c>
      <c r="E823" s="9" t="s">
        <v>2547</v>
      </c>
      <c r="F823" s="9" t="s">
        <v>67</v>
      </c>
      <c r="G823" s="9" t="s">
        <v>47</v>
      </c>
    </row>
    <row r="824" spans="2:7" x14ac:dyDescent="0.25">
      <c r="B824" s="9" t="s">
        <v>1693</v>
      </c>
      <c r="C824" s="9" t="s">
        <v>22</v>
      </c>
      <c r="D824" s="9">
        <v>211000</v>
      </c>
      <c r="E824" s="9" t="s">
        <v>2548</v>
      </c>
      <c r="F824" s="9" t="s">
        <v>66</v>
      </c>
      <c r="G824" s="9" t="s">
        <v>45</v>
      </c>
    </row>
    <row r="825" spans="2:7" x14ac:dyDescent="0.25">
      <c r="B825" s="9" t="s">
        <v>1695</v>
      </c>
      <c r="C825" s="9" t="s">
        <v>16</v>
      </c>
      <c r="D825" s="9">
        <v>56000</v>
      </c>
      <c r="E825" s="9" t="s">
        <v>2549</v>
      </c>
      <c r="F825" s="9" t="s">
        <v>66</v>
      </c>
      <c r="G825" s="9" t="s">
        <v>61</v>
      </c>
    </row>
    <row r="826" spans="2:7" x14ac:dyDescent="0.25">
      <c r="B826" s="9" t="s">
        <v>1698</v>
      </c>
      <c r="C826" s="9" t="s">
        <v>12</v>
      </c>
      <c r="D826" s="9">
        <v>243000</v>
      </c>
      <c r="E826" s="9" t="s">
        <v>2549</v>
      </c>
      <c r="F826" s="9" t="s">
        <v>66</v>
      </c>
      <c r="G826" s="9" t="s">
        <v>43</v>
      </c>
    </row>
    <row r="827" spans="2:7" x14ac:dyDescent="0.25">
      <c r="B827" s="9" t="s">
        <v>1699</v>
      </c>
      <c r="C827" s="9" t="s">
        <v>14</v>
      </c>
      <c r="D827" s="9">
        <v>90000</v>
      </c>
      <c r="E827" s="9" t="s">
        <v>2550</v>
      </c>
      <c r="F827" s="9" t="s">
        <v>64</v>
      </c>
      <c r="G827" s="9" t="s">
        <v>49</v>
      </c>
    </row>
    <row r="828" spans="2:7" x14ac:dyDescent="0.25">
      <c r="B828" s="9" t="s">
        <v>1701</v>
      </c>
      <c r="C828" s="9" t="s">
        <v>14</v>
      </c>
      <c r="D828" s="9">
        <v>119000</v>
      </c>
      <c r="E828" s="9" t="s">
        <v>2550</v>
      </c>
      <c r="F828" s="9" t="s">
        <v>65</v>
      </c>
      <c r="G828" s="9" t="s">
        <v>58</v>
      </c>
    </row>
    <row r="829" spans="2:7" x14ac:dyDescent="0.25">
      <c r="B829" s="9" t="s">
        <v>1702</v>
      </c>
      <c r="C829" s="9" t="s">
        <v>12</v>
      </c>
      <c r="D829" s="9">
        <v>242000</v>
      </c>
      <c r="E829" s="9" t="s">
        <v>2551</v>
      </c>
      <c r="F829" s="9" t="s">
        <v>62</v>
      </c>
      <c r="G829" s="9" t="s">
        <v>43</v>
      </c>
    </row>
    <row r="830" spans="2:7" x14ac:dyDescent="0.25">
      <c r="B830" s="9" t="s">
        <v>1704</v>
      </c>
      <c r="C830" s="9" t="s">
        <v>18</v>
      </c>
      <c r="D830" s="9">
        <v>115000</v>
      </c>
      <c r="E830" s="9" t="s">
        <v>2552</v>
      </c>
      <c r="F830" s="9" t="s">
        <v>67</v>
      </c>
      <c r="G830" s="9" t="s">
        <v>49</v>
      </c>
    </row>
    <row r="831" spans="2:7" x14ac:dyDescent="0.25">
      <c r="B831" s="9" t="s">
        <v>1706</v>
      </c>
      <c r="C831" s="9" t="s">
        <v>16</v>
      </c>
      <c r="D831" s="9">
        <v>64000</v>
      </c>
      <c r="E831" s="9" t="s">
        <v>2553</v>
      </c>
      <c r="F831" s="9" t="s">
        <v>66</v>
      </c>
      <c r="G831" s="9" t="s">
        <v>43</v>
      </c>
    </row>
    <row r="832" spans="2:7" x14ac:dyDescent="0.25">
      <c r="B832" s="9" t="s">
        <v>1708</v>
      </c>
      <c r="C832" s="9" t="s">
        <v>22</v>
      </c>
      <c r="D832" s="9">
        <v>247000</v>
      </c>
      <c r="E832" s="9" t="s">
        <v>2554</v>
      </c>
      <c r="F832" s="9" t="s">
        <v>66</v>
      </c>
      <c r="G832" s="9" t="s">
        <v>61</v>
      </c>
    </row>
    <row r="833" spans="2:7" x14ac:dyDescent="0.25">
      <c r="B833" s="9" t="s">
        <v>1710</v>
      </c>
      <c r="C833" s="9" t="s">
        <v>14</v>
      </c>
      <c r="D833" s="9">
        <v>221000</v>
      </c>
      <c r="E833" s="9" t="s">
        <v>2555</v>
      </c>
      <c r="F833" s="9" t="s">
        <v>62</v>
      </c>
      <c r="G833" s="9" t="s">
        <v>49</v>
      </c>
    </row>
    <row r="834" spans="2:7" x14ac:dyDescent="0.25">
      <c r="B834" s="9" t="s">
        <v>1712</v>
      </c>
      <c r="C834" s="9" t="s">
        <v>14</v>
      </c>
      <c r="D834" s="9">
        <v>161000</v>
      </c>
      <c r="E834" s="9" t="s">
        <v>2556</v>
      </c>
      <c r="F834" s="9" t="s">
        <v>62</v>
      </c>
      <c r="G834" s="9" t="s">
        <v>47</v>
      </c>
    </row>
    <row r="835" spans="2:7" x14ac:dyDescent="0.25">
      <c r="B835" s="9" t="s">
        <v>1714</v>
      </c>
      <c r="C835" s="9" t="s">
        <v>22</v>
      </c>
      <c r="D835" s="9">
        <v>133000</v>
      </c>
      <c r="E835" s="9" t="s">
        <v>2557</v>
      </c>
      <c r="F835" s="9" t="s">
        <v>63</v>
      </c>
      <c r="G835" s="9" t="s">
        <v>61</v>
      </c>
    </row>
    <row r="836" spans="2:7" x14ac:dyDescent="0.25">
      <c r="B836" s="9" t="s">
        <v>1716</v>
      </c>
      <c r="C836" s="9" t="s">
        <v>14</v>
      </c>
      <c r="D836" s="9">
        <v>155000</v>
      </c>
      <c r="E836" s="9" t="s">
        <v>2557</v>
      </c>
      <c r="F836" s="9" t="s">
        <v>64</v>
      </c>
      <c r="G836" s="9" t="s">
        <v>47</v>
      </c>
    </row>
    <row r="837" spans="2:7" x14ac:dyDescent="0.25">
      <c r="B837" s="9" t="s">
        <v>1717</v>
      </c>
      <c r="C837" s="9" t="s">
        <v>16</v>
      </c>
      <c r="D837" s="9">
        <v>225000</v>
      </c>
      <c r="E837" s="9" t="s">
        <v>2558</v>
      </c>
      <c r="F837" s="9" t="s">
        <v>67</v>
      </c>
      <c r="G837" s="9" t="s">
        <v>58</v>
      </c>
    </row>
    <row r="838" spans="2:7" x14ac:dyDescent="0.25">
      <c r="B838" s="9" t="s">
        <v>1719</v>
      </c>
      <c r="C838" s="9" t="s">
        <v>18</v>
      </c>
      <c r="D838" s="9">
        <v>159000</v>
      </c>
      <c r="E838" s="9" t="s">
        <v>2558</v>
      </c>
      <c r="F838" s="9" t="s">
        <v>62</v>
      </c>
      <c r="G838" s="9" t="s">
        <v>58</v>
      </c>
    </row>
    <row r="839" spans="2:7" x14ac:dyDescent="0.25">
      <c r="B839" s="9" t="s">
        <v>1720</v>
      </c>
      <c r="C839" s="9" t="s">
        <v>16</v>
      </c>
      <c r="D839" s="9">
        <v>295000</v>
      </c>
      <c r="E839" s="9" t="s">
        <v>2559</v>
      </c>
      <c r="F839" s="9" t="s">
        <v>67</v>
      </c>
      <c r="G839" s="9" t="s">
        <v>47</v>
      </c>
    </row>
    <row r="840" spans="2:7" x14ac:dyDescent="0.25">
      <c r="B840" s="9" t="s">
        <v>1722</v>
      </c>
      <c r="C840" s="9" t="s">
        <v>14</v>
      </c>
      <c r="D840" s="9">
        <v>49000</v>
      </c>
      <c r="E840" s="9" t="s">
        <v>2560</v>
      </c>
      <c r="F840" s="9" t="s">
        <v>67</v>
      </c>
      <c r="G840" s="9" t="s">
        <v>55</v>
      </c>
    </row>
    <row r="841" spans="2:7" x14ac:dyDescent="0.25">
      <c r="B841" s="9" t="s">
        <v>1725</v>
      </c>
      <c r="C841" s="9" t="s">
        <v>24</v>
      </c>
      <c r="D841" s="9">
        <v>217000</v>
      </c>
      <c r="E841" s="9" t="s">
        <v>2560</v>
      </c>
      <c r="F841" s="9" t="s">
        <v>65</v>
      </c>
      <c r="G841" s="9" t="s">
        <v>61</v>
      </c>
    </row>
    <row r="842" spans="2:7" x14ac:dyDescent="0.25">
      <c r="B842" s="9" t="s">
        <v>1726</v>
      </c>
      <c r="C842" s="9" t="s">
        <v>16</v>
      </c>
      <c r="D842" s="9">
        <v>92000</v>
      </c>
      <c r="E842" s="9" t="s">
        <v>2560</v>
      </c>
      <c r="F842" s="9" t="s">
        <v>64</v>
      </c>
      <c r="G842" s="9" t="s">
        <v>58</v>
      </c>
    </row>
    <row r="843" spans="2:7" x14ac:dyDescent="0.25">
      <c r="B843" s="9" t="s">
        <v>1727</v>
      </c>
      <c r="C843" s="9" t="s">
        <v>12</v>
      </c>
      <c r="D843" s="9">
        <v>118000</v>
      </c>
      <c r="E843" s="9" t="s">
        <v>2561</v>
      </c>
      <c r="F843" s="9" t="s">
        <v>63</v>
      </c>
      <c r="G843" s="9" t="s">
        <v>49</v>
      </c>
    </row>
    <row r="844" spans="2:7" x14ac:dyDescent="0.25">
      <c r="B844" s="9" t="s">
        <v>1729</v>
      </c>
      <c r="C844" s="9" t="s">
        <v>18</v>
      </c>
      <c r="D844" s="9">
        <v>36000</v>
      </c>
      <c r="E844" s="9" t="s">
        <v>2562</v>
      </c>
      <c r="F844" s="9" t="s">
        <v>63</v>
      </c>
      <c r="G844" s="9" t="s">
        <v>55</v>
      </c>
    </row>
    <row r="845" spans="2:7" x14ac:dyDescent="0.25">
      <c r="B845" s="9" t="s">
        <v>1731</v>
      </c>
      <c r="C845" s="9" t="s">
        <v>14</v>
      </c>
      <c r="D845" s="9">
        <v>92000</v>
      </c>
      <c r="E845" s="9" t="s">
        <v>2563</v>
      </c>
      <c r="F845" s="9" t="s">
        <v>63</v>
      </c>
      <c r="G845" s="9" t="s">
        <v>53</v>
      </c>
    </row>
    <row r="846" spans="2:7" x14ac:dyDescent="0.25">
      <c r="B846" s="9" t="s">
        <v>1733</v>
      </c>
      <c r="C846" s="9" t="s">
        <v>16</v>
      </c>
      <c r="D846" s="9">
        <v>148000</v>
      </c>
      <c r="E846" s="9" t="s">
        <v>2564</v>
      </c>
      <c r="F846" s="9" t="s">
        <v>67</v>
      </c>
      <c r="G846" s="9" t="s">
        <v>55</v>
      </c>
    </row>
    <row r="847" spans="2:7" x14ac:dyDescent="0.25">
      <c r="B847" s="9" t="s">
        <v>1735</v>
      </c>
      <c r="C847" s="9" t="s">
        <v>12</v>
      </c>
      <c r="D847" s="9">
        <v>199000</v>
      </c>
      <c r="E847" s="9" t="s">
        <v>2564</v>
      </c>
      <c r="F847" s="9" t="s">
        <v>66</v>
      </c>
      <c r="G847" s="9" t="s">
        <v>61</v>
      </c>
    </row>
    <row r="848" spans="2:7" x14ac:dyDescent="0.25">
      <c r="B848" s="9" t="s">
        <v>1736</v>
      </c>
      <c r="C848" s="9" t="s">
        <v>22</v>
      </c>
      <c r="D848" s="9">
        <v>101000</v>
      </c>
      <c r="E848" s="9" t="s">
        <v>2565</v>
      </c>
      <c r="F848" s="9" t="s">
        <v>62</v>
      </c>
      <c r="G848" s="9" t="s">
        <v>58</v>
      </c>
    </row>
    <row r="849" spans="2:7" x14ac:dyDescent="0.25">
      <c r="B849" s="9" t="s">
        <v>1738</v>
      </c>
      <c r="C849" s="9" t="s">
        <v>16</v>
      </c>
      <c r="D849" s="9">
        <v>55000</v>
      </c>
      <c r="E849" s="9" t="s">
        <v>2566</v>
      </c>
      <c r="F849" s="9" t="s">
        <v>65</v>
      </c>
      <c r="G849" s="9" t="s">
        <v>61</v>
      </c>
    </row>
    <row r="850" spans="2:7" x14ac:dyDescent="0.25">
      <c r="B850" s="9" t="s">
        <v>1740</v>
      </c>
      <c r="C850" s="9" t="s">
        <v>14</v>
      </c>
      <c r="D850" s="9">
        <v>273000</v>
      </c>
      <c r="E850" s="9" t="s">
        <v>2567</v>
      </c>
      <c r="F850" s="9" t="s">
        <v>63</v>
      </c>
      <c r="G850" s="9" t="s">
        <v>58</v>
      </c>
    </row>
    <row r="851" spans="2:7" x14ac:dyDescent="0.25">
      <c r="B851" s="9" t="s">
        <v>1742</v>
      </c>
      <c r="C851" s="9" t="s">
        <v>18</v>
      </c>
      <c r="D851" s="9">
        <v>57000</v>
      </c>
      <c r="E851" s="9" t="s">
        <v>2568</v>
      </c>
      <c r="F851" s="9" t="s">
        <v>63</v>
      </c>
      <c r="G851" s="9" t="s">
        <v>61</v>
      </c>
    </row>
    <row r="852" spans="2:7" x14ac:dyDescent="0.25">
      <c r="B852" s="9" t="s">
        <v>1744</v>
      </c>
      <c r="C852" s="9" t="s">
        <v>24</v>
      </c>
      <c r="D852" s="9">
        <v>52000</v>
      </c>
      <c r="E852" s="9" t="s">
        <v>2569</v>
      </c>
      <c r="F852" s="9" t="s">
        <v>65</v>
      </c>
      <c r="G852" s="9" t="s">
        <v>43</v>
      </c>
    </row>
    <row r="853" spans="2:7" x14ac:dyDescent="0.25">
      <c r="B853" s="9" t="s">
        <v>1746</v>
      </c>
      <c r="C853" s="9" t="s">
        <v>12</v>
      </c>
      <c r="D853" s="9">
        <v>204000</v>
      </c>
      <c r="E853" s="9" t="s">
        <v>2570</v>
      </c>
      <c r="F853" s="9" t="s">
        <v>67</v>
      </c>
      <c r="G853" s="9" t="s">
        <v>47</v>
      </c>
    </row>
    <row r="854" spans="2:7" x14ac:dyDescent="0.25">
      <c r="B854" s="9" t="s">
        <v>1748</v>
      </c>
      <c r="C854" s="9" t="s">
        <v>20</v>
      </c>
      <c r="D854" s="9">
        <v>281000</v>
      </c>
      <c r="E854" s="9" t="s">
        <v>2571</v>
      </c>
      <c r="F854" s="9" t="s">
        <v>64</v>
      </c>
      <c r="G854" s="9" t="s">
        <v>49</v>
      </c>
    </row>
    <row r="855" spans="2:7" x14ac:dyDescent="0.25">
      <c r="B855" s="9" t="s">
        <v>1750</v>
      </c>
      <c r="C855" s="9" t="s">
        <v>20</v>
      </c>
      <c r="D855" s="9">
        <v>131000</v>
      </c>
      <c r="E855" s="9" t="s">
        <v>2571</v>
      </c>
      <c r="F855" s="9" t="s">
        <v>67</v>
      </c>
      <c r="G855" s="9" t="s">
        <v>53</v>
      </c>
    </row>
    <row r="856" spans="2:7" x14ac:dyDescent="0.25">
      <c r="B856" s="9" t="s">
        <v>1751</v>
      </c>
      <c r="C856" s="9" t="s">
        <v>14</v>
      </c>
      <c r="D856" s="9">
        <v>260000</v>
      </c>
      <c r="E856" s="9" t="s">
        <v>2571</v>
      </c>
      <c r="F856" s="9" t="s">
        <v>62</v>
      </c>
      <c r="G856" s="9" t="s">
        <v>43</v>
      </c>
    </row>
    <row r="857" spans="2:7" x14ac:dyDescent="0.25">
      <c r="B857" s="9" t="s">
        <v>1752</v>
      </c>
      <c r="C857" s="9" t="s">
        <v>16</v>
      </c>
      <c r="D857" s="9">
        <v>162000</v>
      </c>
      <c r="E857" s="9" t="s">
        <v>2572</v>
      </c>
      <c r="F857" s="9" t="s">
        <v>64</v>
      </c>
      <c r="G857" s="9" t="s">
        <v>53</v>
      </c>
    </row>
    <row r="858" spans="2:7" x14ac:dyDescent="0.25">
      <c r="B858" s="9" t="s">
        <v>1754</v>
      </c>
      <c r="C858" s="9" t="s">
        <v>22</v>
      </c>
      <c r="D858" s="9">
        <v>243000</v>
      </c>
      <c r="E858" s="9" t="s">
        <v>2572</v>
      </c>
      <c r="F858" s="9" t="s">
        <v>62</v>
      </c>
      <c r="G858" s="9" t="s">
        <v>47</v>
      </c>
    </row>
    <row r="859" spans="2:7" x14ac:dyDescent="0.25">
      <c r="B859" s="9" t="s">
        <v>1755</v>
      </c>
      <c r="C859" s="9" t="s">
        <v>16</v>
      </c>
      <c r="D859" s="9">
        <v>219000</v>
      </c>
      <c r="E859" s="9" t="s">
        <v>2573</v>
      </c>
      <c r="F859" s="9" t="s">
        <v>63</v>
      </c>
      <c r="G859" s="9" t="s">
        <v>51</v>
      </c>
    </row>
    <row r="860" spans="2:7" x14ac:dyDescent="0.25">
      <c r="B860" s="9" t="s">
        <v>1757</v>
      </c>
      <c r="C860" s="9" t="s">
        <v>16</v>
      </c>
      <c r="D860" s="9">
        <v>99000</v>
      </c>
      <c r="E860" s="9" t="s">
        <v>2574</v>
      </c>
      <c r="F860" s="9" t="s">
        <v>65</v>
      </c>
      <c r="G860" s="9" t="s">
        <v>43</v>
      </c>
    </row>
    <row r="861" spans="2:7" x14ac:dyDescent="0.25">
      <c r="B861" s="9" t="s">
        <v>1759</v>
      </c>
      <c r="C861" s="9" t="s">
        <v>16</v>
      </c>
      <c r="D861" s="9">
        <v>299000</v>
      </c>
      <c r="E861" s="9" t="s">
        <v>2574</v>
      </c>
      <c r="F861" s="9" t="s">
        <v>67</v>
      </c>
      <c r="G861" s="9" t="s">
        <v>58</v>
      </c>
    </row>
    <row r="862" spans="2:7" x14ac:dyDescent="0.25">
      <c r="B862" s="9" t="s">
        <v>1760</v>
      </c>
      <c r="C862" s="9" t="s">
        <v>16</v>
      </c>
      <c r="D862" s="9">
        <v>292000</v>
      </c>
      <c r="E862" s="9" t="s">
        <v>2574</v>
      </c>
      <c r="F862" s="9" t="s">
        <v>67</v>
      </c>
      <c r="G862" s="9" t="s">
        <v>61</v>
      </c>
    </row>
    <row r="863" spans="2:7" x14ac:dyDescent="0.25">
      <c r="B863" s="9" t="s">
        <v>1762</v>
      </c>
      <c r="C863" s="9" t="s">
        <v>14</v>
      </c>
      <c r="D863" s="9">
        <v>163000</v>
      </c>
      <c r="E863" s="9" t="s">
        <v>2575</v>
      </c>
      <c r="F863" s="9" t="s">
        <v>64</v>
      </c>
      <c r="G863" s="9" t="s">
        <v>49</v>
      </c>
    </row>
    <row r="864" spans="2:7" x14ac:dyDescent="0.25">
      <c r="B864" s="9" t="s">
        <v>1764</v>
      </c>
      <c r="C864" s="9" t="s">
        <v>18</v>
      </c>
      <c r="D864" s="9">
        <v>240000</v>
      </c>
      <c r="E864" s="9" t="s">
        <v>2576</v>
      </c>
      <c r="F864" s="9" t="s">
        <v>62</v>
      </c>
      <c r="G864" s="9" t="s">
        <v>51</v>
      </c>
    </row>
    <row r="865" spans="2:7" x14ac:dyDescent="0.25">
      <c r="B865" s="9" t="s">
        <v>1766</v>
      </c>
      <c r="C865" s="9" t="s">
        <v>18</v>
      </c>
      <c r="D865" s="9">
        <v>232000</v>
      </c>
      <c r="E865" s="9" t="s">
        <v>2577</v>
      </c>
      <c r="F865" s="9" t="s">
        <v>66</v>
      </c>
      <c r="G865" s="9" t="s">
        <v>47</v>
      </c>
    </row>
    <row r="866" spans="2:7" x14ac:dyDescent="0.25">
      <c r="B866" s="9" t="s">
        <v>1768</v>
      </c>
      <c r="C866" s="9" t="s">
        <v>24</v>
      </c>
      <c r="D866" s="9">
        <v>187000</v>
      </c>
      <c r="E866" s="9" t="s">
        <v>2578</v>
      </c>
      <c r="F866" s="9" t="s">
        <v>66</v>
      </c>
      <c r="G866" s="9" t="s">
        <v>51</v>
      </c>
    </row>
    <row r="867" spans="2:7" x14ac:dyDescent="0.25">
      <c r="B867" s="9" t="s">
        <v>1770</v>
      </c>
      <c r="C867" s="9" t="s">
        <v>20</v>
      </c>
      <c r="D867" s="9">
        <v>40000</v>
      </c>
      <c r="E867" s="9" t="s">
        <v>2578</v>
      </c>
      <c r="F867" s="9" t="s">
        <v>65</v>
      </c>
      <c r="G867" s="9" t="s">
        <v>53</v>
      </c>
    </row>
    <row r="868" spans="2:7" x14ac:dyDescent="0.25">
      <c r="B868" s="9" t="s">
        <v>1771</v>
      </c>
      <c r="C868" s="9" t="s">
        <v>20</v>
      </c>
      <c r="D868" s="9">
        <v>57000</v>
      </c>
      <c r="E868" s="9" t="s">
        <v>2579</v>
      </c>
      <c r="F868" s="9" t="s">
        <v>63</v>
      </c>
      <c r="G868" s="9" t="s">
        <v>47</v>
      </c>
    </row>
    <row r="869" spans="2:7" x14ac:dyDescent="0.25">
      <c r="B869" s="9" t="s">
        <v>1773</v>
      </c>
      <c r="C869" s="9" t="s">
        <v>24</v>
      </c>
      <c r="D869" s="9">
        <v>63000</v>
      </c>
      <c r="E869" s="9" t="s">
        <v>2579</v>
      </c>
      <c r="F869" s="9" t="s">
        <v>63</v>
      </c>
      <c r="G869" s="9" t="s">
        <v>61</v>
      </c>
    </row>
    <row r="870" spans="2:7" x14ac:dyDescent="0.25">
      <c r="B870" s="9" t="s">
        <v>1774</v>
      </c>
      <c r="C870" s="9" t="s">
        <v>16</v>
      </c>
      <c r="D870" s="9">
        <v>212000</v>
      </c>
      <c r="E870" s="9" t="s">
        <v>2580</v>
      </c>
      <c r="F870" s="9" t="s">
        <v>67</v>
      </c>
      <c r="G870" s="9" t="s">
        <v>51</v>
      </c>
    </row>
    <row r="871" spans="2:7" x14ac:dyDescent="0.25">
      <c r="B871" s="9" t="s">
        <v>1776</v>
      </c>
      <c r="C871" s="9" t="s">
        <v>14</v>
      </c>
      <c r="D871" s="9">
        <v>37000</v>
      </c>
      <c r="E871" s="9" t="s">
        <v>2581</v>
      </c>
      <c r="F871" s="9" t="s">
        <v>64</v>
      </c>
      <c r="G871" s="9" t="s">
        <v>58</v>
      </c>
    </row>
    <row r="872" spans="2:7" x14ac:dyDescent="0.25">
      <c r="B872" s="9" t="s">
        <v>1778</v>
      </c>
      <c r="C872" s="9" t="s">
        <v>18</v>
      </c>
      <c r="D872" s="9">
        <v>53000</v>
      </c>
      <c r="E872" s="9" t="s">
        <v>2582</v>
      </c>
      <c r="F872" s="9" t="s">
        <v>64</v>
      </c>
      <c r="G872" s="9" t="s">
        <v>49</v>
      </c>
    </row>
    <row r="873" spans="2:7" x14ac:dyDescent="0.25">
      <c r="B873" s="9" t="s">
        <v>1780</v>
      </c>
      <c r="C873" s="9" t="s">
        <v>20</v>
      </c>
      <c r="D873" s="9">
        <v>32000</v>
      </c>
      <c r="E873" s="9" t="s">
        <v>2582</v>
      </c>
      <c r="F873" s="9" t="s">
        <v>63</v>
      </c>
      <c r="G873" s="9" t="s">
        <v>47</v>
      </c>
    </row>
    <row r="874" spans="2:7" x14ac:dyDescent="0.25">
      <c r="B874" s="9" t="s">
        <v>1781</v>
      </c>
      <c r="C874" s="9" t="s">
        <v>20</v>
      </c>
      <c r="D874" s="9">
        <v>109000</v>
      </c>
      <c r="E874" s="9" t="s">
        <v>2583</v>
      </c>
      <c r="F874" s="9" t="s">
        <v>67</v>
      </c>
      <c r="G874" s="9" t="s">
        <v>58</v>
      </c>
    </row>
    <row r="875" spans="2:7" x14ac:dyDescent="0.25">
      <c r="B875" s="9" t="s">
        <v>1783</v>
      </c>
      <c r="C875" s="9" t="s">
        <v>22</v>
      </c>
      <c r="D875" s="9">
        <v>292000</v>
      </c>
      <c r="E875" s="9" t="s">
        <v>2583</v>
      </c>
      <c r="F875" s="9" t="s">
        <v>65</v>
      </c>
      <c r="G875" s="9" t="s">
        <v>51</v>
      </c>
    </row>
    <row r="876" spans="2:7" x14ac:dyDescent="0.25">
      <c r="B876" s="9" t="s">
        <v>1784</v>
      </c>
      <c r="C876" s="9" t="s">
        <v>22</v>
      </c>
      <c r="D876" s="9">
        <v>202000</v>
      </c>
      <c r="E876" s="9" t="s">
        <v>2583</v>
      </c>
      <c r="F876" s="9" t="s">
        <v>66</v>
      </c>
      <c r="G876" s="9" t="s">
        <v>55</v>
      </c>
    </row>
    <row r="877" spans="2:7" x14ac:dyDescent="0.25">
      <c r="B877" s="9" t="s">
        <v>1785</v>
      </c>
      <c r="C877" s="9" t="s">
        <v>14</v>
      </c>
      <c r="D877" s="9">
        <v>101000</v>
      </c>
      <c r="E877" s="9" t="s">
        <v>2584</v>
      </c>
      <c r="F877" s="9" t="s">
        <v>64</v>
      </c>
      <c r="G877" s="9" t="s">
        <v>51</v>
      </c>
    </row>
    <row r="878" spans="2:7" x14ac:dyDescent="0.25">
      <c r="B878" s="9" t="s">
        <v>1787</v>
      </c>
      <c r="C878" s="9" t="s">
        <v>18</v>
      </c>
      <c r="D878" s="9">
        <v>114000</v>
      </c>
      <c r="E878" s="9" t="s">
        <v>2585</v>
      </c>
      <c r="F878" s="9" t="s">
        <v>62</v>
      </c>
      <c r="G878" s="9" t="s">
        <v>61</v>
      </c>
    </row>
    <row r="879" spans="2:7" x14ac:dyDescent="0.25">
      <c r="B879" s="9" t="s">
        <v>1789</v>
      </c>
      <c r="C879" s="9" t="s">
        <v>22</v>
      </c>
      <c r="D879" s="9">
        <v>205000</v>
      </c>
      <c r="E879" s="9" t="s">
        <v>2586</v>
      </c>
      <c r="F879" s="9" t="s">
        <v>62</v>
      </c>
      <c r="G879" s="9" t="s">
        <v>47</v>
      </c>
    </row>
    <row r="880" spans="2:7" x14ac:dyDescent="0.25">
      <c r="B880" s="9" t="s">
        <v>1791</v>
      </c>
      <c r="C880" s="9" t="s">
        <v>12</v>
      </c>
      <c r="D880" s="9">
        <v>279000</v>
      </c>
      <c r="E880" s="9" t="s">
        <v>2587</v>
      </c>
      <c r="F880" s="9" t="s">
        <v>66</v>
      </c>
      <c r="G880" s="9" t="s">
        <v>49</v>
      </c>
    </row>
    <row r="881" spans="2:7" x14ac:dyDescent="0.25">
      <c r="B881" s="9" t="s">
        <v>1793</v>
      </c>
      <c r="C881" s="9" t="s">
        <v>20</v>
      </c>
      <c r="D881" s="9">
        <v>231000</v>
      </c>
      <c r="E881" s="9" t="s">
        <v>2588</v>
      </c>
      <c r="F881" s="9" t="s">
        <v>62</v>
      </c>
      <c r="G881" s="9" t="s">
        <v>47</v>
      </c>
    </row>
    <row r="882" spans="2:7" x14ac:dyDescent="0.25">
      <c r="B882" s="9" t="s">
        <v>1795</v>
      </c>
      <c r="C882" s="9" t="s">
        <v>14</v>
      </c>
      <c r="D882" s="9">
        <v>299000</v>
      </c>
      <c r="E882" s="9" t="s">
        <v>2588</v>
      </c>
      <c r="F882" s="9" t="s">
        <v>63</v>
      </c>
      <c r="G882" s="9" t="s">
        <v>61</v>
      </c>
    </row>
    <row r="883" spans="2:7" x14ac:dyDescent="0.25">
      <c r="B883" s="9" t="s">
        <v>1796</v>
      </c>
      <c r="C883" s="9" t="s">
        <v>22</v>
      </c>
      <c r="D883" s="9">
        <v>290000</v>
      </c>
      <c r="E883" s="9" t="s">
        <v>2588</v>
      </c>
      <c r="F883" s="9" t="s">
        <v>66</v>
      </c>
      <c r="G883" s="9" t="s">
        <v>58</v>
      </c>
    </row>
    <row r="884" spans="2:7" x14ac:dyDescent="0.25">
      <c r="B884" s="9" t="s">
        <v>1797</v>
      </c>
      <c r="C884" s="9" t="s">
        <v>22</v>
      </c>
      <c r="D884" s="9">
        <v>36000</v>
      </c>
      <c r="E884" s="9" t="s">
        <v>2589</v>
      </c>
      <c r="F884" s="9" t="s">
        <v>62</v>
      </c>
      <c r="G884" s="9" t="s">
        <v>55</v>
      </c>
    </row>
    <row r="885" spans="2:7" x14ac:dyDescent="0.25">
      <c r="B885" s="9" t="s">
        <v>1799</v>
      </c>
      <c r="C885" s="9" t="s">
        <v>20</v>
      </c>
      <c r="D885" s="9">
        <v>185000</v>
      </c>
      <c r="E885" s="9" t="s">
        <v>2589</v>
      </c>
      <c r="F885" s="9" t="s">
        <v>63</v>
      </c>
      <c r="G885" s="9" t="s">
        <v>47</v>
      </c>
    </row>
    <row r="886" spans="2:7" x14ac:dyDescent="0.25">
      <c r="B886" s="9" t="s">
        <v>1800</v>
      </c>
      <c r="C886" s="9" t="s">
        <v>12</v>
      </c>
      <c r="D886" s="9">
        <v>227000</v>
      </c>
      <c r="E886" s="9" t="s">
        <v>2590</v>
      </c>
      <c r="F886" s="9" t="s">
        <v>67</v>
      </c>
      <c r="G886" s="9" t="s">
        <v>55</v>
      </c>
    </row>
    <row r="887" spans="2:7" x14ac:dyDescent="0.25">
      <c r="B887" s="9" t="s">
        <v>1802</v>
      </c>
      <c r="C887" s="9" t="s">
        <v>20</v>
      </c>
      <c r="D887" s="9">
        <v>237000</v>
      </c>
      <c r="E887" s="9" t="s">
        <v>2590</v>
      </c>
      <c r="F887" s="9" t="s">
        <v>62</v>
      </c>
      <c r="G887" s="9" t="s">
        <v>53</v>
      </c>
    </row>
    <row r="888" spans="2:7" x14ac:dyDescent="0.25">
      <c r="B888" s="9" t="s">
        <v>1803</v>
      </c>
      <c r="C888" s="9" t="s">
        <v>22</v>
      </c>
      <c r="D888" s="9">
        <v>119000</v>
      </c>
      <c r="E888" s="9" t="s">
        <v>2590</v>
      </c>
      <c r="F888" s="9" t="s">
        <v>64</v>
      </c>
      <c r="G888" s="9" t="s">
        <v>53</v>
      </c>
    </row>
    <row r="889" spans="2:7" x14ac:dyDescent="0.25">
      <c r="B889" s="9" t="s">
        <v>1804</v>
      </c>
      <c r="C889" s="9" t="s">
        <v>24</v>
      </c>
      <c r="D889" s="9">
        <v>220000</v>
      </c>
      <c r="E889" s="9" t="s">
        <v>2591</v>
      </c>
      <c r="F889" s="9" t="s">
        <v>67</v>
      </c>
      <c r="G889" s="9" t="s">
        <v>55</v>
      </c>
    </row>
    <row r="890" spans="2:7" x14ac:dyDescent="0.25">
      <c r="B890" s="9" t="s">
        <v>1806</v>
      </c>
      <c r="C890" s="9" t="s">
        <v>12</v>
      </c>
      <c r="D890" s="9">
        <v>207000</v>
      </c>
      <c r="E890" s="9" t="s">
        <v>2592</v>
      </c>
      <c r="F890" s="9" t="s">
        <v>64</v>
      </c>
      <c r="G890" s="9" t="s">
        <v>55</v>
      </c>
    </row>
    <row r="891" spans="2:7" x14ac:dyDescent="0.25">
      <c r="B891" s="9" t="s">
        <v>1808</v>
      </c>
      <c r="C891" s="9" t="s">
        <v>22</v>
      </c>
      <c r="D891" s="9">
        <v>109000</v>
      </c>
      <c r="E891" s="9" t="s">
        <v>2592</v>
      </c>
      <c r="F891" s="9" t="s">
        <v>67</v>
      </c>
      <c r="G891" s="9" t="s">
        <v>43</v>
      </c>
    </row>
    <row r="892" spans="2:7" x14ac:dyDescent="0.25">
      <c r="B892" s="9" t="s">
        <v>1809</v>
      </c>
      <c r="C892" s="9" t="s">
        <v>12</v>
      </c>
      <c r="D892" s="9">
        <v>79000</v>
      </c>
      <c r="E892" s="9" t="s">
        <v>2593</v>
      </c>
      <c r="F892" s="9" t="s">
        <v>65</v>
      </c>
      <c r="G892" s="9" t="s">
        <v>45</v>
      </c>
    </row>
    <row r="893" spans="2:7" x14ac:dyDescent="0.25">
      <c r="B893" s="9" t="s">
        <v>1811</v>
      </c>
      <c r="C893" s="9" t="s">
        <v>14</v>
      </c>
      <c r="D893" s="9">
        <v>49000</v>
      </c>
      <c r="E893" s="9" t="s">
        <v>2593</v>
      </c>
      <c r="F893" s="9" t="s">
        <v>66</v>
      </c>
      <c r="G893" s="9" t="s">
        <v>49</v>
      </c>
    </row>
    <row r="894" spans="2:7" x14ac:dyDescent="0.25">
      <c r="B894" s="9" t="s">
        <v>1812</v>
      </c>
      <c r="C894" s="9" t="s">
        <v>20</v>
      </c>
      <c r="D894" s="9">
        <v>139000</v>
      </c>
      <c r="E894" s="9" t="s">
        <v>2593</v>
      </c>
      <c r="F894" s="9" t="s">
        <v>64</v>
      </c>
      <c r="G894" s="9" t="s">
        <v>53</v>
      </c>
    </row>
    <row r="895" spans="2:7" x14ac:dyDescent="0.25">
      <c r="B895" s="9" t="s">
        <v>1813</v>
      </c>
      <c r="C895" s="9" t="s">
        <v>20</v>
      </c>
      <c r="D895" s="9">
        <v>241000</v>
      </c>
      <c r="E895" s="9" t="s">
        <v>2594</v>
      </c>
      <c r="F895" s="9" t="s">
        <v>63</v>
      </c>
      <c r="G895" s="9" t="s">
        <v>43</v>
      </c>
    </row>
    <row r="896" spans="2:7" x14ac:dyDescent="0.25">
      <c r="B896" s="9" t="s">
        <v>1815</v>
      </c>
      <c r="C896" s="9" t="s">
        <v>18</v>
      </c>
      <c r="D896" s="9">
        <v>68000</v>
      </c>
      <c r="E896" s="9" t="s">
        <v>2594</v>
      </c>
      <c r="F896" s="9" t="s">
        <v>62</v>
      </c>
      <c r="G896" s="9" t="s">
        <v>49</v>
      </c>
    </row>
    <row r="897" spans="2:7" x14ac:dyDescent="0.25">
      <c r="B897" s="9" t="s">
        <v>1816</v>
      </c>
      <c r="C897" s="9" t="s">
        <v>20</v>
      </c>
      <c r="D897" s="9">
        <v>193000</v>
      </c>
      <c r="E897" s="9" t="s">
        <v>2594</v>
      </c>
      <c r="F897" s="9" t="s">
        <v>65</v>
      </c>
      <c r="G897" s="9" t="s">
        <v>51</v>
      </c>
    </row>
    <row r="898" spans="2:7" x14ac:dyDescent="0.25">
      <c r="B898" s="9" t="s">
        <v>1817</v>
      </c>
      <c r="C898" s="9" t="s">
        <v>12</v>
      </c>
      <c r="D898" s="9">
        <v>96000</v>
      </c>
      <c r="E898" s="9" t="s">
        <v>2595</v>
      </c>
      <c r="F898" s="9" t="s">
        <v>66</v>
      </c>
      <c r="G898" s="9" t="s">
        <v>47</v>
      </c>
    </row>
    <row r="899" spans="2:7" x14ac:dyDescent="0.25">
      <c r="B899" s="9" t="s">
        <v>1819</v>
      </c>
      <c r="C899" s="9" t="s">
        <v>18</v>
      </c>
      <c r="D899" s="9">
        <v>252000</v>
      </c>
      <c r="E899" s="9" t="s">
        <v>2595</v>
      </c>
      <c r="F899" s="9" t="s">
        <v>66</v>
      </c>
      <c r="G899" s="9" t="s">
        <v>53</v>
      </c>
    </row>
    <row r="900" spans="2:7" x14ac:dyDescent="0.25">
      <c r="B900" s="9" t="s">
        <v>1820</v>
      </c>
      <c r="C900" s="9" t="s">
        <v>18</v>
      </c>
      <c r="D900" s="9">
        <v>108000</v>
      </c>
      <c r="E900" s="9" t="s">
        <v>2595</v>
      </c>
      <c r="F900" s="9" t="s">
        <v>64</v>
      </c>
      <c r="G900" s="9" t="s">
        <v>51</v>
      </c>
    </row>
    <row r="901" spans="2:7" x14ac:dyDescent="0.25">
      <c r="B901" s="9" t="s">
        <v>1821</v>
      </c>
      <c r="C901" s="9" t="s">
        <v>16</v>
      </c>
      <c r="D901" s="9">
        <v>274000</v>
      </c>
      <c r="E901" s="9" t="s">
        <v>2596</v>
      </c>
      <c r="F901" s="9" t="s">
        <v>62</v>
      </c>
      <c r="G901" s="9" t="s">
        <v>58</v>
      </c>
    </row>
    <row r="902" spans="2:7" x14ac:dyDescent="0.25">
      <c r="B902" s="9" t="s">
        <v>1823</v>
      </c>
      <c r="C902" s="9" t="s">
        <v>12</v>
      </c>
      <c r="D902" s="9">
        <v>184000</v>
      </c>
      <c r="E902" s="9" t="s">
        <v>2597</v>
      </c>
      <c r="F902" s="9" t="s">
        <v>65</v>
      </c>
      <c r="G902" s="9" t="s">
        <v>58</v>
      </c>
    </row>
    <row r="903" spans="2:7" x14ac:dyDescent="0.25">
      <c r="B903" s="9" t="s">
        <v>1825</v>
      </c>
      <c r="C903" s="9" t="s">
        <v>12</v>
      </c>
      <c r="D903" s="9">
        <v>193000</v>
      </c>
      <c r="E903" s="9" t="s">
        <v>2597</v>
      </c>
      <c r="F903" s="9" t="s">
        <v>62</v>
      </c>
      <c r="G903" s="9" t="s">
        <v>61</v>
      </c>
    </row>
    <row r="904" spans="2:7" x14ac:dyDescent="0.25">
      <c r="B904" s="9" t="s">
        <v>1826</v>
      </c>
      <c r="C904" s="9" t="s">
        <v>18</v>
      </c>
      <c r="D904" s="9">
        <v>240000</v>
      </c>
      <c r="E904" s="9" t="s">
        <v>2598</v>
      </c>
      <c r="F904" s="9" t="s">
        <v>66</v>
      </c>
      <c r="G904" s="9" t="s">
        <v>53</v>
      </c>
    </row>
    <row r="905" spans="2:7" x14ac:dyDescent="0.25">
      <c r="B905" s="9" t="s">
        <v>1828</v>
      </c>
      <c r="C905" s="9" t="s">
        <v>14</v>
      </c>
      <c r="D905" s="9">
        <v>213000</v>
      </c>
      <c r="E905" s="9" t="s">
        <v>2599</v>
      </c>
      <c r="F905" s="9" t="s">
        <v>63</v>
      </c>
      <c r="G905" s="9" t="s">
        <v>58</v>
      </c>
    </row>
    <row r="906" spans="2:7" x14ac:dyDescent="0.25">
      <c r="B906" s="9" t="s">
        <v>1830</v>
      </c>
      <c r="C906" s="9" t="s">
        <v>14</v>
      </c>
      <c r="D906" s="9">
        <v>237000</v>
      </c>
      <c r="E906" s="9" t="s">
        <v>2600</v>
      </c>
      <c r="F906" s="9" t="s">
        <v>66</v>
      </c>
      <c r="G906" s="9" t="s">
        <v>55</v>
      </c>
    </row>
    <row r="907" spans="2:7" x14ac:dyDescent="0.25">
      <c r="B907" s="9" t="s">
        <v>1832</v>
      </c>
      <c r="C907" s="9" t="s">
        <v>18</v>
      </c>
      <c r="D907" s="9">
        <v>189000</v>
      </c>
      <c r="E907" s="9" t="s">
        <v>2601</v>
      </c>
      <c r="F907" s="9" t="s">
        <v>65</v>
      </c>
      <c r="G907" s="9" t="s">
        <v>45</v>
      </c>
    </row>
    <row r="908" spans="2:7" x14ac:dyDescent="0.25">
      <c r="B908" s="9" t="s">
        <v>1834</v>
      </c>
      <c r="C908" s="9" t="s">
        <v>16</v>
      </c>
      <c r="D908" s="9">
        <v>232000</v>
      </c>
      <c r="E908" s="9" t="s">
        <v>2602</v>
      </c>
      <c r="F908" s="9" t="s">
        <v>64</v>
      </c>
      <c r="G908" s="9" t="s">
        <v>58</v>
      </c>
    </row>
    <row r="909" spans="2:7" x14ac:dyDescent="0.25">
      <c r="B909" s="9" t="s">
        <v>1836</v>
      </c>
      <c r="C909" s="9" t="s">
        <v>16</v>
      </c>
      <c r="D909" s="9">
        <v>82000</v>
      </c>
      <c r="E909" s="9" t="s">
        <v>2602</v>
      </c>
      <c r="F909" s="9" t="s">
        <v>67</v>
      </c>
      <c r="G909" s="9" t="s">
        <v>58</v>
      </c>
    </row>
    <row r="910" spans="2:7" x14ac:dyDescent="0.25">
      <c r="B910" s="9" t="s">
        <v>1837</v>
      </c>
      <c r="C910" s="9" t="s">
        <v>24</v>
      </c>
      <c r="D910" s="9">
        <v>300000</v>
      </c>
      <c r="E910" s="9" t="s">
        <v>2602</v>
      </c>
      <c r="F910" s="9" t="s">
        <v>64</v>
      </c>
      <c r="G910" s="9" t="s">
        <v>45</v>
      </c>
    </row>
    <row r="911" spans="2:7" x14ac:dyDescent="0.25">
      <c r="B911" s="9" t="s">
        <v>1838</v>
      </c>
      <c r="C911" s="9" t="s">
        <v>16</v>
      </c>
      <c r="D911" s="9">
        <v>73000</v>
      </c>
      <c r="E911" s="9" t="s">
        <v>2602</v>
      </c>
      <c r="F911" s="9" t="s">
        <v>62</v>
      </c>
      <c r="G911" s="9" t="s">
        <v>45</v>
      </c>
    </row>
    <row r="912" spans="2:7" x14ac:dyDescent="0.25">
      <c r="B912" s="9" t="s">
        <v>1839</v>
      </c>
      <c r="C912" s="9" t="s">
        <v>16</v>
      </c>
      <c r="D912" s="9">
        <v>175000</v>
      </c>
      <c r="E912" s="9" t="s">
        <v>2603</v>
      </c>
      <c r="F912" s="9" t="s">
        <v>63</v>
      </c>
      <c r="G912" s="9" t="s">
        <v>45</v>
      </c>
    </row>
    <row r="913" spans="2:7" x14ac:dyDescent="0.25">
      <c r="B913" s="9" t="s">
        <v>1841</v>
      </c>
      <c r="C913" s="9" t="s">
        <v>20</v>
      </c>
      <c r="D913" s="9">
        <v>223000</v>
      </c>
      <c r="E913" s="9" t="s">
        <v>2604</v>
      </c>
      <c r="F913" s="9" t="s">
        <v>65</v>
      </c>
      <c r="G913" s="9" t="s">
        <v>58</v>
      </c>
    </row>
    <row r="914" spans="2:7" x14ac:dyDescent="0.25">
      <c r="B914" s="9" t="s">
        <v>1843</v>
      </c>
      <c r="C914" s="9" t="s">
        <v>18</v>
      </c>
      <c r="D914" s="9">
        <v>81000</v>
      </c>
      <c r="E914" s="9" t="s">
        <v>2605</v>
      </c>
      <c r="F914" s="9" t="s">
        <v>62</v>
      </c>
      <c r="G914" s="9" t="s">
        <v>47</v>
      </c>
    </row>
    <row r="915" spans="2:7" x14ac:dyDescent="0.25">
      <c r="B915" s="9" t="s">
        <v>1845</v>
      </c>
      <c r="C915" s="9" t="s">
        <v>16</v>
      </c>
      <c r="D915" s="9">
        <v>277000</v>
      </c>
      <c r="E915" s="9" t="s">
        <v>2606</v>
      </c>
      <c r="F915" s="9" t="s">
        <v>64</v>
      </c>
      <c r="G915" s="9" t="s">
        <v>53</v>
      </c>
    </row>
    <row r="916" spans="2:7" x14ac:dyDescent="0.25">
      <c r="B916" s="9" t="s">
        <v>1847</v>
      </c>
      <c r="C916" s="9" t="s">
        <v>14</v>
      </c>
      <c r="D916" s="9">
        <v>277000</v>
      </c>
      <c r="E916" s="9" t="s">
        <v>2607</v>
      </c>
      <c r="F916" s="9" t="s">
        <v>65</v>
      </c>
      <c r="G916" s="9" t="s">
        <v>55</v>
      </c>
    </row>
    <row r="917" spans="2:7" x14ac:dyDescent="0.25">
      <c r="B917" s="9" t="s">
        <v>1849</v>
      </c>
      <c r="C917" s="9" t="s">
        <v>14</v>
      </c>
      <c r="D917" s="9">
        <v>90000</v>
      </c>
      <c r="E917" s="9" t="s">
        <v>2607</v>
      </c>
      <c r="F917" s="9" t="s">
        <v>66</v>
      </c>
      <c r="G917" s="9" t="s">
        <v>45</v>
      </c>
    </row>
    <row r="918" spans="2:7" x14ac:dyDescent="0.25">
      <c r="B918" s="9" t="s">
        <v>1850</v>
      </c>
      <c r="C918" s="9" t="s">
        <v>24</v>
      </c>
      <c r="D918" s="9">
        <v>38000</v>
      </c>
      <c r="E918" s="9" t="s">
        <v>2607</v>
      </c>
      <c r="F918" s="9" t="s">
        <v>65</v>
      </c>
      <c r="G918" s="9" t="s">
        <v>53</v>
      </c>
    </row>
    <row r="919" spans="2:7" x14ac:dyDescent="0.25">
      <c r="B919" s="9" t="s">
        <v>1851</v>
      </c>
      <c r="C919" s="9" t="s">
        <v>14</v>
      </c>
      <c r="D919" s="9">
        <v>292000</v>
      </c>
      <c r="E919" s="9" t="s">
        <v>2608</v>
      </c>
      <c r="F919" s="9" t="s">
        <v>67</v>
      </c>
      <c r="G919" s="9" t="s">
        <v>43</v>
      </c>
    </row>
    <row r="920" spans="2:7" x14ac:dyDescent="0.25">
      <c r="B920" s="9" t="s">
        <v>1853</v>
      </c>
      <c r="C920" s="9" t="s">
        <v>20</v>
      </c>
      <c r="D920" s="9">
        <v>88000</v>
      </c>
      <c r="E920" s="9" t="s">
        <v>2609</v>
      </c>
      <c r="F920" s="9" t="s">
        <v>67</v>
      </c>
      <c r="G920" s="9" t="s">
        <v>53</v>
      </c>
    </row>
    <row r="921" spans="2:7" x14ac:dyDescent="0.25">
      <c r="B921" s="9" t="s">
        <v>1855</v>
      </c>
      <c r="C921" s="9" t="s">
        <v>18</v>
      </c>
      <c r="D921" s="9">
        <v>292000</v>
      </c>
      <c r="E921" s="9" t="s">
        <v>2610</v>
      </c>
      <c r="F921" s="9" t="s">
        <v>62</v>
      </c>
      <c r="G921" s="9" t="s">
        <v>53</v>
      </c>
    </row>
    <row r="922" spans="2:7" x14ac:dyDescent="0.25">
      <c r="B922" s="9" t="s">
        <v>1857</v>
      </c>
      <c r="C922" s="9" t="s">
        <v>16</v>
      </c>
      <c r="D922" s="9">
        <v>69000</v>
      </c>
      <c r="E922" s="9" t="s">
        <v>2610</v>
      </c>
      <c r="F922" s="9" t="s">
        <v>63</v>
      </c>
      <c r="G922" s="9" t="s">
        <v>45</v>
      </c>
    </row>
    <row r="923" spans="2:7" x14ac:dyDescent="0.25">
      <c r="B923" s="9" t="s">
        <v>1858</v>
      </c>
      <c r="C923" s="9" t="s">
        <v>18</v>
      </c>
      <c r="D923" s="9">
        <v>83000</v>
      </c>
      <c r="E923" s="9" t="s">
        <v>2611</v>
      </c>
      <c r="F923" s="9" t="s">
        <v>66</v>
      </c>
      <c r="G923" s="9" t="s">
        <v>43</v>
      </c>
    </row>
    <row r="924" spans="2:7" x14ac:dyDescent="0.25">
      <c r="B924" s="9" t="s">
        <v>1860</v>
      </c>
      <c r="C924" s="9" t="s">
        <v>22</v>
      </c>
      <c r="D924" s="9">
        <v>42000</v>
      </c>
      <c r="E924" s="9" t="s">
        <v>2612</v>
      </c>
      <c r="F924" s="9" t="s">
        <v>64</v>
      </c>
      <c r="G924" s="9" t="s">
        <v>55</v>
      </c>
    </row>
    <row r="925" spans="2:7" x14ac:dyDescent="0.25">
      <c r="B925" s="9" t="s">
        <v>1862</v>
      </c>
      <c r="C925" s="9" t="s">
        <v>14</v>
      </c>
      <c r="D925" s="9">
        <v>144000</v>
      </c>
      <c r="E925" s="9" t="s">
        <v>2613</v>
      </c>
      <c r="F925" s="9" t="s">
        <v>67</v>
      </c>
      <c r="G925" s="9" t="s">
        <v>53</v>
      </c>
    </row>
    <row r="926" spans="2:7" x14ac:dyDescent="0.25">
      <c r="B926" s="9" t="s">
        <v>1864</v>
      </c>
      <c r="C926" s="9" t="s">
        <v>16</v>
      </c>
      <c r="D926" s="9">
        <v>88000</v>
      </c>
      <c r="E926" s="9" t="s">
        <v>2614</v>
      </c>
      <c r="F926" s="9" t="s">
        <v>63</v>
      </c>
      <c r="G926" s="9" t="s">
        <v>58</v>
      </c>
    </row>
    <row r="927" spans="2:7" x14ac:dyDescent="0.25">
      <c r="B927" s="9" t="s">
        <v>1866</v>
      </c>
      <c r="C927" s="9" t="s">
        <v>20</v>
      </c>
      <c r="D927" s="9">
        <v>217000</v>
      </c>
      <c r="E927" s="9" t="s">
        <v>2614</v>
      </c>
      <c r="F927" s="9" t="s">
        <v>63</v>
      </c>
      <c r="G927" s="9" t="s">
        <v>43</v>
      </c>
    </row>
    <row r="928" spans="2:7" x14ac:dyDescent="0.25">
      <c r="B928" s="9" t="s">
        <v>1867</v>
      </c>
      <c r="C928" s="9" t="s">
        <v>22</v>
      </c>
      <c r="D928" s="9">
        <v>30000</v>
      </c>
      <c r="E928" s="9" t="s">
        <v>2615</v>
      </c>
      <c r="F928" s="9" t="s">
        <v>65</v>
      </c>
      <c r="G928" s="9" t="s">
        <v>58</v>
      </c>
    </row>
    <row r="929" spans="2:7" x14ac:dyDescent="0.25">
      <c r="B929" s="9" t="s">
        <v>1869</v>
      </c>
      <c r="C929" s="9" t="s">
        <v>16</v>
      </c>
      <c r="D929" s="9">
        <v>143000</v>
      </c>
      <c r="E929" s="9" t="s">
        <v>2616</v>
      </c>
      <c r="F929" s="9" t="s">
        <v>64</v>
      </c>
      <c r="G929" s="9" t="s">
        <v>53</v>
      </c>
    </row>
    <row r="930" spans="2:7" x14ac:dyDescent="0.25">
      <c r="B930" s="9" t="s">
        <v>1872</v>
      </c>
      <c r="C930" s="9" t="s">
        <v>22</v>
      </c>
      <c r="D930" s="9">
        <v>163000</v>
      </c>
      <c r="E930" s="9" t="s">
        <v>2617</v>
      </c>
      <c r="F930" s="9" t="s">
        <v>64</v>
      </c>
      <c r="G930" s="9" t="s">
        <v>43</v>
      </c>
    </row>
    <row r="931" spans="2:7" x14ac:dyDescent="0.25">
      <c r="B931" s="9" t="s">
        <v>1874</v>
      </c>
      <c r="C931" s="9" t="s">
        <v>18</v>
      </c>
      <c r="D931" s="9">
        <v>124000</v>
      </c>
      <c r="E931" s="9" t="s">
        <v>2618</v>
      </c>
      <c r="F931" s="9" t="s">
        <v>66</v>
      </c>
      <c r="G931" s="9" t="s">
        <v>53</v>
      </c>
    </row>
    <row r="932" spans="2:7" x14ac:dyDescent="0.25">
      <c r="B932" s="9" t="s">
        <v>1876</v>
      </c>
      <c r="C932" s="9" t="s">
        <v>14</v>
      </c>
      <c r="D932" s="9">
        <v>184000</v>
      </c>
      <c r="E932" s="9" t="s">
        <v>2619</v>
      </c>
      <c r="F932" s="9" t="s">
        <v>67</v>
      </c>
      <c r="G932" s="9" t="s">
        <v>61</v>
      </c>
    </row>
    <row r="933" spans="2:7" x14ac:dyDescent="0.25">
      <c r="B933" s="9" t="s">
        <v>1878</v>
      </c>
      <c r="C933" s="9" t="s">
        <v>20</v>
      </c>
      <c r="D933" s="9">
        <v>111000</v>
      </c>
      <c r="E933" s="9" t="s">
        <v>2620</v>
      </c>
      <c r="F933" s="9" t="s">
        <v>66</v>
      </c>
      <c r="G933" s="9" t="s">
        <v>45</v>
      </c>
    </row>
    <row r="934" spans="2:7" x14ac:dyDescent="0.25">
      <c r="B934" s="9" t="s">
        <v>1880</v>
      </c>
      <c r="C934" s="9" t="s">
        <v>14</v>
      </c>
      <c r="D934" s="9">
        <v>297000</v>
      </c>
      <c r="E934" s="9" t="s">
        <v>2621</v>
      </c>
      <c r="F934" s="9" t="s">
        <v>64</v>
      </c>
      <c r="G934" s="9" t="s">
        <v>53</v>
      </c>
    </row>
    <row r="935" spans="2:7" x14ac:dyDescent="0.25">
      <c r="B935" s="9" t="s">
        <v>1882</v>
      </c>
      <c r="C935" s="9" t="s">
        <v>24</v>
      </c>
      <c r="D935" s="9">
        <v>139000</v>
      </c>
      <c r="E935" s="9" t="s">
        <v>2622</v>
      </c>
      <c r="F935" s="9" t="s">
        <v>64</v>
      </c>
      <c r="G935" s="9" t="s">
        <v>51</v>
      </c>
    </row>
    <row r="936" spans="2:7" x14ac:dyDescent="0.25">
      <c r="B936" s="9" t="s">
        <v>1884</v>
      </c>
      <c r="C936" s="9" t="s">
        <v>14</v>
      </c>
      <c r="D936" s="9">
        <v>252000</v>
      </c>
      <c r="E936" s="9" t="s">
        <v>2622</v>
      </c>
      <c r="F936" s="9" t="s">
        <v>62</v>
      </c>
      <c r="G936" s="9" t="s">
        <v>49</v>
      </c>
    </row>
    <row r="937" spans="2:7" x14ac:dyDescent="0.25">
      <c r="B937" s="9" t="s">
        <v>1885</v>
      </c>
      <c r="C937" s="9" t="s">
        <v>20</v>
      </c>
      <c r="D937" s="9">
        <v>69000</v>
      </c>
      <c r="E937" s="9" t="s">
        <v>2623</v>
      </c>
      <c r="F937" s="9" t="s">
        <v>64</v>
      </c>
      <c r="G937" s="9" t="s">
        <v>53</v>
      </c>
    </row>
    <row r="938" spans="2:7" x14ac:dyDescent="0.25">
      <c r="B938" s="9" t="s">
        <v>1887</v>
      </c>
      <c r="C938" s="9" t="s">
        <v>20</v>
      </c>
      <c r="D938" s="9">
        <v>64000</v>
      </c>
      <c r="E938" s="9" t="s">
        <v>2623</v>
      </c>
      <c r="F938" s="9" t="s">
        <v>65</v>
      </c>
      <c r="G938" s="9" t="s">
        <v>53</v>
      </c>
    </row>
    <row r="939" spans="2:7" x14ac:dyDescent="0.25">
      <c r="B939" s="9" t="s">
        <v>1888</v>
      </c>
      <c r="C939" s="9" t="s">
        <v>24</v>
      </c>
      <c r="D939" s="9">
        <v>86000</v>
      </c>
      <c r="E939" s="9" t="s">
        <v>2623</v>
      </c>
      <c r="F939" s="9" t="s">
        <v>66</v>
      </c>
      <c r="G939" s="9" t="s">
        <v>51</v>
      </c>
    </row>
    <row r="940" spans="2:7" x14ac:dyDescent="0.25">
      <c r="B940" s="9" t="s">
        <v>1889</v>
      </c>
      <c r="C940" s="9" t="s">
        <v>16</v>
      </c>
      <c r="D940" s="9">
        <v>113000</v>
      </c>
      <c r="E940" s="9" t="s">
        <v>2624</v>
      </c>
      <c r="F940" s="9" t="s">
        <v>63</v>
      </c>
      <c r="G940" s="9" t="s">
        <v>45</v>
      </c>
    </row>
    <row r="941" spans="2:7" x14ac:dyDescent="0.25">
      <c r="B941" s="9" t="s">
        <v>1891</v>
      </c>
      <c r="C941" s="9" t="s">
        <v>12</v>
      </c>
      <c r="D941" s="9">
        <v>257000</v>
      </c>
      <c r="E941" s="9" t="s">
        <v>2625</v>
      </c>
      <c r="F941" s="9" t="s">
        <v>62</v>
      </c>
      <c r="G941" s="9" t="s">
        <v>55</v>
      </c>
    </row>
    <row r="942" spans="2:7" x14ac:dyDescent="0.25">
      <c r="B942" s="9" t="s">
        <v>1893</v>
      </c>
      <c r="C942" s="9" t="s">
        <v>24</v>
      </c>
      <c r="D942" s="9">
        <v>200000</v>
      </c>
      <c r="E942" s="9" t="s">
        <v>2626</v>
      </c>
      <c r="F942" s="9" t="s">
        <v>62</v>
      </c>
      <c r="G942" s="9" t="s">
        <v>43</v>
      </c>
    </row>
    <row r="943" spans="2:7" x14ac:dyDescent="0.25">
      <c r="B943" s="9" t="s">
        <v>1895</v>
      </c>
      <c r="C943" s="9" t="s">
        <v>16</v>
      </c>
      <c r="D943" s="9">
        <v>71000</v>
      </c>
      <c r="E943" s="9" t="s">
        <v>2626</v>
      </c>
      <c r="F943" s="9" t="s">
        <v>63</v>
      </c>
      <c r="G943" s="9" t="s">
        <v>45</v>
      </c>
    </row>
    <row r="944" spans="2:7" x14ac:dyDescent="0.25">
      <c r="B944" s="9" t="s">
        <v>1896</v>
      </c>
      <c r="C944" s="9" t="s">
        <v>18</v>
      </c>
      <c r="D944" s="9">
        <v>32000</v>
      </c>
      <c r="E944" s="9" t="s">
        <v>2627</v>
      </c>
      <c r="F944" s="9" t="s">
        <v>65</v>
      </c>
      <c r="G944" s="9" t="s">
        <v>53</v>
      </c>
    </row>
    <row r="945" spans="2:7" x14ac:dyDescent="0.25">
      <c r="B945" s="9" t="s">
        <v>1898</v>
      </c>
      <c r="C945" s="9" t="s">
        <v>24</v>
      </c>
      <c r="D945" s="9">
        <v>154000</v>
      </c>
      <c r="E945" s="9" t="s">
        <v>2627</v>
      </c>
      <c r="F945" s="9" t="s">
        <v>63</v>
      </c>
      <c r="G945" s="9" t="s">
        <v>61</v>
      </c>
    </row>
    <row r="946" spans="2:7" x14ac:dyDescent="0.25">
      <c r="B946" s="9" t="s">
        <v>1899</v>
      </c>
      <c r="C946" s="9" t="s">
        <v>18</v>
      </c>
      <c r="D946" s="9">
        <v>106000</v>
      </c>
      <c r="E946" s="9" t="s">
        <v>2627</v>
      </c>
      <c r="F946" s="9" t="s">
        <v>63</v>
      </c>
      <c r="G946" s="9" t="s">
        <v>53</v>
      </c>
    </row>
    <row r="947" spans="2:7" x14ac:dyDescent="0.25">
      <c r="B947" s="9" t="s">
        <v>1900</v>
      </c>
      <c r="C947" s="9" t="s">
        <v>22</v>
      </c>
      <c r="D947" s="9">
        <v>298000</v>
      </c>
      <c r="E947" s="9" t="s">
        <v>2628</v>
      </c>
      <c r="F947" s="9" t="s">
        <v>65</v>
      </c>
      <c r="G947" s="9" t="s">
        <v>43</v>
      </c>
    </row>
    <row r="948" spans="2:7" x14ac:dyDescent="0.25">
      <c r="B948" s="9" t="s">
        <v>1902</v>
      </c>
      <c r="C948" s="9" t="s">
        <v>12</v>
      </c>
      <c r="D948" s="9">
        <v>72000</v>
      </c>
      <c r="E948" s="9" t="s">
        <v>2629</v>
      </c>
      <c r="F948" s="9" t="s">
        <v>66</v>
      </c>
      <c r="G948" s="9" t="s">
        <v>45</v>
      </c>
    </row>
    <row r="949" spans="2:7" x14ac:dyDescent="0.25">
      <c r="B949" s="9" t="s">
        <v>1904</v>
      </c>
      <c r="C949" s="9" t="s">
        <v>12</v>
      </c>
      <c r="D949" s="9">
        <v>98000</v>
      </c>
      <c r="E949" s="9" t="s">
        <v>2630</v>
      </c>
      <c r="F949" s="9" t="s">
        <v>62</v>
      </c>
      <c r="G949" s="9" t="s">
        <v>49</v>
      </c>
    </row>
    <row r="950" spans="2:7" x14ac:dyDescent="0.25">
      <c r="B950" s="9" t="s">
        <v>1906</v>
      </c>
      <c r="C950" s="9" t="s">
        <v>18</v>
      </c>
      <c r="D950" s="9">
        <v>41000</v>
      </c>
      <c r="E950" s="9" t="s">
        <v>2631</v>
      </c>
      <c r="F950" s="9" t="s">
        <v>66</v>
      </c>
      <c r="G950" s="9" t="s">
        <v>61</v>
      </c>
    </row>
    <row r="951" spans="2:7" x14ac:dyDescent="0.25">
      <c r="B951" s="9" t="s">
        <v>1908</v>
      </c>
      <c r="C951" s="9" t="s">
        <v>24</v>
      </c>
      <c r="D951" s="9">
        <v>260000</v>
      </c>
      <c r="E951" s="9" t="s">
        <v>2632</v>
      </c>
      <c r="F951" s="9" t="s">
        <v>66</v>
      </c>
      <c r="G951" s="9" t="s">
        <v>61</v>
      </c>
    </row>
    <row r="952" spans="2:7" x14ac:dyDescent="0.25">
      <c r="B952" s="9" t="s">
        <v>1910</v>
      </c>
      <c r="C952" s="9" t="s">
        <v>14</v>
      </c>
      <c r="D952" s="9">
        <v>230000</v>
      </c>
      <c r="E952" s="9" t="s">
        <v>2633</v>
      </c>
      <c r="F952" s="9" t="s">
        <v>65</v>
      </c>
      <c r="G952" s="9" t="s">
        <v>49</v>
      </c>
    </row>
    <row r="953" spans="2:7" x14ac:dyDescent="0.25">
      <c r="B953" s="9" t="s">
        <v>1912</v>
      </c>
      <c r="C953" s="9" t="s">
        <v>12</v>
      </c>
      <c r="D953" s="9">
        <v>95000</v>
      </c>
      <c r="E953" s="9" t="s">
        <v>2634</v>
      </c>
      <c r="F953" s="9" t="s">
        <v>63</v>
      </c>
      <c r="G953" s="9" t="s">
        <v>43</v>
      </c>
    </row>
    <row r="954" spans="2:7" x14ac:dyDescent="0.25">
      <c r="B954" s="9" t="s">
        <v>1914</v>
      </c>
      <c r="C954" s="9" t="s">
        <v>20</v>
      </c>
      <c r="D954" s="9">
        <v>285000</v>
      </c>
      <c r="E954" s="9" t="s">
        <v>2635</v>
      </c>
      <c r="F954" s="9" t="s">
        <v>62</v>
      </c>
      <c r="G954" s="9" t="s">
        <v>45</v>
      </c>
    </row>
    <row r="955" spans="2:7" x14ac:dyDescent="0.25">
      <c r="B955" s="9" t="s">
        <v>1916</v>
      </c>
      <c r="C955" s="9" t="s">
        <v>18</v>
      </c>
      <c r="D955" s="9">
        <v>115000</v>
      </c>
      <c r="E955" s="9" t="s">
        <v>2636</v>
      </c>
      <c r="F955" s="9" t="s">
        <v>65</v>
      </c>
      <c r="G955" s="9" t="s">
        <v>55</v>
      </c>
    </row>
    <row r="956" spans="2:7" x14ac:dyDescent="0.25">
      <c r="B956" s="9" t="s">
        <v>1918</v>
      </c>
      <c r="C956" s="9" t="s">
        <v>24</v>
      </c>
      <c r="D956" s="9">
        <v>232000</v>
      </c>
      <c r="E956" s="9" t="s">
        <v>2637</v>
      </c>
      <c r="F956" s="9" t="s">
        <v>65</v>
      </c>
      <c r="G956" s="9" t="s">
        <v>55</v>
      </c>
    </row>
    <row r="957" spans="2:7" x14ac:dyDescent="0.25">
      <c r="B957" s="9" t="s">
        <v>1920</v>
      </c>
      <c r="C957" s="9" t="s">
        <v>24</v>
      </c>
      <c r="D957" s="9">
        <v>279000</v>
      </c>
      <c r="E957" s="9" t="s">
        <v>2638</v>
      </c>
      <c r="F957" s="9" t="s">
        <v>65</v>
      </c>
      <c r="G957" s="9" t="s">
        <v>47</v>
      </c>
    </row>
    <row r="958" spans="2:7" x14ac:dyDescent="0.25">
      <c r="B958" s="9" t="s">
        <v>1922</v>
      </c>
      <c r="C958" s="9" t="s">
        <v>12</v>
      </c>
      <c r="D958" s="9">
        <v>275000</v>
      </c>
      <c r="E958" s="9" t="s">
        <v>2638</v>
      </c>
      <c r="F958" s="9" t="s">
        <v>64</v>
      </c>
      <c r="G958" s="9" t="s">
        <v>49</v>
      </c>
    </row>
    <row r="959" spans="2:7" x14ac:dyDescent="0.25">
      <c r="B959" s="9" t="s">
        <v>1923</v>
      </c>
      <c r="C959" s="9" t="s">
        <v>16</v>
      </c>
      <c r="D959" s="9">
        <v>181000</v>
      </c>
      <c r="E959" s="9" t="s">
        <v>2638</v>
      </c>
      <c r="F959" s="9" t="s">
        <v>64</v>
      </c>
      <c r="G959" s="9" t="s">
        <v>61</v>
      </c>
    </row>
    <row r="960" spans="2:7" x14ac:dyDescent="0.25">
      <c r="B960" s="9" t="s">
        <v>1924</v>
      </c>
      <c r="C960" s="9" t="s">
        <v>14</v>
      </c>
      <c r="D960" s="9">
        <v>257000</v>
      </c>
      <c r="E960" s="9" t="s">
        <v>2639</v>
      </c>
      <c r="F960" s="9" t="s">
        <v>67</v>
      </c>
      <c r="G960" s="9" t="s">
        <v>49</v>
      </c>
    </row>
    <row r="961" spans="2:7" x14ac:dyDescent="0.25">
      <c r="B961" s="9" t="s">
        <v>1926</v>
      </c>
      <c r="C961" s="9" t="s">
        <v>24</v>
      </c>
      <c r="D961" s="9">
        <v>178000</v>
      </c>
      <c r="E961" s="9" t="s">
        <v>2640</v>
      </c>
      <c r="F961" s="9" t="s">
        <v>65</v>
      </c>
      <c r="G961" s="9" t="s">
        <v>45</v>
      </c>
    </row>
    <row r="962" spans="2:7" x14ac:dyDescent="0.25">
      <c r="B962" s="9" t="s">
        <v>1928</v>
      </c>
      <c r="C962" s="9" t="s">
        <v>20</v>
      </c>
      <c r="D962" s="9">
        <v>271000</v>
      </c>
      <c r="E962" s="9" t="s">
        <v>2641</v>
      </c>
      <c r="F962" s="9" t="s">
        <v>63</v>
      </c>
      <c r="G962" s="9" t="s">
        <v>49</v>
      </c>
    </row>
    <row r="963" spans="2:7" x14ac:dyDescent="0.25">
      <c r="B963" s="9" t="s">
        <v>1930</v>
      </c>
      <c r="C963" s="9" t="s">
        <v>12</v>
      </c>
      <c r="D963" s="9">
        <v>299000</v>
      </c>
      <c r="E963" s="9" t="s">
        <v>2642</v>
      </c>
      <c r="F963" s="9" t="s">
        <v>66</v>
      </c>
      <c r="G963" s="9" t="s">
        <v>53</v>
      </c>
    </row>
    <row r="964" spans="2:7" x14ac:dyDescent="0.25">
      <c r="B964" s="9" t="s">
        <v>1932</v>
      </c>
      <c r="C964" s="9" t="s">
        <v>12</v>
      </c>
      <c r="D964" s="9">
        <v>110000</v>
      </c>
      <c r="E964" s="9" t="s">
        <v>2642</v>
      </c>
      <c r="F964" s="9" t="s">
        <v>63</v>
      </c>
      <c r="G964" s="9" t="s">
        <v>49</v>
      </c>
    </row>
    <row r="965" spans="2:7" x14ac:dyDescent="0.25">
      <c r="B965" s="9" t="s">
        <v>1933</v>
      </c>
      <c r="C965" s="9" t="s">
        <v>12</v>
      </c>
      <c r="D965" s="9">
        <v>276000</v>
      </c>
      <c r="E965" s="9" t="s">
        <v>2643</v>
      </c>
      <c r="F965" s="9" t="s">
        <v>65</v>
      </c>
      <c r="G965" s="9" t="s">
        <v>53</v>
      </c>
    </row>
    <row r="966" spans="2:7" x14ac:dyDescent="0.25">
      <c r="B966" s="9" t="s">
        <v>1935</v>
      </c>
      <c r="C966" s="9" t="s">
        <v>14</v>
      </c>
      <c r="D966" s="9">
        <v>268000</v>
      </c>
      <c r="E966" s="9" t="s">
        <v>2643</v>
      </c>
      <c r="F966" s="9" t="s">
        <v>66</v>
      </c>
      <c r="G966" s="9" t="s">
        <v>61</v>
      </c>
    </row>
    <row r="967" spans="2:7" x14ac:dyDescent="0.25">
      <c r="B967" s="9" t="s">
        <v>1936</v>
      </c>
      <c r="C967" s="9" t="s">
        <v>20</v>
      </c>
      <c r="D967" s="9">
        <v>210000</v>
      </c>
      <c r="E967" s="9" t="s">
        <v>2644</v>
      </c>
      <c r="F967" s="9" t="s">
        <v>62</v>
      </c>
      <c r="G967" s="9" t="s">
        <v>55</v>
      </c>
    </row>
    <row r="968" spans="2:7" x14ac:dyDescent="0.25">
      <c r="B968" s="9" t="s">
        <v>1938</v>
      </c>
      <c r="C968" s="9" t="s">
        <v>22</v>
      </c>
      <c r="D968" s="9">
        <v>169000</v>
      </c>
      <c r="E968" s="9" t="s">
        <v>2645</v>
      </c>
      <c r="F968" s="9" t="s">
        <v>67</v>
      </c>
      <c r="G968" s="9" t="s">
        <v>45</v>
      </c>
    </row>
    <row r="969" spans="2:7" x14ac:dyDescent="0.25">
      <c r="B969" s="9" t="s">
        <v>1940</v>
      </c>
      <c r="C969" s="9" t="s">
        <v>18</v>
      </c>
      <c r="D969" s="9">
        <v>284000</v>
      </c>
      <c r="E969" s="9" t="s">
        <v>2645</v>
      </c>
      <c r="F969" s="9" t="s">
        <v>66</v>
      </c>
      <c r="G969" s="9" t="s">
        <v>61</v>
      </c>
    </row>
    <row r="970" spans="2:7" x14ac:dyDescent="0.25">
      <c r="B970" s="9" t="s">
        <v>1941</v>
      </c>
      <c r="C970" s="9" t="s">
        <v>12</v>
      </c>
      <c r="D970" s="9">
        <v>160000</v>
      </c>
      <c r="E970" s="9" t="s">
        <v>2645</v>
      </c>
      <c r="F970" s="9" t="s">
        <v>63</v>
      </c>
      <c r="G970" s="9" t="s">
        <v>51</v>
      </c>
    </row>
    <row r="971" spans="2:7" x14ac:dyDescent="0.25">
      <c r="B971" s="9" t="s">
        <v>1942</v>
      </c>
      <c r="C971" s="9" t="s">
        <v>22</v>
      </c>
      <c r="D971" s="9">
        <v>288000</v>
      </c>
      <c r="E971" s="9" t="s">
        <v>2646</v>
      </c>
      <c r="F971" s="9" t="s">
        <v>67</v>
      </c>
      <c r="G971" s="9" t="s">
        <v>49</v>
      </c>
    </row>
    <row r="972" spans="2:7" x14ac:dyDescent="0.25">
      <c r="B972" s="9" t="s">
        <v>1944</v>
      </c>
      <c r="C972" s="9" t="s">
        <v>12</v>
      </c>
      <c r="D972" s="9">
        <v>92000</v>
      </c>
      <c r="E972" s="9" t="s">
        <v>2647</v>
      </c>
      <c r="F972" s="9" t="s">
        <v>63</v>
      </c>
      <c r="G972" s="9" t="s">
        <v>55</v>
      </c>
    </row>
    <row r="973" spans="2:7" x14ac:dyDescent="0.25">
      <c r="B973" s="9" t="s">
        <v>1946</v>
      </c>
      <c r="C973" s="9" t="s">
        <v>18</v>
      </c>
      <c r="D973" s="9">
        <v>61000</v>
      </c>
      <c r="E973" s="9" t="s">
        <v>2648</v>
      </c>
      <c r="F973" s="9" t="s">
        <v>62</v>
      </c>
      <c r="G973" s="9" t="s">
        <v>45</v>
      </c>
    </row>
    <row r="974" spans="2:7" x14ac:dyDescent="0.25">
      <c r="B974" s="9" t="s">
        <v>1948</v>
      </c>
      <c r="C974" s="9" t="s">
        <v>12</v>
      </c>
      <c r="D974" s="9">
        <v>137000</v>
      </c>
      <c r="E974" s="9" t="s">
        <v>2649</v>
      </c>
      <c r="F974" s="9" t="s">
        <v>63</v>
      </c>
      <c r="G974" s="9" t="s">
        <v>51</v>
      </c>
    </row>
    <row r="975" spans="2:7" x14ac:dyDescent="0.25">
      <c r="B975" s="9" t="s">
        <v>1950</v>
      </c>
      <c r="C975" s="9" t="s">
        <v>18</v>
      </c>
      <c r="D975" s="9">
        <v>263000</v>
      </c>
      <c r="E975" s="9" t="s">
        <v>2650</v>
      </c>
      <c r="F975" s="9" t="s">
        <v>62</v>
      </c>
      <c r="G975" s="9" t="s">
        <v>45</v>
      </c>
    </row>
    <row r="976" spans="2:7" x14ac:dyDescent="0.25">
      <c r="B976" s="9" t="s">
        <v>1952</v>
      </c>
      <c r="C976" s="9" t="s">
        <v>22</v>
      </c>
      <c r="D976" s="9">
        <v>234000</v>
      </c>
      <c r="E976" s="9" t="s">
        <v>2651</v>
      </c>
      <c r="F976" s="9" t="s">
        <v>67</v>
      </c>
      <c r="G976" s="9" t="s">
        <v>43</v>
      </c>
    </row>
    <row r="977" spans="2:7" x14ac:dyDescent="0.25">
      <c r="B977" s="9" t="s">
        <v>1954</v>
      </c>
      <c r="C977" s="9" t="s">
        <v>18</v>
      </c>
      <c r="D977" s="9">
        <v>270000</v>
      </c>
      <c r="E977" s="9" t="s">
        <v>2652</v>
      </c>
      <c r="F977" s="9" t="s">
        <v>62</v>
      </c>
      <c r="G977" s="9" t="s">
        <v>47</v>
      </c>
    </row>
    <row r="978" spans="2:7" x14ac:dyDescent="0.25">
      <c r="B978" s="9" t="s">
        <v>1956</v>
      </c>
      <c r="C978" s="9" t="s">
        <v>18</v>
      </c>
      <c r="D978" s="9">
        <v>114000</v>
      </c>
      <c r="E978" s="9" t="s">
        <v>2652</v>
      </c>
      <c r="F978" s="9" t="s">
        <v>67</v>
      </c>
      <c r="G978" s="9" t="s">
        <v>43</v>
      </c>
    </row>
    <row r="979" spans="2:7" x14ac:dyDescent="0.25">
      <c r="B979" s="9" t="s">
        <v>1957</v>
      </c>
      <c r="C979" s="9" t="s">
        <v>16</v>
      </c>
      <c r="D979" s="9">
        <v>224000</v>
      </c>
      <c r="E979" s="9" t="s">
        <v>2653</v>
      </c>
      <c r="F979" s="9" t="s">
        <v>67</v>
      </c>
      <c r="G979" s="9" t="s">
        <v>58</v>
      </c>
    </row>
    <row r="980" spans="2:7" x14ac:dyDescent="0.25">
      <c r="B980" s="9" t="s">
        <v>1959</v>
      </c>
      <c r="C980" s="9" t="s">
        <v>20</v>
      </c>
      <c r="D980" s="9">
        <v>207000</v>
      </c>
      <c r="E980" s="9" t="s">
        <v>2653</v>
      </c>
      <c r="F980" s="9" t="s">
        <v>63</v>
      </c>
      <c r="G980" s="9" t="s">
        <v>51</v>
      </c>
    </row>
    <row r="981" spans="2:7" x14ac:dyDescent="0.25">
      <c r="B981" s="9" t="s">
        <v>1960</v>
      </c>
      <c r="C981" s="9" t="s">
        <v>16</v>
      </c>
      <c r="D981" s="9">
        <v>137000</v>
      </c>
      <c r="E981" s="9" t="s">
        <v>2654</v>
      </c>
      <c r="F981" s="9" t="s">
        <v>65</v>
      </c>
      <c r="G981" s="9" t="s">
        <v>58</v>
      </c>
    </row>
    <row r="982" spans="2:7" x14ac:dyDescent="0.25">
      <c r="B982" s="9" t="s">
        <v>1962</v>
      </c>
      <c r="C982" s="9" t="s">
        <v>16</v>
      </c>
      <c r="D982" s="9">
        <v>257000</v>
      </c>
      <c r="E982" s="9" t="s">
        <v>2655</v>
      </c>
      <c r="F982" s="9" t="s">
        <v>64</v>
      </c>
      <c r="G982" s="9" t="s">
        <v>47</v>
      </c>
    </row>
    <row r="983" spans="2:7" x14ac:dyDescent="0.25">
      <c r="B983" s="9" t="s">
        <v>1964</v>
      </c>
      <c r="C983" s="9" t="s">
        <v>18</v>
      </c>
      <c r="D983" s="9">
        <v>46000</v>
      </c>
      <c r="E983" s="9" t="s">
        <v>2656</v>
      </c>
      <c r="F983" s="9" t="s">
        <v>62</v>
      </c>
      <c r="G983" s="9" t="s">
        <v>53</v>
      </c>
    </row>
    <row r="984" spans="2:7" x14ac:dyDescent="0.25">
      <c r="B984" s="9" t="s">
        <v>1966</v>
      </c>
      <c r="C984" s="9" t="s">
        <v>14</v>
      </c>
      <c r="D984" s="9">
        <v>155000</v>
      </c>
      <c r="E984" s="9" t="s">
        <v>2657</v>
      </c>
      <c r="F984" s="9" t="s">
        <v>67</v>
      </c>
      <c r="G984" s="9" t="s">
        <v>49</v>
      </c>
    </row>
    <row r="985" spans="2:7" x14ac:dyDescent="0.25">
      <c r="B985" s="9" t="s">
        <v>1968</v>
      </c>
      <c r="C985" s="9" t="s">
        <v>14</v>
      </c>
      <c r="D985" s="9">
        <v>121000</v>
      </c>
      <c r="E985" s="9" t="s">
        <v>2658</v>
      </c>
      <c r="F985" s="9" t="s">
        <v>62</v>
      </c>
      <c r="G985" s="9" t="s">
        <v>49</v>
      </c>
    </row>
    <row r="986" spans="2:7" x14ac:dyDescent="0.25">
      <c r="B986" s="9" t="s">
        <v>1970</v>
      </c>
      <c r="C986" s="9" t="s">
        <v>14</v>
      </c>
      <c r="D986" s="9">
        <v>283000</v>
      </c>
      <c r="E986" s="9" t="s">
        <v>2658</v>
      </c>
      <c r="F986" s="9" t="s">
        <v>65</v>
      </c>
      <c r="G986" s="9" t="s">
        <v>45</v>
      </c>
    </row>
    <row r="987" spans="2:7" x14ac:dyDescent="0.25">
      <c r="B987" s="9" t="s">
        <v>1971</v>
      </c>
      <c r="C987" s="9" t="s">
        <v>22</v>
      </c>
      <c r="D987" s="9">
        <v>289000</v>
      </c>
      <c r="E987" s="9" t="s">
        <v>2659</v>
      </c>
      <c r="F987" s="9" t="s">
        <v>65</v>
      </c>
      <c r="G987" s="9" t="s">
        <v>43</v>
      </c>
    </row>
    <row r="988" spans="2:7" x14ac:dyDescent="0.25">
      <c r="B988" s="9" t="s">
        <v>1973</v>
      </c>
      <c r="C988" s="9" t="s">
        <v>14</v>
      </c>
      <c r="D988" s="9">
        <v>120000</v>
      </c>
      <c r="E988" s="9" t="s">
        <v>2660</v>
      </c>
      <c r="F988" s="9" t="s">
        <v>65</v>
      </c>
      <c r="G988" s="9" t="s">
        <v>58</v>
      </c>
    </row>
    <row r="989" spans="2:7" x14ac:dyDescent="0.25">
      <c r="B989" s="9" t="s">
        <v>1975</v>
      </c>
      <c r="C989" s="9" t="s">
        <v>18</v>
      </c>
      <c r="D989" s="9">
        <v>236000</v>
      </c>
      <c r="E989" s="9" t="s">
        <v>2660</v>
      </c>
      <c r="F989" s="9" t="s">
        <v>66</v>
      </c>
      <c r="G989" s="9" t="s">
        <v>55</v>
      </c>
    </row>
    <row r="990" spans="2:7" x14ac:dyDescent="0.25">
      <c r="B990" s="9" t="s">
        <v>1976</v>
      </c>
      <c r="C990" s="9" t="s">
        <v>24</v>
      </c>
      <c r="D990" s="9">
        <v>227000</v>
      </c>
      <c r="E990" s="9" t="s">
        <v>2661</v>
      </c>
      <c r="F990" s="9" t="s">
        <v>62</v>
      </c>
      <c r="G990" s="9" t="s">
        <v>58</v>
      </c>
    </row>
    <row r="991" spans="2:7" x14ac:dyDescent="0.25">
      <c r="B991" s="9" t="s">
        <v>1978</v>
      </c>
      <c r="C991" s="9" t="s">
        <v>12</v>
      </c>
      <c r="D991" s="9">
        <v>278000</v>
      </c>
      <c r="E991" s="9" t="s">
        <v>2661</v>
      </c>
      <c r="F991" s="9" t="s">
        <v>64</v>
      </c>
      <c r="G991" s="9" t="s">
        <v>47</v>
      </c>
    </row>
    <row r="992" spans="2:7" x14ac:dyDescent="0.25">
      <c r="B992" s="9" t="s">
        <v>1979</v>
      </c>
      <c r="C992" s="9" t="s">
        <v>14</v>
      </c>
      <c r="D992" s="9">
        <v>126000</v>
      </c>
      <c r="E992" s="9" t="s">
        <v>2662</v>
      </c>
      <c r="F992" s="9" t="s">
        <v>66</v>
      </c>
      <c r="G992" s="9" t="s">
        <v>51</v>
      </c>
    </row>
    <row r="993" spans="2:7" x14ac:dyDescent="0.25">
      <c r="B993" s="9" t="s">
        <v>1981</v>
      </c>
      <c r="C993" s="9" t="s">
        <v>20</v>
      </c>
      <c r="D993" s="9">
        <v>96000</v>
      </c>
      <c r="E993" s="9" t="s">
        <v>2663</v>
      </c>
      <c r="F993" s="9" t="s">
        <v>67</v>
      </c>
      <c r="G993" s="9" t="s">
        <v>61</v>
      </c>
    </row>
    <row r="994" spans="2:7" x14ac:dyDescent="0.25">
      <c r="B994" s="9" t="s">
        <v>1983</v>
      </c>
      <c r="C994" s="9" t="s">
        <v>12</v>
      </c>
      <c r="D994" s="9">
        <v>291000</v>
      </c>
      <c r="E994" s="9" t="s">
        <v>2664</v>
      </c>
      <c r="F994" s="9" t="s">
        <v>64</v>
      </c>
      <c r="G994" s="9" t="s">
        <v>49</v>
      </c>
    </row>
    <row r="995" spans="2:7" x14ac:dyDescent="0.25">
      <c r="B995" s="9" t="s">
        <v>1985</v>
      </c>
      <c r="C995" s="9" t="s">
        <v>22</v>
      </c>
      <c r="D995" s="9">
        <v>106000</v>
      </c>
      <c r="E995" s="9" t="s">
        <v>2665</v>
      </c>
      <c r="F995" s="9" t="s">
        <v>63</v>
      </c>
      <c r="G995" s="9" t="s">
        <v>53</v>
      </c>
    </row>
    <row r="996" spans="2:7" x14ac:dyDescent="0.25">
      <c r="B996" s="9" t="s">
        <v>1987</v>
      </c>
      <c r="C996" s="9" t="s">
        <v>18</v>
      </c>
      <c r="D996" s="9">
        <v>126000</v>
      </c>
      <c r="E996" s="9" t="s">
        <v>2666</v>
      </c>
      <c r="F996" s="9" t="s">
        <v>62</v>
      </c>
      <c r="G996" s="9" t="s">
        <v>51</v>
      </c>
    </row>
    <row r="997" spans="2:7" x14ac:dyDescent="0.25">
      <c r="B997" s="9" t="s">
        <v>1989</v>
      </c>
      <c r="C997" s="9" t="s">
        <v>16</v>
      </c>
      <c r="D997" s="9">
        <v>279000</v>
      </c>
      <c r="E997" s="9" t="s">
        <v>2667</v>
      </c>
      <c r="F997" s="9" t="s">
        <v>64</v>
      </c>
      <c r="G997" s="9" t="s">
        <v>58</v>
      </c>
    </row>
    <row r="998" spans="2:7" x14ac:dyDescent="0.25">
      <c r="B998" s="9" t="s">
        <v>1991</v>
      </c>
      <c r="C998" s="9" t="s">
        <v>24</v>
      </c>
      <c r="D998" s="9">
        <v>277000</v>
      </c>
      <c r="E998" s="9" t="s">
        <v>2668</v>
      </c>
      <c r="F998" s="9" t="s">
        <v>65</v>
      </c>
      <c r="G998" s="9" t="s">
        <v>53</v>
      </c>
    </row>
    <row r="999" spans="2:7" x14ac:dyDescent="0.25">
      <c r="B999" s="9" t="s">
        <v>1993</v>
      </c>
      <c r="C999" s="9" t="s">
        <v>20</v>
      </c>
      <c r="D999" s="9">
        <v>248000</v>
      </c>
      <c r="E999" s="9" t="s">
        <v>2669</v>
      </c>
      <c r="F999" s="9" t="s">
        <v>64</v>
      </c>
      <c r="G999" s="9" t="s">
        <v>43</v>
      </c>
    </row>
    <row r="1000" spans="2:7" x14ac:dyDescent="0.25">
      <c r="B1000" s="9" t="s">
        <v>1995</v>
      </c>
      <c r="C1000" s="9" t="s">
        <v>12</v>
      </c>
      <c r="D1000" s="9">
        <v>183000</v>
      </c>
      <c r="E1000" s="9" t="s">
        <v>2670</v>
      </c>
      <c r="F1000" s="9" t="s">
        <v>65</v>
      </c>
      <c r="G1000" s="9" t="s">
        <v>51</v>
      </c>
    </row>
    <row r="1001" spans="2:7" x14ac:dyDescent="0.25">
      <c r="B1001" s="9" t="s">
        <v>1997</v>
      </c>
      <c r="C1001" s="9" t="s">
        <v>24</v>
      </c>
      <c r="D1001" s="9">
        <v>77000</v>
      </c>
      <c r="E1001" s="9" t="s">
        <v>2671</v>
      </c>
      <c r="F1001" s="9" t="s">
        <v>66</v>
      </c>
      <c r="G1001" s="9" t="s">
        <v>53</v>
      </c>
    </row>
  </sheetData>
  <mergeCells count="1">
    <mergeCell ref="L3:M10"/>
  </mergeCells>
  <phoneticPr fontId="2" type="noConversion"/>
  <conditionalFormatting pivot="1" sqref="J3:J9">
    <cfRule type="cellIs" dxfId="10" priority="2" operator="greaterThan">
      <formula>$M$2</formula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6DE3-39D5-4189-9C27-E84ACB32D1DF}">
  <dimension ref="B1:Y1001"/>
  <sheetViews>
    <sheetView showGridLines="0" workbookViewId="0">
      <selection activeCell="M4" sqref="M4"/>
    </sheetView>
  </sheetViews>
  <sheetFormatPr defaultRowHeight="15.75" x14ac:dyDescent="0.25"/>
  <cols>
    <col min="1" max="10" width="9" style="9"/>
    <col min="11" max="11" width="10.125" style="9" bestFit="1" customWidth="1"/>
    <col min="12" max="12" width="15.625" style="9" bestFit="1" customWidth="1"/>
    <col min="13" max="13" width="13" style="9" bestFit="1" customWidth="1"/>
    <col min="14" max="16384" width="9" style="9"/>
  </cols>
  <sheetData>
    <row r="1" spans="2:25" ht="16.5" x14ac:dyDescent="0.25">
      <c r="B1" s="9" t="s">
        <v>9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2689</v>
      </c>
      <c r="I1" s="9" t="s">
        <v>2691</v>
      </c>
      <c r="K1" s="13" t="s">
        <v>2688</v>
      </c>
      <c r="L1" s="6">
        <v>2019</v>
      </c>
    </row>
    <row r="2" spans="2:25" ht="16.5" x14ac:dyDescent="0.25">
      <c r="B2" s="9" t="s">
        <v>34</v>
      </c>
      <c r="C2" s="9" t="s">
        <v>59</v>
      </c>
      <c r="D2" s="9" t="s">
        <v>37</v>
      </c>
      <c r="E2" s="9" t="s">
        <v>39</v>
      </c>
      <c r="F2" s="9">
        <v>41000</v>
      </c>
      <c r="G2" s="9" t="s">
        <v>74</v>
      </c>
      <c r="H2" s="9">
        <f>YEAR(G2)</f>
        <v>2019</v>
      </c>
      <c r="I2">
        <f>MONTH(G2)</f>
        <v>1</v>
      </c>
      <c r="K2"/>
      <c r="L2"/>
      <c r="M2"/>
    </row>
    <row r="3" spans="2:25" ht="16.5" x14ac:dyDescent="0.25">
      <c r="B3" s="9" t="s">
        <v>35</v>
      </c>
      <c r="C3" s="9" t="s">
        <v>37</v>
      </c>
      <c r="D3" s="9" t="s">
        <v>39</v>
      </c>
      <c r="E3" s="9" t="s">
        <v>37</v>
      </c>
      <c r="F3" s="9">
        <v>230000</v>
      </c>
      <c r="G3" s="9" t="s">
        <v>76</v>
      </c>
      <c r="H3" s="9">
        <f t="shared" ref="H3:H66" si="0">YEAR(G3)</f>
        <v>2019</v>
      </c>
      <c r="I3">
        <f t="shared" ref="I3:I66" si="1">MONTH(G3)</f>
        <v>1</v>
      </c>
      <c r="K3" s="13" t="s">
        <v>2690</v>
      </c>
      <c r="L3" t="s">
        <v>2697</v>
      </c>
      <c r="M3" s="16" t="s">
        <v>2692</v>
      </c>
    </row>
    <row r="4" spans="2:25" ht="16.5" x14ac:dyDescent="0.25">
      <c r="B4" s="9" t="s">
        <v>36</v>
      </c>
      <c r="C4" s="9" t="s">
        <v>35</v>
      </c>
      <c r="D4" s="9" t="s">
        <v>34</v>
      </c>
      <c r="E4" s="9" t="s">
        <v>36</v>
      </c>
      <c r="F4" s="9">
        <v>154000</v>
      </c>
      <c r="G4" s="9" t="s">
        <v>78</v>
      </c>
      <c r="H4" s="9">
        <f t="shared" si="0"/>
        <v>2019</v>
      </c>
      <c r="I4">
        <f t="shared" si="1"/>
        <v>1</v>
      </c>
      <c r="K4" s="6">
        <v>1</v>
      </c>
      <c r="L4">
        <v>6253000</v>
      </c>
      <c r="M4" s="9" t="str">
        <f>IF(L4&gt;5000000,"已達標","未達標")</f>
        <v>已達標</v>
      </c>
      <c r="N4" s="23" t="s">
        <v>2693</v>
      </c>
      <c r="O4" s="23"/>
      <c r="P4" s="23"/>
      <c r="Q4" s="23"/>
      <c r="R4" s="23"/>
      <c r="S4" s="23"/>
      <c r="T4" s="23"/>
      <c r="U4" s="17"/>
      <c r="V4" s="17"/>
      <c r="W4" s="17"/>
      <c r="X4" s="17"/>
      <c r="Y4" s="17"/>
    </row>
    <row r="5" spans="2:25" ht="16.5" x14ac:dyDescent="0.25">
      <c r="B5" s="9" t="s">
        <v>37</v>
      </c>
      <c r="C5" s="9" t="s">
        <v>56</v>
      </c>
      <c r="D5" s="9" t="s">
        <v>36</v>
      </c>
      <c r="E5" s="9" t="s">
        <v>36</v>
      </c>
      <c r="F5" s="9">
        <v>170000</v>
      </c>
      <c r="G5" s="9" t="s">
        <v>80</v>
      </c>
      <c r="H5" s="9">
        <f t="shared" si="0"/>
        <v>2019</v>
      </c>
      <c r="I5">
        <f t="shared" si="1"/>
        <v>1</v>
      </c>
      <c r="K5" s="6">
        <v>2</v>
      </c>
      <c r="L5">
        <v>4904000</v>
      </c>
      <c r="M5" s="9" t="str">
        <f t="shared" ref="M5:M15" si="2">IF(L5&gt;5000000,"已達標","未達標")</f>
        <v>未達標</v>
      </c>
      <c r="N5" s="23"/>
      <c r="O5" s="23"/>
      <c r="P5" s="23"/>
      <c r="Q5" s="23"/>
      <c r="R5" s="23"/>
      <c r="S5" s="23"/>
      <c r="T5" s="23"/>
      <c r="U5" s="17"/>
    </row>
    <row r="6" spans="2:25" ht="16.5" customHeight="1" x14ac:dyDescent="0.25">
      <c r="B6" s="9" t="s">
        <v>38</v>
      </c>
      <c r="C6" s="9" t="s">
        <v>34</v>
      </c>
      <c r="D6" s="9" t="s">
        <v>38</v>
      </c>
      <c r="E6" s="9" t="s">
        <v>35</v>
      </c>
      <c r="F6" s="9">
        <v>100000</v>
      </c>
      <c r="G6" s="9" t="s">
        <v>80</v>
      </c>
      <c r="H6" s="9">
        <f t="shared" si="0"/>
        <v>2019</v>
      </c>
      <c r="I6">
        <f t="shared" si="1"/>
        <v>1</v>
      </c>
      <c r="K6" s="6">
        <v>3</v>
      </c>
      <c r="L6">
        <v>4414000</v>
      </c>
      <c r="M6" s="9" t="str">
        <f t="shared" si="2"/>
        <v>未達標</v>
      </c>
    </row>
    <row r="7" spans="2:25" ht="16.5" x14ac:dyDescent="0.25">
      <c r="B7" s="9" t="s">
        <v>39</v>
      </c>
      <c r="C7" s="9" t="s">
        <v>39</v>
      </c>
      <c r="D7" s="9" t="s">
        <v>35</v>
      </c>
      <c r="E7" s="9" t="s">
        <v>37</v>
      </c>
      <c r="F7" s="9">
        <v>139000</v>
      </c>
      <c r="G7" s="9" t="s">
        <v>83</v>
      </c>
      <c r="H7" s="9">
        <f t="shared" si="0"/>
        <v>2019</v>
      </c>
      <c r="I7">
        <f t="shared" si="1"/>
        <v>1</v>
      </c>
      <c r="K7" s="6">
        <v>4</v>
      </c>
      <c r="L7">
        <v>2910000</v>
      </c>
      <c r="M7" s="9" t="str">
        <f t="shared" si="2"/>
        <v>未達標</v>
      </c>
      <c r="N7" s="23" t="s">
        <v>2694</v>
      </c>
      <c r="O7" s="23"/>
      <c r="P7" s="23"/>
      <c r="Q7" s="23"/>
      <c r="R7" s="23"/>
      <c r="S7" s="23"/>
      <c r="T7" s="23"/>
    </row>
    <row r="8" spans="2:25" ht="16.5" customHeight="1" x14ac:dyDescent="0.25">
      <c r="B8" s="9" t="s">
        <v>40</v>
      </c>
      <c r="C8" s="9" t="s">
        <v>40</v>
      </c>
      <c r="D8" s="9" t="s">
        <v>34</v>
      </c>
      <c r="E8" s="9" t="s">
        <v>34</v>
      </c>
      <c r="F8" s="9">
        <v>93000</v>
      </c>
      <c r="G8" s="9" t="s">
        <v>85</v>
      </c>
      <c r="H8" s="9">
        <f t="shared" si="0"/>
        <v>2019</v>
      </c>
      <c r="I8">
        <f t="shared" si="1"/>
        <v>1</v>
      </c>
      <c r="K8" s="6">
        <v>5</v>
      </c>
      <c r="L8">
        <v>6725000</v>
      </c>
      <c r="M8" s="9" t="str">
        <f t="shared" si="2"/>
        <v>已達標</v>
      </c>
      <c r="N8" s="23"/>
      <c r="O8" s="23"/>
      <c r="P8" s="23"/>
      <c r="Q8" s="23"/>
      <c r="R8" s="23"/>
      <c r="S8" s="23"/>
      <c r="T8" s="23"/>
    </row>
    <row r="9" spans="2:25" ht="16.5" x14ac:dyDescent="0.25">
      <c r="B9" s="9" t="s">
        <v>56</v>
      </c>
      <c r="C9" s="9" t="s">
        <v>59</v>
      </c>
      <c r="D9" s="9" t="s">
        <v>34</v>
      </c>
      <c r="E9" s="9" t="s">
        <v>36</v>
      </c>
      <c r="F9" s="9">
        <v>247000</v>
      </c>
      <c r="G9" s="9" t="s">
        <v>87</v>
      </c>
      <c r="H9" s="9">
        <f t="shared" si="0"/>
        <v>2019</v>
      </c>
      <c r="I9">
        <f t="shared" si="1"/>
        <v>1</v>
      </c>
      <c r="K9" s="6">
        <v>6</v>
      </c>
      <c r="L9">
        <v>5367000</v>
      </c>
      <c r="M9" s="9" t="str">
        <f t="shared" si="2"/>
        <v>已達標</v>
      </c>
      <c r="N9" s="18"/>
      <c r="O9" s="18"/>
      <c r="P9" s="18"/>
      <c r="Q9" s="18"/>
      <c r="R9" s="18"/>
      <c r="S9" s="18"/>
      <c r="T9" s="18"/>
    </row>
    <row r="10" spans="2:25" ht="16.5" x14ac:dyDescent="0.25">
      <c r="B10" s="9" t="s">
        <v>59</v>
      </c>
      <c r="C10" s="9" t="s">
        <v>37</v>
      </c>
      <c r="D10" s="9" t="s">
        <v>36</v>
      </c>
      <c r="E10" s="9" t="s">
        <v>38</v>
      </c>
      <c r="F10" s="9">
        <v>58000</v>
      </c>
      <c r="G10" s="9" t="s">
        <v>89</v>
      </c>
      <c r="H10" s="9">
        <f t="shared" si="0"/>
        <v>2019</v>
      </c>
      <c r="I10">
        <f t="shared" si="1"/>
        <v>1</v>
      </c>
      <c r="K10" s="6">
        <v>7</v>
      </c>
      <c r="L10">
        <v>4084000</v>
      </c>
      <c r="M10" s="9" t="str">
        <f t="shared" si="2"/>
        <v>未達標</v>
      </c>
    </row>
    <row r="11" spans="2:25" ht="16.5" x14ac:dyDescent="0.25">
      <c r="B11" s="9" t="s">
        <v>90</v>
      </c>
      <c r="C11" s="9" t="s">
        <v>35</v>
      </c>
      <c r="D11" s="9" t="s">
        <v>36</v>
      </c>
      <c r="E11" s="9" t="s">
        <v>34</v>
      </c>
      <c r="F11" s="9">
        <v>231000</v>
      </c>
      <c r="G11" s="9" t="s">
        <v>89</v>
      </c>
      <c r="H11" s="9">
        <f t="shared" si="0"/>
        <v>2019</v>
      </c>
      <c r="I11">
        <f t="shared" si="1"/>
        <v>1</v>
      </c>
      <c r="K11" s="6">
        <v>8</v>
      </c>
      <c r="L11">
        <v>6563000</v>
      </c>
      <c r="M11" s="9" t="str">
        <f t="shared" si="2"/>
        <v>已達標</v>
      </c>
    </row>
    <row r="12" spans="2:25" ht="16.5" x14ac:dyDescent="0.25">
      <c r="B12" s="9" t="s">
        <v>92</v>
      </c>
      <c r="C12" s="9" t="s">
        <v>56</v>
      </c>
      <c r="D12" s="9" t="s">
        <v>39</v>
      </c>
      <c r="E12" s="9" t="s">
        <v>39</v>
      </c>
      <c r="F12" s="9">
        <v>183000</v>
      </c>
      <c r="G12" s="9" t="s">
        <v>89</v>
      </c>
      <c r="H12" s="9">
        <f t="shared" si="0"/>
        <v>2019</v>
      </c>
      <c r="I12">
        <f t="shared" si="1"/>
        <v>1</v>
      </c>
      <c r="K12" s="6">
        <v>9</v>
      </c>
      <c r="L12">
        <v>3242000</v>
      </c>
      <c r="M12" s="9" t="str">
        <f t="shared" si="2"/>
        <v>未達標</v>
      </c>
    </row>
    <row r="13" spans="2:25" ht="16.5" x14ac:dyDescent="0.25">
      <c r="B13" s="9" t="s">
        <v>94</v>
      </c>
      <c r="C13" s="9" t="s">
        <v>56</v>
      </c>
      <c r="D13" s="9" t="s">
        <v>35</v>
      </c>
      <c r="E13" s="9" t="s">
        <v>36</v>
      </c>
      <c r="F13" s="9">
        <v>156000</v>
      </c>
      <c r="G13" s="9" t="s">
        <v>96</v>
      </c>
      <c r="H13" s="9">
        <f t="shared" si="0"/>
        <v>2019</v>
      </c>
      <c r="I13">
        <f t="shared" si="1"/>
        <v>1</v>
      </c>
      <c r="K13" s="6">
        <v>10</v>
      </c>
      <c r="L13">
        <v>4006000</v>
      </c>
      <c r="M13" s="9" t="str">
        <f t="shared" si="2"/>
        <v>未達標</v>
      </c>
    </row>
    <row r="14" spans="2:25" ht="16.5" x14ac:dyDescent="0.25">
      <c r="B14" s="9" t="s">
        <v>97</v>
      </c>
      <c r="C14" s="9" t="s">
        <v>40</v>
      </c>
      <c r="D14" s="9" t="s">
        <v>37</v>
      </c>
      <c r="E14" s="9" t="s">
        <v>36</v>
      </c>
      <c r="F14" s="9">
        <v>66000</v>
      </c>
      <c r="G14" s="9" t="s">
        <v>96</v>
      </c>
      <c r="H14" s="9">
        <f t="shared" si="0"/>
        <v>2019</v>
      </c>
      <c r="I14">
        <f t="shared" si="1"/>
        <v>1</v>
      </c>
      <c r="K14" s="6">
        <v>11</v>
      </c>
      <c r="L14">
        <v>5260000</v>
      </c>
      <c r="M14" s="9" t="str">
        <f t="shared" si="2"/>
        <v>已達標</v>
      </c>
    </row>
    <row r="15" spans="2:25" ht="16.5" x14ac:dyDescent="0.25">
      <c r="B15" s="9" t="s">
        <v>99</v>
      </c>
      <c r="C15" s="9" t="s">
        <v>35</v>
      </c>
      <c r="D15" s="9" t="s">
        <v>38</v>
      </c>
      <c r="E15" s="9" t="s">
        <v>35</v>
      </c>
      <c r="F15" s="9">
        <v>80000</v>
      </c>
      <c r="G15" s="9" t="s">
        <v>101</v>
      </c>
      <c r="H15" s="9">
        <f t="shared" si="0"/>
        <v>2019</v>
      </c>
      <c r="I15">
        <f t="shared" si="1"/>
        <v>1</v>
      </c>
      <c r="K15" s="6">
        <v>12</v>
      </c>
      <c r="L15">
        <v>4155000</v>
      </c>
      <c r="M15" s="9" t="str">
        <f t="shared" si="2"/>
        <v>未達標</v>
      </c>
    </row>
    <row r="16" spans="2:25" ht="16.5" x14ac:dyDescent="0.25">
      <c r="B16" s="9" t="s">
        <v>102</v>
      </c>
      <c r="C16" s="9" t="s">
        <v>38</v>
      </c>
      <c r="D16" s="9" t="s">
        <v>39</v>
      </c>
      <c r="E16" s="9" t="s">
        <v>37</v>
      </c>
      <c r="F16" s="9">
        <v>31000</v>
      </c>
      <c r="G16" s="9" t="s">
        <v>101</v>
      </c>
      <c r="H16" s="9">
        <f t="shared" si="0"/>
        <v>2019</v>
      </c>
      <c r="I16">
        <f t="shared" si="1"/>
        <v>1</v>
      </c>
      <c r="K16" s="6" t="s">
        <v>2680</v>
      </c>
      <c r="L16">
        <v>57883000</v>
      </c>
      <c r="M16"/>
    </row>
    <row r="17" spans="2:13" ht="16.5" x14ac:dyDescent="0.25">
      <c r="B17" s="9" t="s">
        <v>104</v>
      </c>
      <c r="C17" s="9" t="s">
        <v>59</v>
      </c>
      <c r="D17" s="9" t="s">
        <v>35</v>
      </c>
      <c r="E17" s="9" t="s">
        <v>38</v>
      </c>
      <c r="F17" s="9">
        <v>217000</v>
      </c>
      <c r="G17" s="9" t="s">
        <v>101</v>
      </c>
      <c r="H17" s="9">
        <f t="shared" si="0"/>
        <v>2019</v>
      </c>
      <c r="I17">
        <f t="shared" si="1"/>
        <v>1</v>
      </c>
      <c r="K17"/>
      <c r="L17"/>
      <c r="M17"/>
    </row>
    <row r="18" spans="2:13" ht="16.5" x14ac:dyDescent="0.25">
      <c r="B18" s="9" t="s">
        <v>106</v>
      </c>
      <c r="C18" s="9" t="s">
        <v>59</v>
      </c>
      <c r="D18" s="9" t="s">
        <v>36</v>
      </c>
      <c r="E18" s="9" t="s">
        <v>34</v>
      </c>
      <c r="F18" s="9">
        <v>239000</v>
      </c>
      <c r="G18" s="9" t="s">
        <v>101</v>
      </c>
      <c r="H18" s="9">
        <f t="shared" si="0"/>
        <v>2019</v>
      </c>
      <c r="I18">
        <f t="shared" si="1"/>
        <v>1</v>
      </c>
      <c r="K18"/>
      <c r="L18"/>
      <c r="M18"/>
    </row>
    <row r="19" spans="2:13" ht="16.5" x14ac:dyDescent="0.25">
      <c r="B19" s="9" t="s">
        <v>108</v>
      </c>
      <c r="C19" s="9" t="s">
        <v>35</v>
      </c>
      <c r="D19" s="9" t="s">
        <v>39</v>
      </c>
      <c r="E19" s="9" t="s">
        <v>37</v>
      </c>
      <c r="F19" s="9">
        <v>120000</v>
      </c>
      <c r="G19" s="9" t="s">
        <v>110</v>
      </c>
      <c r="H19" s="9">
        <f t="shared" si="0"/>
        <v>2019</v>
      </c>
      <c r="I19">
        <f t="shared" si="1"/>
        <v>1</v>
      </c>
      <c r="K19"/>
      <c r="L19"/>
      <c r="M19"/>
    </row>
    <row r="20" spans="2:13" ht="16.5" x14ac:dyDescent="0.25">
      <c r="B20" s="9" t="s">
        <v>111</v>
      </c>
      <c r="C20" s="9" t="s">
        <v>35</v>
      </c>
      <c r="D20" s="9" t="s">
        <v>39</v>
      </c>
      <c r="E20" s="9" t="s">
        <v>34</v>
      </c>
      <c r="F20" s="9">
        <v>246000</v>
      </c>
      <c r="G20" s="9" t="s">
        <v>110</v>
      </c>
      <c r="H20" s="9">
        <f t="shared" si="0"/>
        <v>2019</v>
      </c>
      <c r="I20">
        <f t="shared" si="1"/>
        <v>1</v>
      </c>
      <c r="K20"/>
      <c r="L20"/>
    </row>
    <row r="21" spans="2:13" ht="16.5" x14ac:dyDescent="0.25">
      <c r="B21" s="9" t="s">
        <v>113</v>
      </c>
      <c r="C21" s="9" t="s">
        <v>37</v>
      </c>
      <c r="D21" s="9" t="s">
        <v>35</v>
      </c>
      <c r="E21" s="9" t="s">
        <v>38</v>
      </c>
      <c r="F21" s="9">
        <v>79000</v>
      </c>
      <c r="G21" s="9" t="s">
        <v>115</v>
      </c>
      <c r="H21" s="9">
        <f t="shared" si="0"/>
        <v>2019</v>
      </c>
      <c r="I21">
        <f t="shared" si="1"/>
        <v>1</v>
      </c>
      <c r="K21"/>
      <c r="L21"/>
    </row>
    <row r="22" spans="2:13" ht="16.5" x14ac:dyDescent="0.25">
      <c r="B22" s="9" t="s">
        <v>116</v>
      </c>
      <c r="C22" s="9" t="s">
        <v>35</v>
      </c>
      <c r="D22" s="9" t="s">
        <v>36</v>
      </c>
      <c r="E22" s="9" t="s">
        <v>37</v>
      </c>
      <c r="F22" s="9">
        <v>167000</v>
      </c>
      <c r="G22" s="9" t="s">
        <v>115</v>
      </c>
      <c r="H22" s="9">
        <f t="shared" si="0"/>
        <v>2019</v>
      </c>
      <c r="I22">
        <f t="shared" si="1"/>
        <v>1</v>
      </c>
      <c r="K22"/>
      <c r="L22"/>
    </row>
    <row r="23" spans="2:13" ht="16.5" x14ac:dyDescent="0.25">
      <c r="B23" s="9" t="s">
        <v>118</v>
      </c>
      <c r="C23" s="9" t="s">
        <v>37</v>
      </c>
      <c r="D23" s="9" t="s">
        <v>39</v>
      </c>
      <c r="E23" s="9" t="s">
        <v>39</v>
      </c>
      <c r="F23" s="9">
        <v>111000</v>
      </c>
      <c r="G23" s="9" t="s">
        <v>120</v>
      </c>
      <c r="H23" s="9">
        <f t="shared" si="0"/>
        <v>2019</v>
      </c>
      <c r="I23">
        <f t="shared" si="1"/>
        <v>1</v>
      </c>
      <c r="K23"/>
      <c r="L23"/>
    </row>
    <row r="24" spans="2:13" ht="16.5" x14ac:dyDescent="0.25">
      <c r="B24" s="9" t="s">
        <v>121</v>
      </c>
      <c r="C24" s="9" t="s">
        <v>38</v>
      </c>
      <c r="D24" s="9" t="s">
        <v>35</v>
      </c>
      <c r="E24" s="9" t="s">
        <v>38</v>
      </c>
      <c r="F24" s="9">
        <v>215000</v>
      </c>
      <c r="G24" s="9" t="s">
        <v>120</v>
      </c>
      <c r="H24" s="9">
        <f t="shared" si="0"/>
        <v>2019</v>
      </c>
      <c r="I24">
        <f t="shared" si="1"/>
        <v>1</v>
      </c>
      <c r="K24"/>
      <c r="L24"/>
    </row>
    <row r="25" spans="2:13" ht="16.5" x14ac:dyDescent="0.25">
      <c r="B25" s="9" t="s">
        <v>123</v>
      </c>
      <c r="C25" s="9" t="s">
        <v>36</v>
      </c>
      <c r="D25" s="9" t="s">
        <v>37</v>
      </c>
      <c r="E25" s="9" t="s">
        <v>35</v>
      </c>
      <c r="F25" s="9">
        <v>84000</v>
      </c>
      <c r="G25" s="9" t="s">
        <v>120</v>
      </c>
      <c r="H25" s="9">
        <f t="shared" si="0"/>
        <v>2019</v>
      </c>
      <c r="I25">
        <f t="shared" si="1"/>
        <v>1</v>
      </c>
      <c r="K25"/>
      <c r="L25"/>
    </row>
    <row r="26" spans="2:13" ht="16.5" x14ac:dyDescent="0.25">
      <c r="B26" s="9" t="s">
        <v>125</v>
      </c>
      <c r="C26" s="9" t="s">
        <v>35</v>
      </c>
      <c r="D26" s="9" t="s">
        <v>36</v>
      </c>
      <c r="E26" s="9" t="s">
        <v>34</v>
      </c>
      <c r="F26" s="9">
        <v>275000</v>
      </c>
      <c r="G26" s="9" t="s">
        <v>120</v>
      </c>
      <c r="H26" s="9">
        <f t="shared" si="0"/>
        <v>2019</v>
      </c>
      <c r="I26">
        <f t="shared" si="1"/>
        <v>1</v>
      </c>
      <c r="K26"/>
      <c r="L26"/>
    </row>
    <row r="27" spans="2:13" ht="16.5" x14ac:dyDescent="0.25">
      <c r="B27" s="9" t="s">
        <v>127</v>
      </c>
      <c r="C27" s="9" t="s">
        <v>37</v>
      </c>
      <c r="D27" s="9" t="s">
        <v>35</v>
      </c>
      <c r="E27" s="9" t="s">
        <v>35</v>
      </c>
      <c r="F27" s="9">
        <v>119000</v>
      </c>
      <c r="G27" s="9" t="s">
        <v>129</v>
      </c>
      <c r="H27" s="9">
        <f t="shared" si="0"/>
        <v>2019</v>
      </c>
      <c r="I27">
        <f t="shared" si="1"/>
        <v>1</v>
      </c>
      <c r="K27"/>
      <c r="L27"/>
    </row>
    <row r="28" spans="2:13" ht="16.5" x14ac:dyDescent="0.25">
      <c r="B28" s="9" t="s">
        <v>130</v>
      </c>
      <c r="C28" s="9" t="s">
        <v>36</v>
      </c>
      <c r="D28" s="9" t="s">
        <v>39</v>
      </c>
      <c r="E28" s="9" t="s">
        <v>35</v>
      </c>
      <c r="F28" s="9">
        <v>88000</v>
      </c>
      <c r="G28" s="9" t="s">
        <v>132</v>
      </c>
      <c r="H28" s="9">
        <f t="shared" si="0"/>
        <v>2019</v>
      </c>
      <c r="I28">
        <f t="shared" si="1"/>
        <v>1</v>
      </c>
      <c r="K28"/>
      <c r="L28"/>
    </row>
    <row r="29" spans="2:13" ht="16.5" x14ac:dyDescent="0.25">
      <c r="B29" s="9" t="s">
        <v>133</v>
      </c>
      <c r="C29" s="9" t="s">
        <v>35</v>
      </c>
      <c r="D29" s="9" t="s">
        <v>34</v>
      </c>
      <c r="E29" s="9" t="s">
        <v>36</v>
      </c>
      <c r="F29" s="9">
        <v>199000</v>
      </c>
      <c r="G29" s="9" t="s">
        <v>135</v>
      </c>
      <c r="H29" s="9">
        <f t="shared" si="0"/>
        <v>2019</v>
      </c>
      <c r="I29">
        <f t="shared" si="1"/>
        <v>1</v>
      </c>
      <c r="K29"/>
      <c r="L29"/>
    </row>
    <row r="30" spans="2:13" ht="16.5" x14ac:dyDescent="0.25">
      <c r="B30" s="9" t="s">
        <v>136</v>
      </c>
      <c r="C30" s="9" t="s">
        <v>38</v>
      </c>
      <c r="D30" s="9" t="s">
        <v>38</v>
      </c>
      <c r="E30" s="9" t="s">
        <v>36</v>
      </c>
      <c r="F30" s="9">
        <v>47000</v>
      </c>
      <c r="G30" s="9" t="s">
        <v>135</v>
      </c>
      <c r="H30" s="9">
        <f t="shared" si="0"/>
        <v>2019</v>
      </c>
      <c r="I30">
        <f t="shared" si="1"/>
        <v>1</v>
      </c>
      <c r="K30"/>
      <c r="L30"/>
    </row>
    <row r="31" spans="2:13" ht="16.5" x14ac:dyDescent="0.25">
      <c r="B31" s="9" t="s">
        <v>138</v>
      </c>
      <c r="C31" s="9" t="s">
        <v>35</v>
      </c>
      <c r="D31" s="9" t="s">
        <v>35</v>
      </c>
      <c r="E31" s="9" t="s">
        <v>34</v>
      </c>
      <c r="F31" s="9">
        <v>52000</v>
      </c>
      <c r="G31" s="9" t="s">
        <v>140</v>
      </c>
      <c r="H31" s="9">
        <f t="shared" si="0"/>
        <v>2019</v>
      </c>
      <c r="I31">
        <f t="shared" si="1"/>
        <v>1</v>
      </c>
      <c r="K31"/>
      <c r="L31"/>
    </row>
    <row r="32" spans="2:13" ht="16.5" x14ac:dyDescent="0.25">
      <c r="B32" s="9" t="s">
        <v>141</v>
      </c>
      <c r="C32" s="9" t="s">
        <v>34</v>
      </c>
      <c r="D32" s="9" t="s">
        <v>40</v>
      </c>
      <c r="E32" s="9" t="s">
        <v>36</v>
      </c>
      <c r="F32" s="9">
        <v>141000</v>
      </c>
      <c r="G32" s="9" t="s">
        <v>143</v>
      </c>
      <c r="H32" s="9">
        <f t="shared" si="0"/>
        <v>2019</v>
      </c>
      <c r="I32">
        <f t="shared" si="1"/>
        <v>1</v>
      </c>
      <c r="K32"/>
      <c r="L32"/>
    </row>
    <row r="33" spans="2:12" ht="16.5" x14ac:dyDescent="0.25">
      <c r="B33" s="9" t="s">
        <v>144</v>
      </c>
      <c r="C33" s="9" t="s">
        <v>36</v>
      </c>
      <c r="D33" s="9" t="s">
        <v>39</v>
      </c>
      <c r="E33" s="9" t="s">
        <v>35</v>
      </c>
      <c r="F33" s="9">
        <v>273000</v>
      </c>
      <c r="G33" s="9" t="s">
        <v>143</v>
      </c>
      <c r="H33" s="9">
        <f t="shared" si="0"/>
        <v>2019</v>
      </c>
      <c r="I33">
        <f t="shared" si="1"/>
        <v>1</v>
      </c>
      <c r="K33"/>
      <c r="L33"/>
    </row>
    <row r="34" spans="2:12" ht="16.5" x14ac:dyDescent="0.25">
      <c r="B34" s="9" t="s">
        <v>146</v>
      </c>
      <c r="C34" s="9" t="s">
        <v>56</v>
      </c>
      <c r="D34" s="9" t="s">
        <v>39</v>
      </c>
      <c r="E34" s="9" t="s">
        <v>38</v>
      </c>
      <c r="F34" s="9">
        <v>268000</v>
      </c>
      <c r="G34" s="9" t="s">
        <v>148</v>
      </c>
      <c r="H34" s="9">
        <f t="shared" si="0"/>
        <v>2019</v>
      </c>
      <c r="I34">
        <f t="shared" si="1"/>
        <v>1</v>
      </c>
      <c r="K34"/>
      <c r="L34"/>
    </row>
    <row r="35" spans="2:12" ht="16.5" x14ac:dyDescent="0.25">
      <c r="B35" s="9" t="s">
        <v>149</v>
      </c>
      <c r="C35" s="9" t="s">
        <v>34</v>
      </c>
      <c r="D35" s="9" t="s">
        <v>34</v>
      </c>
      <c r="E35" s="9" t="s">
        <v>38</v>
      </c>
      <c r="F35" s="9">
        <v>255000</v>
      </c>
      <c r="G35" s="9" t="s">
        <v>148</v>
      </c>
      <c r="H35" s="9">
        <f t="shared" si="0"/>
        <v>2019</v>
      </c>
      <c r="I35">
        <f t="shared" si="1"/>
        <v>1</v>
      </c>
      <c r="K35"/>
      <c r="L35"/>
    </row>
    <row r="36" spans="2:12" ht="16.5" x14ac:dyDescent="0.25">
      <c r="B36" s="9" t="s">
        <v>151</v>
      </c>
      <c r="C36" s="9" t="s">
        <v>35</v>
      </c>
      <c r="D36" s="9" t="s">
        <v>40</v>
      </c>
      <c r="E36" s="9" t="s">
        <v>39</v>
      </c>
      <c r="F36" s="9">
        <v>105000</v>
      </c>
      <c r="G36" s="9" t="s">
        <v>153</v>
      </c>
      <c r="H36" s="9">
        <f t="shared" si="0"/>
        <v>2019</v>
      </c>
      <c r="I36">
        <f t="shared" si="1"/>
        <v>1</v>
      </c>
      <c r="K36"/>
      <c r="L36"/>
    </row>
    <row r="37" spans="2:12" ht="16.5" x14ac:dyDescent="0.25">
      <c r="B37" s="9" t="s">
        <v>154</v>
      </c>
      <c r="C37" s="9" t="s">
        <v>59</v>
      </c>
      <c r="D37" s="9" t="s">
        <v>35</v>
      </c>
      <c r="E37" s="9" t="s">
        <v>39</v>
      </c>
      <c r="F37" s="9">
        <v>238000</v>
      </c>
      <c r="G37" s="9" t="s">
        <v>156</v>
      </c>
      <c r="H37" s="9">
        <f t="shared" si="0"/>
        <v>2019</v>
      </c>
      <c r="I37">
        <f t="shared" si="1"/>
        <v>1</v>
      </c>
      <c r="K37"/>
      <c r="L37"/>
    </row>
    <row r="38" spans="2:12" ht="16.5" x14ac:dyDescent="0.25">
      <c r="B38" s="9" t="s">
        <v>157</v>
      </c>
      <c r="C38" s="9" t="s">
        <v>39</v>
      </c>
      <c r="D38" s="9" t="s">
        <v>37</v>
      </c>
      <c r="E38" s="9" t="s">
        <v>36</v>
      </c>
      <c r="F38" s="9">
        <v>222000</v>
      </c>
      <c r="G38" s="9" t="s">
        <v>156</v>
      </c>
      <c r="H38" s="9">
        <f t="shared" si="0"/>
        <v>2019</v>
      </c>
      <c r="I38">
        <f t="shared" si="1"/>
        <v>1</v>
      </c>
      <c r="K38"/>
      <c r="L38"/>
    </row>
    <row r="39" spans="2:12" ht="16.5" x14ac:dyDescent="0.25">
      <c r="B39" s="9" t="s">
        <v>159</v>
      </c>
      <c r="C39" s="9" t="s">
        <v>37</v>
      </c>
      <c r="D39" s="9" t="s">
        <v>36</v>
      </c>
      <c r="E39" s="9" t="s">
        <v>35</v>
      </c>
      <c r="F39" s="9">
        <v>270000</v>
      </c>
      <c r="G39" s="9" t="s">
        <v>161</v>
      </c>
      <c r="H39" s="9">
        <f t="shared" si="0"/>
        <v>2019</v>
      </c>
      <c r="I39">
        <f t="shared" si="1"/>
        <v>1</v>
      </c>
      <c r="K39"/>
      <c r="L39"/>
    </row>
    <row r="40" spans="2:12" ht="16.5" x14ac:dyDescent="0.25">
      <c r="B40" s="9" t="s">
        <v>162</v>
      </c>
      <c r="C40" s="9" t="s">
        <v>38</v>
      </c>
      <c r="D40" s="9" t="s">
        <v>35</v>
      </c>
      <c r="E40" s="9" t="s">
        <v>39</v>
      </c>
      <c r="F40" s="9">
        <v>244000</v>
      </c>
      <c r="G40" s="9" t="s">
        <v>161</v>
      </c>
      <c r="H40" s="9">
        <f t="shared" si="0"/>
        <v>2019</v>
      </c>
      <c r="I40">
        <f t="shared" si="1"/>
        <v>1</v>
      </c>
      <c r="K40"/>
      <c r="L40"/>
    </row>
    <row r="41" spans="2:12" ht="16.5" x14ac:dyDescent="0.25">
      <c r="B41" s="9" t="s">
        <v>164</v>
      </c>
      <c r="C41" s="9" t="s">
        <v>56</v>
      </c>
      <c r="D41" s="9" t="s">
        <v>37</v>
      </c>
      <c r="E41" s="9" t="s">
        <v>39</v>
      </c>
      <c r="F41" s="9">
        <v>64000</v>
      </c>
      <c r="G41" s="9" t="s">
        <v>166</v>
      </c>
      <c r="H41" s="9">
        <f t="shared" si="0"/>
        <v>2019</v>
      </c>
      <c r="I41">
        <f t="shared" si="1"/>
        <v>2</v>
      </c>
      <c r="K41"/>
      <c r="L41"/>
    </row>
    <row r="42" spans="2:12" ht="16.5" x14ac:dyDescent="0.25">
      <c r="B42" s="9" t="s">
        <v>167</v>
      </c>
      <c r="C42" s="9" t="s">
        <v>56</v>
      </c>
      <c r="D42" s="9" t="s">
        <v>34</v>
      </c>
      <c r="E42" s="9" t="s">
        <v>39</v>
      </c>
      <c r="F42" s="9">
        <v>130000</v>
      </c>
      <c r="G42" s="9" t="s">
        <v>169</v>
      </c>
      <c r="H42" s="9">
        <f t="shared" si="0"/>
        <v>2019</v>
      </c>
      <c r="I42">
        <f t="shared" si="1"/>
        <v>2</v>
      </c>
      <c r="K42"/>
      <c r="L42"/>
    </row>
    <row r="43" spans="2:12" ht="16.5" x14ac:dyDescent="0.25">
      <c r="B43" s="9" t="s">
        <v>170</v>
      </c>
      <c r="C43" s="9" t="s">
        <v>39</v>
      </c>
      <c r="D43" s="9" t="s">
        <v>34</v>
      </c>
      <c r="E43" s="9" t="s">
        <v>34</v>
      </c>
      <c r="F43" s="9">
        <v>296000</v>
      </c>
      <c r="G43" s="9" t="s">
        <v>172</v>
      </c>
      <c r="H43" s="9">
        <f t="shared" si="0"/>
        <v>2019</v>
      </c>
      <c r="I43">
        <f t="shared" si="1"/>
        <v>2</v>
      </c>
      <c r="K43"/>
      <c r="L43"/>
    </row>
    <row r="44" spans="2:12" ht="16.5" x14ac:dyDescent="0.25">
      <c r="B44" s="9" t="s">
        <v>173</v>
      </c>
      <c r="C44" s="9" t="s">
        <v>35</v>
      </c>
      <c r="D44" s="9" t="s">
        <v>39</v>
      </c>
      <c r="E44" s="9" t="s">
        <v>38</v>
      </c>
      <c r="F44" s="9">
        <v>173000</v>
      </c>
      <c r="G44" s="9" t="s">
        <v>175</v>
      </c>
      <c r="H44" s="9">
        <f t="shared" si="0"/>
        <v>2019</v>
      </c>
      <c r="I44">
        <f t="shared" si="1"/>
        <v>2</v>
      </c>
      <c r="K44"/>
      <c r="L44"/>
    </row>
    <row r="45" spans="2:12" ht="16.5" x14ac:dyDescent="0.25">
      <c r="B45" s="9" t="s">
        <v>176</v>
      </c>
      <c r="C45" s="9" t="s">
        <v>38</v>
      </c>
      <c r="D45" s="9" t="s">
        <v>38</v>
      </c>
      <c r="E45" s="9" t="s">
        <v>39</v>
      </c>
      <c r="F45" s="9">
        <v>108000</v>
      </c>
      <c r="G45" s="9" t="s">
        <v>178</v>
      </c>
      <c r="H45" s="9">
        <f t="shared" si="0"/>
        <v>2019</v>
      </c>
      <c r="I45">
        <f t="shared" si="1"/>
        <v>2</v>
      </c>
      <c r="K45"/>
      <c r="L45"/>
    </row>
    <row r="46" spans="2:12" ht="16.5" x14ac:dyDescent="0.25">
      <c r="B46" s="9" t="s">
        <v>179</v>
      </c>
      <c r="C46" s="9" t="s">
        <v>56</v>
      </c>
      <c r="D46" s="9" t="s">
        <v>39</v>
      </c>
      <c r="E46" s="9" t="s">
        <v>36</v>
      </c>
      <c r="F46" s="9">
        <v>138000</v>
      </c>
      <c r="G46" s="9" t="s">
        <v>181</v>
      </c>
      <c r="H46" s="9">
        <f t="shared" si="0"/>
        <v>2019</v>
      </c>
      <c r="I46">
        <f t="shared" si="1"/>
        <v>2</v>
      </c>
      <c r="K46"/>
      <c r="L46"/>
    </row>
    <row r="47" spans="2:12" ht="16.5" x14ac:dyDescent="0.25">
      <c r="B47" s="9" t="s">
        <v>182</v>
      </c>
      <c r="C47" s="9" t="s">
        <v>59</v>
      </c>
      <c r="D47" s="9" t="s">
        <v>34</v>
      </c>
      <c r="E47" s="9" t="s">
        <v>34</v>
      </c>
      <c r="F47" s="9">
        <v>228000</v>
      </c>
      <c r="G47" s="9" t="s">
        <v>181</v>
      </c>
      <c r="H47" s="9">
        <f t="shared" si="0"/>
        <v>2019</v>
      </c>
      <c r="I47">
        <f t="shared" si="1"/>
        <v>2</v>
      </c>
      <c r="K47"/>
      <c r="L47"/>
    </row>
    <row r="48" spans="2:12" ht="16.5" x14ac:dyDescent="0.25">
      <c r="B48" s="9" t="s">
        <v>184</v>
      </c>
      <c r="C48" s="9" t="s">
        <v>39</v>
      </c>
      <c r="D48" s="9" t="s">
        <v>38</v>
      </c>
      <c r="E48" s="9" t="s">
        <v>38</v>
      </c>
      <c r="F48" s="9">
        <v>60000</v>
      </c>
      <c r="G48" s="9" t="s">
        <v>186</v>
      </c>
      <c r="H48" s="9">
        <f t="shared" si="0"/>
        <v>2019</v>
      </c>
      <c r="I48">
        <f t="shared" si="1"/>
        <v>2</v>
      </c>
      <c r="K48"/>
      <c r="L48"/>
    </row>
    <row r="49" spans="2:12" ht="16.5" x14ac:dyDescent="0.25">
      <c r="B49" s="9" t="s">
        <v>187</v>
      </c>
      <c r="C49" s="9" t="s">
        <v>40</v>
      </c>
      <c r="D49" s="9" t="s">
        <v>34</v>
      </c>
      <c r="E49" s="9" t="s">
        <v>39</v>
      </c>
      <c r="F49" s="9">
        <v>98000</v>
      </c>
      <c r="G49" s="9" t="s">
        <v>189</v>
      </c>
      <c r="H49" s="9">
        <f t="shared" si="0"/>
        <v>2019</v>
      </c>
      <c r="I49">
        <f t="shared" si="1"/>
        <v>2</v>
      </c>
      <c r="K49"/>
      <c r="L49"/>
    </row>
    <row r="50" spans="2:12" ht="16.5" x14ac:dyDescent="0.25">
      <c r="B50" s="9" t="s">
        <v>190</v>
      </c>
      <c r="C50" s="9" t="s">
        <v>36</v>
      </c>
      <c r="D50" s="9" t="s">
        <v>38</v>
      </c>
      <c r="E50" s="9" t="s">
        <v>38</v>
      </c>
      <c r="F50" s="9">
        <v>251000</v>
      </c>
      <c r="G50" s="9" t="s">
        <v>192</v>
      </c>
      <c r="H50" s="9">
        <f t="shared" si="0"/>
        <v>2019</v>
      </c>
      <c r="I50">
        <f t="shared" si="1"/>
        <v>2</v>
      </c>
      <c r="K50"/>
      <c r="L50"/>
    </row>
    <row r="51" spans="2:12" ht="16.5" x14ac:dyDescent="0.25">
      <c r="B51" s="9" t="s">
        <v>193</v>
      </c>
      <c r="C51" s="9" t="s">
        <v>59</v>
      </c>
      <c r="D51" s="9" t="s">
        <v>38</v>
      </c>
      <c r="E51" s="9" t="s">
        <v>35</v>
      </c>
      <c r="F51" s="9">
        <v>256000</v>
      </c>
      <c r="G51" s="9" t="s">
        <v>195</v>
      </c>
      <c r="H51" s="9">
        <f t="shared" si="0"/>
        <v>2019</v>
      </c>
      <c r="I51">
        <f t="shared" si="1"/>
        <v>2</v>
      </c>
      <c r="K51"/>
      <c r="L51"/>
    </row>
    <row r="52" spans="2:12" ht="16.5" x14ac:dyDescent="0.25">
      <c r="B52" s="9" t="s">
        <v>196</v>
      </c>
      <c r="C52" s="9" t="s">
        <v>39</v>
      </c>
      <c r="D52" s="9" t="s">
        <v>36</v>
      </c>
      <c r="E52" s="9" t="s">
        <v>35</v>
      </c>
      <c r="F52" s="9">
        <v>120000</v>
      </c>
      <c r="G52" s="9" t="s">
        <v>197</v>
      </c>
      <c r="H52" s="9">
        <f t="shared" si="0"/>
        <v>2019</v>
      </c>
      <c r="I52">
        <f t="shared" si="1"/>
        <v>2</v>
      </c>
      <c r="K52"/>
      <c r="L52"/>
    </row>
    <row r="53" spans="2:12" ht="16.5" x14ac:dyDescent="0.25">
      <c r="B53" s="9" t="s">
        <v>198</v>
      </c>
      <c r="C53" s="9" t="s">
        <v>36</v>
      </c>
      <c r="D53" s="9" t="s">
        <v>35</v>
      </c>
      <c r="E53" s="9" t="s">
        <v>35</v>
      </c>
      <c r="F53" s="9">
        <v>70000</v>
      </c>
      <c r="G53" s="9" t="s">
        <v>200</v>
      </c>
      <c r="H53" s="9">
        <f t="shared" si="0"/>
        <v>2019</v>
      </c>
      <c r="I53">
        <f t="shared" si="1"/>
        <v>2</v>
      </c>
      <c r="K53"/>
      <c r="L53"/>
    </row>
    <row r="54" spans="2:12" ht="16.5" x14ac:dyDescent="0.25">
      <c r="B54" s="9" t="s">
        <v>201</v>
      </c>
      <c r="C54" s="9" t="s">
        <v>36</v>
      </c>
      <c r="D54" s="9" t="s">
        <v>39</v>
      </c>
      <c r="E54" s="9" t="s">
        <v>34</v>
      </c>
      <c r="F54" s="9">
        <v>33000</v>
      </c>
      <c r="G54" s="9" t="s">
        <v>200</v>
      </c>
      <c r="H54" s="9">
        <f t="shared" si="0"/>
        <v>2019</v>
      </c>
      <c r="I54">
        <f t="shared" si="1"/>
        <v>2</v>
      </c>
      <c r="K54"/>
      <c r="L54"/>
    </row>
    <row r="55" spans="2:12" ht="16.5" x14ac:dyDescent="0.25">
      <c r="B55" s="9" t="s">
        <v>203</v>
      </c>
      <c r="C55" s="9" t="s">
        <v>34</v>
      </c>
      <c r="D55" s="9" t="s">
        <v>37</v>
      </c>
      <c r="E55" s="9" t="s">
        <v>35</v>
      </c>
      <c r="F55" s="9">
        <v>186000</v>
      </c>
      <c r="G55" s="9" t="s">
        <v>205</v>
      </c>
      <c r="H55" s="9">
        <f t="shared" si="0"/>
        <v>2019</v>
      </c>
      <c r="I55">
        <f t="shared" si="1"/>
        <v>2</v>
      </c>
      <c r="K55"/>
      <c r="L55"/>
    </row>
    <row r="56" spans="2:12" ht="16.5" x14ac:dyDescent="0.25">
      <c r="B56" s="9" t="s">
        <v>206</v>
      </c>
      <c r="C56" s="9" t="s">
        <v>39</v>
      </c>
      <c r="D56" s="9" t="s">
        <v>38</v>
      </c>
      <c r="E56" s="9" t="s">
        <v>35</v>
      </c>
      <c r="F56" s="9">
        <v>204000</v>
      </c>
      <c r="G56" s="9" t="s">
        <v>208</v>
      </c>
      <c r="H56" s="9">
        <f t="shared" si="0"/>
        <v>2019</v>
      </c>
      <c r="I56">
        <f t="shared" si="1"/>
        <v>2</v>
      </c>
      <c r="K56"/>
      <c r="L56"/>
    </row>
    <row r="57" spans="2:12" ht="16.5" x14ac:dyDescent="0.25">
      <c r="B57" s="9" t="s">
        <v>209</v>
      </c>
      <c r="C57" s="9" t="s">
        <v>34</v>
      </c>
      <c r="D57" s="9" t="s">
        <v>34</v>
      </c>
      <c r="E57" s="9" t="s">
        <v>38</v>
      </c>
      <c r="F57" s="9">
        <v>239000</v>
      </c>
      <c r="G57" s="9" t="s">
        <v>208</v>
      </c>
      <c r="H57" s="9">
        <f t="shared" si="0"/>
        <v>2019</v>
      </c>
      <c r="I57">
        <f t="shared" si="1"/>
        <v>2</v>
      </c>
      <c r="K57"/>
      <c r="L57"/>
    </row>
    <row r="58" spans="2:12" ht="16.5" x14ac:dyDescent="0.25">
      <c r="B58" s="9" t="s">
        <v>210</v>
      </c>
      <c r="C58" s="9" t="s">
        <v>59</v>
      </c>
      <c r="D58" s="9" t="s">
        <v>40</v>
      </c>
      <c r="E58" s="9" t="s">
        <v>39</v>
      </c>
      <c r="F58" s="9">
        <v>258000</v>
      </c>
      <c r="G58" s="9" t="s">
        <v>212</v>
      </c>
      <c r="H58" s="9">
        <f t="shared" si="0"/>
        <v>2019</v>
      </c>
      <c r="I58">
        <f t="shared" si="1"/>
        <v>2</v>
      </c>
      <c r="K58"/>
      <c r="L58"/>
    </row>
    <row r="59" spans="2:12" ht="16.5" x14ac:dyDescent="0.25">
      <c r="B59" s="9" t="s">
        <v>213</v>
      </c>
      <c r="C59" s="9" t="s">
        <v>56</v>
      </c>
      <c r="D59" s="9" t="s">
        <v>35</v>
      </c>
      <c r="E59" s="9" t="s">
        <v>39</v>
      </c>
      <c r="F59" s="9">
        <v>264000</v>
      </c>
      <c r="G59" s="9" t="s">
        <v>215</v>
      </c>
      <c r="H59" s="9">
        <f t="shared" si="0"/>
        <v>2019</v>
      </c>
      <c r="I59">
        <f t="shared" si="1"/>
        <v>2</v>
      </c>
      <c r="K59"/>
      <c r="L59"/>
    </row>
    <row r="60" spans="2:12" ht="16.5" x14ac:dyDescent="0.25">
      <c r="B60" s="9" t="s">
        <v>216</v>
      </c>
      <c r="C60" s="9" t="s">
        <v>37</v>
      </c>
      <c r="D60" s="9" t="s">
        <v>36</v>
      </c>
      <c r="E60" s="9" t="s">
        <v>34</v>
      </c>
      <c r="F60" s="9">
        <v>287000</v>
      </c>
      <c r="G60" s="9" t="s">
        <v>215</v>
      </c>
      <c r="H60" s="9">
        <f t="shared" si="0"/>
        <v>2019</v>
      </c>
      <c r="I60">
        <f t="shared" si="1"/>
        <v>2</v>
      </c>
      <c r="K60"/>
      <c r="L60"/>
    </row>
    <row r="61" spans="2:12" ht="16.5" x14ac:dyDescent="0.25">
      <c r="B61" s="9" t="s">
        <v>218</v>
      </c>
      <c r="C61" s="9" t="s">
        <v>56</v>
      </c>
      <c r="D61" s="9" t="s">
        <v>35</v>
      </c>
      <c r="E61" s="9" t="s">
        <v>36</v>
      </c>
      <c r="F61" s="9">
        <v>226000</v>
      </c>
      <c r="G61" s="9" t="s">
        <v>215</v>
      </c>
      <c r="H61" s="9">
        <f t="shared" si="0"/>
        <v>2019</v>
      </c>
      <c r="I61">
        <f t="shared" si="1"/>
        <v>2</v>
      </c>
      <c r="K61"/>
      <c r="L61"/>
    </row>
    <row r="62" spans="2:12" ht="16.5" x14ac:dyDescent="0.25">
      <c r="B62" s="9" t="s">
        <v>220</v>
      </c>
      <c r="C62" s="9" t="s">
        <v>35</v>
      </c>
      <c r="D62" s="9" t="s">
        <v>40</v>
      </c>
      <c r="E62" s="9" t="s">
        <v>34</v>
      </c>
      <c r="F62" s="9">
        <v>246000</v>
      </c>
      <c r="G62" s="9" t="s">
        <v>215</v>
      </c>
      <c r="H62" s="9">
        <f t="shared" si="0"/>
        <v>2019</v>
      </c>
      <c r="I62">
        <f t="shared" si="1"/>
        <v>2</v>
      </c>
      <c r="K62"/>
      <c r="L62"/>
    </row>
    <row r="63" spans="2:12" ht="16.5" x14ac:dyDescent="0.25">
      <c r="B63" s="9" t="s">
        <v>221</v>
      </c>
      <c r="C63" s="9" t="s">
        <v>59</v>
      </c>
      <c r="D63" s="9" t="s">
        <v>36</v>
      </c>
      <c r="E63" s="9" t="s">
        <v>37</v>
      </c>
      <c r="F63" s="9">
        <v>213000</v>
      </c>
      <c r="G63" s="9" t="s">
        <v>223</v>
      </c>
      <c r="H63" s="9">
        <f t="shared" si="0"/>
        <v>2019</v>
      </c>
      <c r="I63">
        <f t="shared" si="1"/>
        <v>2</v>
      </c>
      <c r="K63"/>
      <c r="L63"/>
    </row>
    <row r="64" spans="2:12" ht="16.5" x14ac:dyDescent="0.25">
      <c r="B64" s="9" t="s">
        <v>224</v>
      </c>
      <c r="C64" s="9" t="s">
        <v>35</v>
      </c>
      <c r="D64" s="9" t="s">
        <v>36</v>
      </c>
      <c r="E64" s="9" t="s">
        <v>36</v>
      </c>
      <c r="F64" s="9">
        <v>249000</v>
      </c>
      <c r="G64" s="9" t="s">
        <v>226</v>
      </c>
      <c r="H64" s="9">
        <f t="shared" si="0"/>
        <v>2019</v>
      </c>
      <c r="I64">
        <f t="shared" si="1"/>
        <v>2</v>
      </c>
      <c r="K64"/>
      <c r="L64"/>
    </row>
    <row r="65" spans="2:12" ht="16.5" x14ac:dyDescent="0.25">
      <c r="B65" s="9" t="s">
        <v>227</v>
      </c>
      <c r="C65" s="9" t="s">
        <v>37</v>
      </c>
      <c r="D65" s="9" t="s">
        <v>37</v>
      </c>
      <c r="E65" s="9" t="s">
        <v>38</v>
      </c>
      <c r="F65" s="9">
        <v>297000</v>
      </c>
      <c r="G65" s="9" t="s">
        <v>226</v>
      </c>
      <c r="H65" s="9">
        <f t="shared" si="0"/>
        <v>2019</v>
      </c>
      <c r="I65">
        <f t="shared" si="1"/>
        <v>2</v>
      </c>
      <c r="K65"/>
      <c r="L65"/>
    </row>
    <row r="66" spans="2:12" ht="16.5" x14ac:dyDescent="0.25">
      <c r="B66" s="9" t="s">
        <v>229</v>
      </c>
      <c r="C66" s="9" t="s">
        <v>40</v>
      </c>
      <c r="D66" s="9" t="s">
        <v>36</v>
      </c>
      <c r="E66" s="9" t="s">
        <v>35</v>
      </c>
      <c r="F66" s="9">
        <v>180000</v>
      </c>
      <c r="G66" s="9" t="s">
        <v>231</v>
      </c>
      <c r="H66" s="9">
        <f t="shared" si="0"/>
        <v>2019</v>
      </c>
      <c r="I66">
        <f t="shared" si="1"/>
        <v>2</v>
      </c>
      <c r="K66"/>
      <c r="L66"/>
    </row>
    <row r="67" spans="2:12" ht="16.5" x14ac:dyDescent="0.25">
      <c r="B67" s="9" t="s">
        <v>232</v>
      </c>
      <c r="C67" s="9" t="s">
        <v>56</v>
      </c>
      <c r="D67" s="9" t="s">
        <v>38</v>
      </c>
      <c r="E67" s="9" t="s">
        <v>35</v>
      </c>
      <c r="F67" s="9">
        <v>30000</v>
      </c>
      <c r="G67" s="9" t="s">
        <v>234</v>
      </c>
      <c r="H67" s="9">
        <f t="shared" ref="H67:H130" si="3">YEAR(G67)</f>
        <v>2019</v>
      </c>
      <c r="I67">
        <f t="shared" ref="I67:I130" si="4">MONTH(G67)</f>
        <v>2</v>
      </c>
      <c r="K67"/>
      <c r="L67"/>
    </row>
    <row r="68" spans="2:12" ht="16.5" x14ac:dyDescent="0.25">
      <c r="B68" s="9" t="s">
        <v>235</v>
      </c>
      <c r="C68" s="9" t="s">
        <v>37</v>
      </c>
      <c r="D68" s="9" t="s">
        <v>35</v>
      </c>
      <c r="E68" s="9" t="s">
        <v>39</v>
      </c>
      <c r="F68" s="9">
        <v>106000</v>
      </c>
      <c r="G68" s="9" t="s">
        <v>237</v>
      </c>
      <c r="H68" s="9">
        <f t="shared" si="3"/>
        <v>2019</v>
      </c>
      <c r="I68">
        <f t="shared" si="4"/>
        <v>3</v>
      </c>
      <c r="K68"/>
      <c r="L68"/>
    </row>
    <row r="69" spans="2:12" ht="16.5" x14ac:dyDescent="0.25">
      <c r="B69" s="9" t="s">
        <v>238</v>
      </c>
      <c r="C69" s="9" t="s">
        <v>35</v>
      </c>
      <c r="D69" s="9" t="s">
        <v>38</v>
      </c>
      <c r="E69" s="9" t="s">
        <v>36</v>
      </c>
      <c r="F69" s="9">
        <v>281000</v>
      </c>
      <c r="G69" s="9" t="s">
        <v>240</v>
      </c>
      <c r="H69" s="9">
        <f t="shared" si="3"/>
        <v>2019</v>
      </c>
      <c r="I69">
        <f t="shared" si="4"/>
        <v>3</v>
      </c>
      <c r="K69"/>
      <c r="L69"/>
    </row>
    <row r="70" spans="2:12" ht="16.5" x14ac:dyDescent="0.25">
      <c r="B70" s="9" t="s">
        <v>241</v>
      </c>
      <c r="C70" s="9" t="s">
        <v>59</v>
      </c>
      <c r="D70" s="9" t="s">
        <v>37</v>
      </c>
      <c r="E70" s="9" t="s">
        <v>38</v>
      </c>
      <c r="F70" s="9">
        <v>92000</v>
      </c>
      <c r="G70" s="9" t="s">
        <v>240</v>
      </c>
      <c r="H70" s="9">
        <f t="shared" si="3"/>
        <v>2019</v>
      </c>
      <c r="I70">
        <f t="shared" si="4"/>
        <v>3</v>
      </c>
      <c r="K70"/>
      <c r="L70"/>
    </row>
    <row r="71" spans="2:12" ht="16.5" x14ac:dyDescent="0.25">
      <c r="B71" s="9" t="s">
        <v>243</v>
      </c>
      <c r="C71" s="9" t="s">
        <v>35</v>
      </c>
      <c r="D71" s="9" t="s">
        <v>36</v>
      </c>
      <c r="E71" s="9" t="s">
        <v>37</v>
      </c>
      <c r="F71" s="9">
        <v>78000</v>
      </c>
      <c r="G71" s="9" t="s">
        <v>245</v>
      </c>
      <c r="H71" s="9">
        <f t="shared" si="3"/>
        <v>2019</v>
      </c>
      <c r="I71">
        <f t="shared" si="4"/>
        <v>3</v>
      </c>
      <c r="K71"/>
      <c r="L71"/>
    </row>
    <row r="72" spans="2:12" ht="16.5" x14ac:dyDescent="0.25">
      <c r="B72" s="9" t="s">
        <v>246</v>
      </c>
      <c r="C72" s="9" t="s">
        <v>36</v>
      </c>
      <c r="D72" s="9" t="s">
        <v>37</v>
      </c>
      <c r="E72" s="9" t="s">
        <v>39</v>
      </c>
      <c r="F72" s="9">
        <v>192000</v>
      </c>
      <c r="G72" s="9" t="s">
        <v>245</v>
      </c>
      <c r="H72" s="9">
        <f t="shared" si="3"/>
        <v>2019</v>
      </c>
      <c r="I72">
        <f t="shared" si="4"/>
        <v>3</v>
      </c>
      <c r="K72"/>
      <c r="L72"/>
    </row>
    <row r="73" spans="2:12" ht="16.5" x14ac:dyDescent="0.25">
      <c r="B73" s="9" t="s">
        <v>248</v>
      </c>
      <c r="C73" s="9" t="s">
        <v>38</v>
      </c>
      <c r="D73" s="9" t="s">
        <v>35</v>
      </c>
      <c r="E73" s="9" t="s">
        <v>35</v>
      </c>
      <c r="F73" s="9">
        <v>126000</v>
      </c>
      <c r="G73" s="9" t="s">
        <v>250</v>
      </c>
      <c r="H73" s="9">
        <f t="shared" si="3"/>
        <v>2019</v>
      </c>
      <c r="I73">
        <f t="shared" si="4"/>
        <v>3</v>
      </c>
      <c r="K73"/>
      <c r="L73"/>
    </row>
    <row r="74" spans="2:12" ht="16.5" x14ac:dyDescent="0.25">
      <c r="B74" s="9" t="s">
        <v>251</v>
      </c>
      <c r="C74" s="9" t="s">
        <v>56</v>
      </c>
      <c r="D74" s="9" t="s">
        <v>35</v>
      </c>
      <c r="E74" s="9" t="s">
        <v>39</v>
      </c>
      <c r="F74" s="9">
        <v>115000</v>
      </c>
      <c r="G74" s="9" t="s">
        <v>250</v>
      </c>
      <c r="H74" s="9">
        <f t="shared" si="3"/>
        <v>2019</v>
      </c>
      <c r="I74">
        <f t="shared" si="4"/>
        <v>3</v>
      </c>
      <c r="K74"/>
      <c r="L74"/>
    </row>
    <row r="75" spans="2:12" ht="16.5" x14ac:dyDescent="0.25">
      <c r="B75" s="9" t="s">
        <v>253</v>
      </c>
      <c r="C75" s="9" t="s">
        <v>37</v>
      </c>
      <c r="D75" s="9" t="s">
        <v>38</v>
      </c>
      <c r="E75" s="9" t="s">
        <v>34</v>
      </c>
      <c r="F75" s="9">
        <v>191000</v>
      </c>
      <c r="G75" s="9" t="s">
        <v>255</v>
      </c>
      <c r="H75" s="9">
        <f t="shared" si="3"/>
        <v>2019</v>
      </c>
      <c r="I75">
        <f t="shared" si="4"/>
        <v>3</v>
      </c>
      <c r="K75"/>
      <c r="L75"/>
    </row>
    <row r="76" spans="2:12" ht="16.5" x14ac:dyDescent="0.25">
      <c r="B76" s="9" t="s">
        <v>256</v>
      </c>
      <c r="C76" s="9" t="s">
        <v>38</v>
      </c>
      <c r="D76" s="9" t="s">
        <v>37</v>
      </c>
      <c r="E76" s="9" t="s">
        <v>37</v>
      </c>
      <c r="F76" s="9">
        <v>289000</v>
      </c>
      <c r="G76" s="9" t="s">
        <v>258</v>
      </c>
      <c r="H76" s="9">
        <f t="shared" si="3"/>
        <v>2019</v>
      </c>
      <c r="I76">
        <f t="shared" si="4"/>
        <v>3</v>
      </c>
      <c r="K76"/>
      <c r="L76"/>
    </row>
    <row r="77" spans="2:12" ht="16.5" x14ac:dyDescent="0.25">
      <c r="B77" s="9" t="s">
        <v>259</v>
      </c>
      <c r="C77" s="9" t="s">
        <v>39</v>
      </c>
      <c r="D77" s="9" t="s">
        <v>38</v>
      </c>
      <c r="E77" s="9" t="s">
        <v>39</v>
      </c>
      <c r="F77" s="9">
        <v>127000</v>
      </c>
      <c r="G77" s="9" t="s">
        <v>258</v>
      </c>
      <c r="H77" s="9">
        <f t="shared" si="3"/>
        <v>2019</v>
      </c>
      <c r="I77">
        <f t="shared" si="4"/>
        <v>3</v>
      </c>
      <c r="K77"/>
      <c r="L77"/>
    </row>
    <row r="78" spans="2:12" ht="16.5" x14ac:dyDescent="0.25">
      <c r="B78" s="9" t="s">
        <v>261</v>
      </c>
      <c r="C78" s="9" t="s">
        <v>35</v>
      </c>
      <c r="D78" s="9" t="s">
        <v>35</v>
      </c>
      <c r="E78" s="9" t="s">
        <v>38</v>
      </c>
      <c r="F78" s="9">
        <v>207000</v>
      </c>
      <c r="G78" s="9" t="s">
        <v>258</v>
      </c>
      <c r="H78" s="9">
        <f t="shared" si="3"/>
        <v>2019</v>
      </c>
      <c r="I78">
        <f t="shared" si="4"/>
        <v>3</v>
      </c>
      <c r="K78"/>
      <c r="L78"/>
    </row>
    <row r="79" spans="2:12" ht="16.5" x14ac:dyDescent="0.25">
      <c r="B79" s="9" t="s">
        <v>263</v>
      </c>
      <c r="C79" s="9" t="s">
        <v>35</v>
      </c>
      <c r="D79" s="9" t="s">
        <v>37</v>
      </c>
      <c r="E79" s="9" t="s">
        <v>37</v>
      </c>
      <c r="F79" s="9">
        <v>152000</v>
      </c>
      <c r="G79" s="9" t="s">
        <v>265</v>
      </c>
      <c r="H79" s="9">
        <f t="shared" si="3"/>
        <v>2019</v>
      </c>
      <c r="I79">
        <f t="shared" si="4"/>
        <v>3</v>
      </c>
      <c r="K79"/>
      <c r="L79"/>
    </row>
    <row r="80" spans="2:12" ht="16.5" x14ac:dyDescent="0.25">
      <c r="B80" s="9" t="s">
        <v>266</v>
      </c>
      <c r="C80" s="9" t="s">
        <v>40</v>
      </c>
      <c r="D80" s="9" t="s">
        <v>39</v>
      </c>
      <c r="E80" s="9" t="s">
        <v>37</v>
      </c>
      <c r="F80" s="9">
        <v>113000</v>
      </c>
      <c r="G80" s="9" t="s">
        <v>268</v>
      </c>
      <c r="H80" s="9">
        <f t="shared" si="3"/>
        <v>2019</v>
      </c>
      <c r="I80">
        <f t="shared" si="4"/>
        <v>3</v>
      </c>
      <c r="K80"/>
      <c r="L80"/>
    </row>
    <row r="81" spans="2:12" ht="16.5" x14ac:dyDescent="0.25">
      <c r="B81" s="9" t="s">
        <v>269</v>
      </c>
      <c r="C81" s="9" t="s">
        <v>39</v>
      </c>
      <c r="D81" s="9" t="s">
        <v>36</v>
      </c>
      <c r="E81" s="9" t="s">
        <v>37</v>
      </c>
      <c r="F81" s="9">
        <v>112000</v>
      </c>
      <c r="G81" s="9" t="s">
        <v>271</v>
      </c>
      <c r="H81" s="9">
        <f t="shared" si="3"/>
        <v>2019</v>
      </c>
      <c r="I81">
        <f t="shared" si="4"/>
        <v>3</v>
      </c>
      <c r="K81"/>
      <c r="L81"/>
    </row>
    <row r="82" spans="2:12" ht="16.5" x14ac:dyDescent="0.25">
      <c r="B82" s="9" t="s">
        <v>272</v>
      </c>
      <c r="C82" s="9" t="s">
        <v>37</v>
      </c>
      <c r="D82" s="9" t="s">
        <v>40</v>
      </c>
      <c r="E82" s="9" t="s">
        <v>37</v>
      </c>
      <c r="F82" s="9">
        <v>256000</v>
      </c>
      <c r="G82" s="9" t="s">
        <v>273</v>
      </c>
      <c r="H82" s="9">
        <f t="shared" si="3"/>
        <v>2019</v>
      </c>
      <c r="I82">
        <f t="shared" si="4"/>
        <v>3</v>
      </c>
      <c r="K82"/>
      <c r="L82"/>
    </row>
    <row r="83" spans="2:12" ht="16.5" x14ac:dyDescent="0.25">
      <c r="B83" s="9" t="s">
        <v>274</v>
      </c>
      <c r="C83" s="9" t="s">
        <v>36</v>
      </c>
      <c r="D83" s="9" t="s">
        <v>35</v>
      </c>
      <c r="E83" s="9" t="s">
        <v>39</v>
      </c>
      <c r="F83" s="9">
        <v>202000</v>
      </c>
      <c r="G83" s="9" t="s">
        <v>276</v>
      </c>
      <c r="H83" s="9">
        <f t="shared" si="3"/>
        <v>2019</v>
      </c>
      <c r="I83">
        <f t="shared" si="4"/>
        <v>3</v>
      </c>
      <c r="K83"/>
      <c r="L83"/>
    </row>
    <row r="84" spans="2:12" ht="16.5" x14ac:dyDescent="0.25">
      <c r="B84" s="9" t="s">
        <v>277</v>
      </c>
      <c r="C84" s="9" t="s">
        <v>34</v>
      </c>
      <c r="D84" s="9" t="s">
        <v>37</v>
      </c>
      <c r="E84" s="9" t="s">
        <v>37</v>
      </c>
      <c r="F84" s="9">
        <v>163000</v>
      </c>
      <c r="G84" s="9" t="s">
        <v>276</v>
      </c>
      <c r="H84" s="9">
        <f t="shared" si="3"/>
        <v>2019</v>
      </c>
      <c r="I84">
        <f t="shared" si="4"/>
        <v>3</v>
      </c>
      <c r="K84"/>
      <c r="L84"/>
    </row>
    <row r="85" spans="2:12" ht="16.5" x14ac:dyDescent="0.25">
      <c r="B85" s="9" t="s">
        <v>279</v>
      </c>
      <c r="C85" s="9" t="s">
        <v>59</v>
      </c>
      <c r="D85" s="9" t="s">
        <v>39</v>
      </c>
      <c r="E85" s="9" t="s">
        <v>35</v>
      </c>
      <c r="F85" s="9">
        <v>188000</v>
      </c>
      <c r="G85" s="9" t="s">
        <v>281</v>
      </c>
      <c r="H85" s="9">
        <f t="shared" si="3"/>
        <v>2019</v>
      </c>
      <c r="I85">
        <f t="shared" si="4"/>
        <v>3</v>
      </c>
      <c r="K85"/>
      <c r="L85"/>
    </row>
    <row r="86" spans="2:12" ht="16.5" x14ac:dyDescent="0.25">
      <c r="B86" s="9" t="s">
        <v>282</v>
      </c>
      <c r="C86" s="9" t="s">
        <v>34</v>
      </c>
      <c r="D86" s="9" t="s">
        <v>40</v>
      </c>
      <c r="E86" s="9" t="s">
        <v>35</v>
      </c>
      <c r="F86" s="9">
        <v>199000</v>
      </c>
      <c r="G86" s="9" t="s">
        <v>281</v>
      </c>
      <c r="H86" s="9">
        <f t="shared" si="3"/>
        <v>2019</v>
      </c>
      <c r="I86">
        <f t="shared" si="4"/>
        <v>3</v>
      </c>
      <c r="K86"/>
      <c r="L86"/>
    </row>
    <row r="87" spans="2:12" ht="16.5" x14ac:dyDescent="0.25">
      <c r="B87" s="9" t="s">
        <v>283</v>
      </c>
      <c r="C87" s="9" t="s">
        <v>40</v>
      </c>
      <c r="D87" s="9" t="s">
        <v>40</v>
      </c>
      <c r="E87" s="9" t="s">
        <v>35</v>
      </c>
      <c r="F87" s="9">
        <v>174000</v>
      </c>
      <c r="G87" s="9" t="s">
        <v>281</v>
      </c>
      <c r="H87" s="9">
        <f t="shared" si="3"/>
        <v>2019</v>
      </c>
      <c r="I87">
        <f t="shared" si="4"/>
        <v>3</v>
      </c>
      <c r="K87"/>
      <c r="L87"/>
    </row>
    <row r="88" spans="2:12" ht="16.5" x14ac:dyDescent="0.25">
      <c r="B88" s="9" t="s">
        <v>285</v>
      </c>
      <c r="C88" s="9" t="s">
        <v>39</v>
      </c>
      <c r="D88" s="9" t="s">
        <v>40</v>
      </c>
      <c r="E88" s="9" t="s">
        <v>34</v>
      </c>
      <c r="F88" s="9">
        <v>55000</v>
      </c>
      <c r="G88" s="9" t="s">
        <v>287</v>
      </c>
      <c r="H88" s="9">
        <f t="shared" si="3"/>
        <v>2019</v>
      </c>
      <c r="I88">
        <f t="shared" si="4"/>
        <v>3</v>
      </c>
      <c r="K88"/>
      <c r="L88"/>
    </row>
    <row r="89" spans="2:12" ht="16.5" x14ac:dyDescent="0.25">
      <c r="B89" s="9" t="s">
        <v>288</v>
      </c>
      <c r="C89" s="9" t="s">
        <v>40</v>
      </c>
      <c r="D89" s="9" t="s">
        <v>37</v>
      </c>
      <c r="E89" s="9" t="s">
        <v>35</v>
      </c>
      <c r="F89" s="9">
        <v>147000</v>
      </c>
      <c r="G89" s="9" t="s">
        <v>287</v>
      </c>
      <c r="H89" s="9">
        <f t="shared" si="3"/>
        <v>2019</v>
      </c>
      <c r="I89">
        <f t="shared" si="4"/>
        <v>3</v>
      </c>
      <c r="K89"/>
      <c r="L89"/>
    </row>
    <row r="90" spans="2:12" ht="16.5" x14ac:dyDescent="0.25">
      <c r="B90" s="9" t="s">
        <v>290</v>
      </c>
      <c r="C90" s="9" t="s">
        <v>37</v>
      </c>
      <c r="D90" s="9" t="s">
        <v>35</v>
      </c>
      <c r="E90" s="9" t="s">
        <v>39</v>
      </c>
      <c r="F90" s="9">
        <v>54000</v>
      </c>
      <c r="G90" s="9" t="s">
        <v>292</v>
      </c>
      <c r="H90" s="9">
        <f t="shared" si="3"/>
        <v>2019</v>
      </c>
      <c r="I90">
        <f t="shared" si="4"/>
        <v>3</v>
      </c>
      <c r="K90"/>
      <c r="L90"/>
    </row>
    <row r="91" spans="2:12" ht="16.5" x14ac:dyDescent="0.25">
      <c r="B91" s="9" t="s">
        <v>293</v>
      </c>
      <c r="C91" s="9" t="s">
        <v>39</v>
      </c>
      <c r="D91" s="9" t="s">
        <v>40</v>
      </c>
      <c r="E91" s="9" t="s">
        <v>38</v>
      </c>
      <c r="F91" s="9">
        <v>100000</v>
      </c>
      <c r="G91" s="9" t="s">
        <v>292</v>
      </c>
      <c r="H91" s="9">
        <f t="shared" si="3"/>
        <v>2019</v>
      </c>
      <c r="I91">
        <f t="shared" si="4"/>
        <v>3</v>
      </c>
      <c r="K91"/>
      <c r="L91"/>
    </row>
    <row r="92" spans="2:12" ht="16.5" x14ac:dyDescent="0.25">
      <c r="B92" s="9" t="s">
        <v>294</v>
      </c>
      <c r="C92" s="9" t="s">
        <v>36</v>
      </c>
      <c r="D92" s="9" t="s">
        <v>39</v>
      </c>
      <c r="E92" s="9" t="s">
        <v>34</v>
      </c>
      <c r="F92" s="9">
        <v>51000</v>
      </c>
      <c r="G92" s="9" t="s">
        <v>292</v>
      </c>
      <c r="H92" s="9">
        <f t="shared" si="3"/>
        <v>2019</v>
      </c>
      <c r="I92">
        <f t="shared" si="4"/>
        <v>3</v>
      </c>
      <c r="K92"/>
      <c r="L92"/>
    </row>
    <row r="93" spans="2:12" ht="16.5" x14ac:dyDescent="0.25">
      <c r="B93" s="9" t="s">
        <v>296</v>
      </c>
      <c r="C93" s="9" t="s">
        <v>36</v>
      </c>
      <c r="D93" s="9" t="s">
        <v>40</v>
      </c>
      <c r="E93" s="9" t="s">
        <v>34</v>
      </c>
      <c r="F93" s="9">
        <v>116000</v>
      </c>
      <c r="G93" s="9" t="s">
        <v>298</v>
      </c>
      <c r="H93" s="9">
        <f t="shared" si="3"/>
        <v>2019</v>
      </c>
      <c r="I93">
        <f t="shared" si="4"/>
        <v>3</v>
      </c>
      <c r="K93"/>
      <c r="L93"/>
    </row>
    <row r="94" spans="2:12" ht="16.5" x14ac:dyDescent="0.25">
      <c r="B94" s="9" t="s">
        <v>299</v>
      </c>
      <c r="C94" s="9" t="s">
        <v>36</v>
      </c>
      <c r="D94" s="9" t="s">
        <v>35</v>
      </c>
      <c r="E94" s="9" t="s">
        <v>34</v>
      </c>
      <c r="F94" s="9">
        <v>125000</v>
      </c>
      <c r="G94" s="9" t="s">
        <v>301</v>
      </c>
      <c r="H94" s="9">
        <f t="shared" si="3"/>
        <v>2019</v>
      </c>
      <c r="I94">
        <f t="shared" si="4"/>
        <v>3</v>
      </c>
      <c r="K94"/>
      <c r="L94"/>
    </row>
    <row r="95" spans="2:12" ht="16.5" x14ac:dyDescent="0.25">
      <c r="B95" s="9" t="s">
        <v>302</v>
      </c>
      <c r="C95" s="9" t="s">
        <v>35</v>
      </c>
      <c r="D95" s="9" t="s">
        <v>38</v>
      </c>
      <c r="E95" s="9" t="s">
        <v>39</v>
      </c>
      <c r="F95" s="9">
        <v>196000</v>
      </c>
      <c r="G95" s="9" t="s">
        <v>304</v>
      </c>
      <c r="H95" s="9">
        <f t="shared" si="3"/>
        <v>2019</v>
      </c>
      <c r="I95">
        <f t="shared" si="4"/>
        <v>3</v>
      </c>
      <c r="K95"/>
      <c r="L95"/>
    </row>
    <row r="96" spans="2:12" ht="16.5" x14ac:dyDescent="0.25">
      <c r="B96" s="9" t="s">
        <v>305</v>
      </c>
      <c r="C96" s="9" t="s">
        <v>40</v>
      </c>
      <c r="D96" s="9" t="s">
        <v>35</v>
      </c>
      <c r="E96" s="9" t="s">
        <v>35</v>
      </c>
      <c r="F96" s="9">
        <v>138000</v>
      </c>
      <c r="G96" s="9" t="s">
        <v>304</v>
      </c>
      <c r="H96" s="9">
        <f t="shared" si="3"/>
        <v>2019</v>
      </c>
      <c r="I96">
        <f t="shared" si="4"/>
        <v>3</v>
      </c>
      <c r="K96"/>
      <c r="L96"/>
    </row>
    <row r="97" spans="2:12" ht="16.5" x14ac:dyDescent="0.25">
      <c r="B97" s="9" t="s">
        <v>306</v>
      </c>
      <c r="C97" s="9" t="s">
        <v>35</v>
      </c>
      <c r="D97" s="9" t="s">
        <v>35</v>
      </c>
      <c r="E97" s="9" t="s">
        <v>39</v>
      </c>
      <c r="F97" s="9">
        <v>69000</v>
      </c>
      <c r="G97" s="9" t="s">
        <v>308</v>
      </c>
      <c r="H97" s="9">
        <f t="shared" si="3"/>
        <v>2019</v>
      </c>
      <c r="I97">
        <f t="shared" si="4"/>
        <v>3</v>
      </c>
      <c r="K97"/>
      <c r="L97"/>
    </row>
    <row r="98" spans="2:12" ht="16.5" x14ac:dyDescent="0.25">
      <c r="B98" s="9" t="s">
        <v>309</v>
      </c>
      <c r="C98" s="9" t="s">
        <v>37</v>
      </c>
      <c r="D98" s="9" t="s">
        <v>38</v>
      </c>
      <c r="E98" s="9" t="s">
        <v>37</v>
      </c>
      <c r="F98" s="9">
        <v>60000</v>
      </c>
      <c r="G98" s="9" t="s">
        <v>310</v>
      </c>
      <c r="H98" s="9">
        <f t="shared" si="3"/>
        <v>2019</v>
      </c>
      <c r="I98">
        <f t="shared" si="4"/>
        <v>4</v>
      </c>
      <c r="K98"/>
      <c r="L98"/>
    </row>
    <row r="99" spans="2:12" ht="16.5" x14ac:dyDescent="0.25">
      <c r="B99" s="9" t="s">
        <v>311</v>
      </c>
      <c r="C99" s="9" t="s">
        <v>34</v>
      </c>
      <c r="D99" s="9" t="s">
        <v>36</v>
      </c>
      <c r="E99" s="9" t="s">
        <v>39</v>
      </c>
      <c r="F99" s="9">
        <v>216000</v>
      </c>
      <c r="G99" s="9" t="s">
        <v>313</v>
      </c>
      <c r="H99" s="9">
        <f t="shared" si="3"/>
        <v>2019</v>
      </c>
      <c r="I99">
        <f t="shared" si="4"/>
        <v>4</v>
      </c>
      <c r="K99"/>
      <c r="L99"/>
    </row>
    <row r="100" spans="2:12" ht="16.5" x14ac:dyDescent="0.25">
      <c r="B100" s="9" t="s">
        <v>314</v>
      </c>
      <c r="C100" s="9" t="s">
        <v>40</v>
      </c>
      <c r="D100" s="9" t="s">
        <v>39</v>
      </c>
      <c r="E100" s="9" t="s">
        <v>36</v>
      </c>
      <c r="F100" s="9">
        <v>193000</v>
      </c>
      <c r="G100" s="9" t="s">
        <v>316</v>
      </c>
      <c r="H100" s="9">
        <f t="shared" si="3"/>
        <v>2019</v>
      </c>
      <c r="I100">
        <f t="shared" si="4"/>
        <v>4</v>
      </c>
      <c r="K100"/>
      <c r="L100"/>
    </row>
    <row r="101" spans="2:12" ht="16.5" x14ac:dyDescent="0.25">
      <c r="B101" s="9" t="s">
        <v>317</v>
      </c>
      <c r="C101" s="9" t="s">
        <v>56</v>
      </c>
      <c r="D101" s="9" t="s">
        <v>36</v>
      </c>
      <c r="E101" s="9" t="s">
        <v>39</v>
      </c>
      <c r="F101" s="9">
        <v>88000</v>
      </c>
      <c r="G101" s="9" t="s">
        <v>318</v>
      </c>
      <c r="H101" s="9">
        <f t="shared" si="3"/>
        <v>2019</v>
      </c>
      <c r="I101">
        <f t="shared" si="4"/>
        <v>4</v>
      </c>
      <c r="K101"/>
      <c r="L101"/>
    </row>
    <row r="102" spans="2:12" ht="16.5" x14ac:dyDescent="0.25">
      <c r="B102" s="9" t="s">
        <v>319</v>
      </c>
      <c r="C102" s="9" t="s">
        <v>39</v>
      </c>
      <c r="D102" s="9" t="s">
        <v>40</v>
      </c>
      <c r="E102" s="9" t="s">
        <v>35</v>
      </c>
      <c r="F102" s="9">
        <v>239000</v>
      </c>
      <c r="G102" s="9" t="s">
        <v>320</v>
      </c>
      <c r="H102" s="9">
        <f t="shared" si="3"/>
        <v>2019</v>
      </c>
      <c r="I102">
        <f t="shared" si="4"/>
        <v>4</v>
      </c>
      <c r="K102"/>
      <c r="L102"/>
    </row>
    <row r="103" spans="2:12" ht="16.5" x14ac:dyDescent="0.25">
      <c r="B103" s="9" t="s">
        <v>321</v>
      </c>
      <c r="C103" s="9" t="s">
        <v>38</v>
      </c>
      <c r="D103" s="9" t="s">
        <v>34</v>
      </c>
      <c r="E103" s="9" t="s">
        <v>36</v>
      </c>
      <c r="F103" s="9">
        <v>41000</v>
      </c>
      <c r="G103" s="9" t="s">
        <v>322</v>
      </c>
      <c r="H103" s="9">
        <f t="shared" si="3"/>
        <v>2019</v>
      </c>
      <c r="I103">
        <f t="shared" si="4"/>
        <v>4</v>
      </c>
      <c r="K103"/>
      <c r="L103"/>
    </row>
    <row r="104" spans="2:12" ht="16.5" x14ac:dyDescent="0.25">
      <c r="B104" s="9" t="s">
        <v>323</v>
      </c>
      <c r="C104" s="9" t="s">
        <v>35</v>
      </c>
      <c r="D104" s="9" t="s">
        <v>35</v>
      </c>
      <c r="E104" s="9" t="s">
        <v>37</v>
      </c>
      <c r="F104" s="9">
        <v>155000</v>
      </c>
      <c r="G104" s="9" t="s">
        <v>322</v>
      </c>
      <c r="H104" s="9">
        <f t="shared" si="3"/>
        <v>2019</v>
      </c>
      <c r="I104">
        <f t="shared" si="4"/>
        <v>4</v>
      </c>
      <c r="K104"/>
      <c r="L104"/>
    </row>
    <row r="105" spans="2:12" ht="16.5" x14ac:dyDescent="0.25">
      <c r="B105" s="9" t="s">
        <v>325</v>
      </c>
      <c r="C105" s="9" t="s">
        <v>38</v>
      </c>
      <c r="D105" s="9" t="s">
        <v>35</v>
      </c>
      <c r="E105" s="9" t="s">
        <v>37</v>
      </c>
      <c r="F105" s="9">
        <v>51000</v>
      </c>
      <c r="G105" s="9" t="s">
        <v>326</v>
      </c>
      <c r="H105" s="9">
        <f t="shared" si="3"/>
        <v>2019</v>
      </c>
      <c r="I105">
        <f t="shared" si="4"/>
        <v>4</v>
      </c>
      <c r="K105"/>
      <c r="L105"/>
    </row>
    <row r="106" spans="2:12" ht="16.5" x14ac:dyDescent="0.25">
      <c r="B106" s="9" t="s">
        <v>327</v>
      </c>
      <c r="C106" s="9" t="s">
        <v>34</v>
      </c>
      <c r="D106" s="9" t="s">
        <v>34</v>
      </c>
      <c r="E106" s="9" t="s">
        <v>36</v>
      </c>
      <c r="F106" s="9">
        <v>99000</v>
      </c>
      <c r="G106" s="9" t="s">
        <v>329</v>
      </c>
      <c r="H106" s="9">
        <f t="shared" si="3"/>
        <v>2019</v>
      </c>
      <c r="I106">
        <f t="shared" si="4"/>
        <v>4</v>
      </c>
      <c r="K106"/>
      <c r="L106"/>
    </row>
    <row r="107" spans="2:12" ht="16.5" x14ac:dyDescent="0.25">
      <c r="B107" s="9" t="s">
        <v>330</v>
      </c>
      <c r="C107" s="9" t="s">
        <v>35</v>
      </c>
      <c r="D107" s="9" t="s">
        <v>39</v>
      </c>
      <c r="E107" s="9" t="s">
        <v>34</v>
      </c>
      <c r="F107" s="9">
        <v>213000</v>
      </c>
      <c r="G107" s="9" t="s">
        <v>331</v>
      </c>
      <c r="H107" s="9">
        <f t="shared" si="3"/>
        <v>2019</v>
      </c>
      <c r="I107">
        <f t="shared" si="4"/>
        <v>4</v>
      </c>
      <c r="K107"/>
      <c r="L107"/>
    </row>
    <row r="108" spans="2:12" ht="16.5" x14ac:dyDescent="0.25">
      <c r="B108" s="9" t="s">
        <v>332</v>
      </c>
      <c r="C108" s="9" t="s">
        <v>37</v>
      </c>
      <c r="D108" s="9" t="s">
        <v>35</v>
      </c>
      <c r="E108" s="9" t="s">
        <v>35</v>
      </c>
      <c r="F108" s="9">
        <v>91000</v>
      </c>
      <c r="G108" s="9" t="s">
        <v>334</v>
      </c>
      <c r="H108" s="9">
        <f t="shared" si="3"/>
        <v>2019</v>
      </c>
      <c r="I108">
        <f t="shared" si="4"/>
        <v>4</v>
      </c>
      <c r="K108"/>
      <c r="L108"/>
    </row>
    <row r="109" spans="2:12" ht="16.5" x14ac:dyDescent="0.25">
      <c r="B109" s="9" t="s">
        <v>335</v>
      </c>
      <c r="C109" s="9" t="s">
        <v>34</v>
      </c>
      <c r="D109" s="9" t="s">
        <v>39</v>
      </c>
      <c r="E109" s="9" t="s">
        <v>35</v>
      </c>
      <c r="F109" s="9">
        <v>155000</v>
      </c>
      <c r="G109" s="9" t="s">
        <v>336</v>
      </c>
      <c r="H109" s="9">
        <f t="shared" si="3"/>
        <v>2019</v>
      </c>
      <c r="I109">
        <f t="shared" si="4"/>
        <v>4</v>
      </c>
      <c r="K109"/>
      <c r="L109"/>
    </row>
    <row r="110" spans="2:12" ht="16.5" x14ac:dyDescent="0.25">
      <c r="B110" s="9" t="s">
        <v>337</v>
      </c>
      <c r="C110" s="9" t="s">
        <v>38</v>
      </c>
      <c r="D110" s="9" t="s">
        <v>40</v>
      </c>
      <c r="E110" s="9" t="s">
        <v>34</v>
      </c>
      <c r="F110" s="9">
        <v>124000</v>
      </c>
      <c r="G110" s="9" t="s">
        <v>336</v>
      </c>
      <c r="H110" s="9">
        <f t="shared" si="3"/>
        <v>2019</v>
      </c>
      <c r="I110">
        <f t="shared" si="4"/>
        <v>4</v>
      </c>
      <c r="K110"/>
      <c r="L110"/>
    </row>
    <row r="111" spans="2:12" ht="16.5" x14ac:dyDescent="0.25">
      <c r="B111" s="9" t="s">
        <v>339</v>
      </c>
      <c r="C111" s="9" t="s">
        <v>35</v>
      </c>
      <c r="D111" s="9" t="s">
        <v>35</v>
      </c>
      <c r="E111" s="9" t="s">
        <v>39</v>
      </c>
      <c r="F111" s="9">
        <v>198000</v>
      </c>
      <c r="G111" s="9" t="s">
        <v>341</v>
      </c>
      <c r="H111" s="9">
        <f t="shared" si="3"/>
        <v>2019</v>
      </c>
      <c r="I111">
        <f t="shared" si="4"/>
        <v>4</v>
      </c>
      <c r="K111"/>
      <c r="L111"/>
    </row>
    <row r="112" spans="2:12" ht="16.5" x14ac:dyDescent="0.25">
      <c r="B112" s="9" t="s">
        <v>342</v>
      </c>
      <c r="C112" s="9" t="s">
        <v>59</v>
      </c>
      <c r="D112" s="9" t="s">
        <v>37</v>
      </c>
      <c r="E112" s="9" t="s">
        <v>39</v>
      </c>
      <c r="F112" s="9">
        <v>279000</v>
      </c>
      <c r="G112" s="9" t="s">
        <v>344</v>
      </c>
      <c r="H112" s="9">
        <f t="shared" si="3"/>
        <v>2019</v>
      </c>
      <c r="I112">
        <f t="shared" si="4"/>
        <v>4</v>
      </c>
      <c r="K112"/>
      <c r="L112"/>
    </row>
    <row r="113" spans="2:12" ht="16.5" x14ac:dyDescent="0.25">
      <c r="B113" s="9" t="s">
        <v>345</v>
      </c>
      <c r="C113" s="9" t="s">
        <v>36</v>
      </c>
      <c r="D113" s="9" t="s">
        <v>35</v>
      </c>
      <c r="E113" s="9" t="s">
        <v>36</v>
      </c>
      <c r="F113" s="9">
        <v>271000</v>
      </c>
      <c r="G113" s="9" t="s">
        <v>347</v>
      </c>
      <c r="H113" s="9">
        <f t="shared" si="3"/>
        <v>2019</v>
      </c>
      <c r="I113">
        <f t="shared" si="4"/>
        <v>4</v>
      </c>
      <c r="K113"/>
      <c r="L113"/>
    </row>
    <row r="114" spans="2:12" ht="16.5" x14ac:dyDescent="0.25">
      <c r="B114" s="9" t="s">
        <v>348</v>
      </c>
      <c r="C114" s="9" t="s">
        <v>37</v>
      </c>
      <c r="D114" s="9" t="s">
        <v>37</v>
      </c>
      <c r="E114" s="9" t="s">
        <v>35</v>
      </c>
      <c r="F114" s="9">
        <v>98000</v>
      </c>
      <c r="G114" s="9" t="s">
        <v>349</v>
      </c>
      <c r="H114" s="9">
        <f t="shared" si="3"/>
        <v>2019</v>
      </c>
      <c r="I114">
        <f t="shared" si="4"/>
        <v>4</v>
      </c>
      <c r="K114"/>
      <c r="L114"/>
    </row>
    <row r="115" spans="2:12" ht="16.5" x14ac:dyDescent="0.25">
      <c r="B115" s="9" t="s">
        <v>350</v>
      </c>
      <c r="C115" s="9" t="s">
        <v>40</v>
      </c>
      <c r="D115" s="9" t="s">
        <v>40</v>
      </c>
      <c r="E115" s="9" t="s">
        <v>38</v>
      </c>
      <c r="F115" s="9">
        <v>82000</v>
      </c>
      <c r="G115" s="9" t="s">
        <v>352</v>
      </c>
      <c r="H115" s="9">
        <f t="shared" si="3"/>
        <v>2019</v>
      </c>
      <c r="I115">
        <f t="shared" si="4"/>
        <v>4</v>
      </c>
      <c r="K115"/>
      <c r="L115"/>
    </row>
    <row r="116" spans="2:12" ht="16.5" x14ac:dyDescent="0.25">
      <c r="B116" s="9" t="s">
        <v>353</v>
      </c>
      <c r="C116" s="9" t="s">
        <v>39</v>
      </c>
      <c r="D116" s="9" t="s">
        <v>38</v>
      </c>
      <c r="E116" s="9" t="s">
        <v>34</v>
      </c>
      <c r="F116" s="9">
        <v>257000</v>
      </c>
      <c r="G116" s="9" t="s">
        <v>352</v>
      </c>
      <c r="H116" s="9">
        <f t="shared" si="3"/>
        <v>2019</v>
      </c>
      <c r="I116">
        <f t="shared" si="4"/>
        <v>4</v>
      </c>
      <c r="K116"/>
      <c r="L116"/>
    </row>
    <row r="117" spans="2:12" ht="16.5" x14ac:dyDescent="0.25">
      <c r="B117" s="9" t="s">
        <v>355</v>
      </c>
      <c r="C117" s="9" t="s">
        <v>59</v>
      </c>
      <c r="D117" s="9" t="s">
        <v>34</v>
      </c>
      <c r="E117" s="9" t="s">
        <v>39</v>
      </c>
      <c r="F117" s="9">
        <v>239000</v>
      </c>
      <c r="G117" s="9" t="s">
        <v>356</v>
      </c>
      <c r="H117" s="9">
        <f t="shared" si="3"/>
        <v>2019</v>
      </c>
      <c r="I117">
        <f t="shared" si="4"/>
        <v>5</v>
      </c>
      <c r="K117"/>
      <c r="L117"/>
    </row>
    <row r="118" spans="2:12" ht="16.5" x14ac:dyDescent="0.25">
      <c r="B118" s="9" t="s">
        <v>357</v>
      </c>
      <c r="C118" s="9" t="s">
        <v>34</v>
      </c>
      <c r="D118" s="9" t="s">
        <v>38</v>
      </c>
      <c r="E118" s="9" t="s">
        <v>34</v>
      </c>
      <c r="F118" s="9">
        <v>98000</v>
      </c>
      <c r="G118" s="9" t="s">
        <v>356</v>
      </c>
      <c r="H118" s="9">
        <f t="shared" si="3"/>
        <v>2019</v>
      </c>
      <c r="I118">
        <f t="shared" si="4"/>
        <v>5</v>
      </c>
      <c r="K118"/>
      <c r="L118"/>
    </row>
    <row r="119" spans="2:12" ht="16.5" x14ac:dyDescent="0.25">
      <c r="B119" s="9" t="s">
        <v>358</v>
      </c>
      <c r="C119" s="9" t="s">
        <v>37</v>
      </c>
      <c r="D119" s="9" t="s">
        <v>36</v>
      </c>
      <c r="E119" s="9" t="s">
        <v>38</v>
      </c>
      <c r="F119" s="9">
        <v>188000</v>
      </c>
      <c r="G119" s="9" t="s">
        <v>356</v>
      </c>
      <c r="H119" s="9">
        <f t="shared" si="3"/>
        <v>2019</v>
      </c>
      <c r="I119">
        <f t="shared" si="4"/>
        <v>5</v>
      </c>
      <c r="K119"/>
      <c r="L119"/>
    </row>
    <row r="120" spans="2:12" ht="16.5" x14ac:dyDescent="0.25">
      <c r="B120" s="9" t="s">
        <v>359</v>
      </c>
      <c r="C120" s="9" t="s">
        <v>35</v>
      </c>
      <c r="D120" s="9" t="s">
        <v>37</v>
      </c>
      <c r="E120" s="9" t="s">
        <v>39</v>
      </c>
      <c r="F120" s="9">
        <v>246000</v>
      </c>
      <c r="G120" s="9" t="s">
        <v>360</v>
      </c>
      <c r="H120" s="9">
        <f t="shared" si="3"/>
        <v>2019</v>
      </c>
      <c r="I120">
        <f t="shared" si="4"/>
        <v>5</v>
      </c>
      <c r="K120"/>
      <c r="L120"/>
    </row>
    <row r="121" spans="2:12" ht="16.5" x14ac:dyDescent="0.25">
      <c r="B121" s="9" t="s">
        <v>361</v>
      </c>
      <c r="C121" s="9" t="s">
        <v>59</v>
      </c>
      <c r="D121" s="9" t="s">
        <v>34</v>
      </c>
      <c r="E121" s="9" t="s">
        <v>34</v>
      </c>
      <c r="F121" s="9">
        <v>156000</v>
      </c>
      <c r="G121" s="9" t="s">
        <v>360</v>
      </c>
      <c r="H121" s="9">
        <f t="shared" si="3"/>
        <v>2019</v>
      </c>
      <c r="I121">
        <f t="shared" si="4"/>
        <v>5</v>
      </c>
      <c r="K121"/>
      <c r="L121"/>
    </row>
    <row r="122" spans="2:12" ht="16.5" x14ac:dyDescent="0.25">
      <c r="B122" s="9" t="s">
        <v>362</v>
      </c>
      <c r="C122" s="9" t="s">
        <v>39</v>
      </c>
      <c r="D122" s="9" t="s">
        <v>39</v>
      </c>
      <c r="E122" s="9" t="s">
        <v>36</v>
      </c>
      <c r="F122" s="9">
        <v>252000</v>
      </c>
      <c r="G122" s="9" t="s">
        <v>360</v>
      </c>
      <c r="H122" s="9">
        <f t="shared" si="3"/>
        <v>2019</v>
      </c>
      <c r="I122">
        <f t="shared" si="4"/>
        <v>5</v>
      </c>
      <c r="K122"/>
      <c r="L122"/>
    </row>
    <row r="123" spans="2:12" ht="16.5" x14ac:dyDescent="0.25">
      <c r="B123" s="9" t="s">
        <v>364</v>
      </c>
      <c r="C123" s="9" t="s">
        <v>38</v>
      </c>
      <c r="D123" s="9" t="s">
        <v>39</v>
      </c>
      <c r="E123" s="9" t="s">
        <v>38</v>
      </c>
      <c r="F123" s="9">
        <v>161000</v>
      </c>
      <c r="G123" s="9" t="s">
        <v>366</v>
      </c>
      <c r="H123" s="9">
        <f t="shared" si="3"/>
        <v>2019</v>
      </c>
      <c r="I123">
        <f t="shared" si="4"/>
        <v>5</v>
      </c>
      <c r="K123"/>
      <c r="L123"/>
    </row>
    <row r="124" spans="2:12" ht="16.5" x14ac:dyDescent="0.25">
      <c r="B124" s="9" t="s">
        <v>367</v>
      </c>
      <c r="C124" s="9" t="s">
        <v>37</v>
      </c>
      <c r="D124" s="9" t="s">
        <v>36</v>
      </c>
      <c r="E124" s="9" t="s">
        <v>39</v>
      </c>
      <c r="F124" s="9">
        <v>79000</v>
      </c>
      <c r="G124" s="9" t="s">
        <v>368</v>
      </c>
      <c r="H124" s="9">
        <f t="shared" si="3"/>
        <v>2019</v>
      </c>
      <c r="I124">
        <f t="shared" si="4"/>
        <v>5</v>
      </c>
      <c r="K124"/>
      <c r="L124"/>
    </row>
    <row r="125" spans="2:12" ht="16.5" x14ac:dyDescent="0.25">
      <c r="B125" s="9" t="s">
        <v>369</v>
      </c>
      <c r="C125" s="9" t="s">
        <v>37</v>
      </c>
      <c r="D125" s="9" t="s">
        <v>34</v>
      </c>
      <c r="E125" s="9" t="s">
        <v>36</v>
      </c>
      <c r="F125" s="9">
        <v>91000</v>
      </c>
      <c r="G125" s="9" t="s">
        <v>368</v>
      </c>
      <c r="H125" s="9">
        <f t="shared" si="3"/>
        <v>2019</v>
      </c>
      <c r="I125">
        <f t="shared" si="4"/>
        <v>5</v>
      </c>
      <c r="K125"/>
      <c r="L125"/>
    </row>
    <row r="126" spans="2:12" ht="16.5" x14ac:dyDescent="0.25">
      <c r="B126" s="9" t="s">
        <v>370</v>
      </c>
      <c r="C126" s="9" t="s">
        <v>56</v>
      </c>
      <c r="D126" s="9" t="s">
        <v>34</v>
      </c>
      <c r="E126" s="9" t="s">
        <v>38</v>
      </c>
      <c r="F126" s="9">
        <v>274000</v>
      </c>
      <c r="G126" s="9" t="s">
        <v>372</v>
      </c>
      <c r="H126" s="9">
        <f t="shared" si="3"/>
        <v>2019</v>
      </c>
      <c r="I126">
        <f t="shared" si="4"/>
        <v>5</v>
      </c>
      <c r="K126"/>
      <c r="L126"/>
    </row>
    <row r="127" spans="2:12" ht="16.5" x14ac:dyDescent="0.25">
      <c r="B127" s="9" t="s">
        <v>373</v>
      </c>
      <c r="C127" s="9" t="s">
        <v>39</v>
      </c>
      <c r="D127" s="9" t="s">
        <v>35</v>
      </c>
      <c r="E127" s="9" t="s">
        <v>36</v>
      </c>
      <c r="F127" s="9">
        <v>225000</v>
      </c>
      <c r="G127" s="9" t="s">
        <v>372</v>
      </c>
      <c r="H127" s="9">
        <f t="shared" si="3"/>
        <v>2019</v>
      </c>
      <c r="I127">
        <f t="shared" si="4"/>
        <v>5</v>
      </c>
      <c r="K127"/>
      <c r="L127"/>
    </row>
    <row r="128" spans="2:12" ht="16.5" x14ac:dyDescent="0.25">
      <c r="B128" s="9" t="s">
        <v>375</v>
      </c>
      <c r="C128" s="9" t="s">
        <v>39</v>
      </c>
      <c r="D128" s="9" t="s">
        <v>38</v>
      </c>
      <c r="E128" s="9" t="s">
        <v>37</v>
      </c>
      <c r="F128" s="9">
        <v>60000</v>
      </c>
      <c r="G128" s="9" t="s">
        <v>376</v>
      </c>
      <c r="H128" s="9">
        <f t="shared" si="3"/>
        <v>2019</v>
      </c>
      <c r="I128">
        <f t="shared" si="4"/>
        <v>5</v>
      </c>
      <c r="K128"/>
      <c r="L128"/>
    </row>
    <row r="129" spans="2:12" ht="16.5" x14ac:dyDescent="0.25">
      <c r="B129" s="9" t="s">
        <v>377</v>
      </c>
      <c r="C129" s="9" t="s">
        <v>56</v>
      </c>
      <c r="D129" s="9" t="s">
        <v>37</v>
      </c>
      <c r="E129" s="9" t="s">
        <v>38</v>
      </c>
      <c r="F129" s="9">
        <v>232000</v>
      </c>
      <c r="G129" s="9" t="s">
        <v>376</v>
      </c>
      <c r="H129" s="9">
        <f t="shared" si="3"/>
        <v>2019</v>
      </c>
      <c r="I129">
        <f t="shared" si="4"/>
        <v>5</v>
      </c>
      <c r="K129"/>
      <c r="L129"/>
    </row>
    <row r="130" spans="2:12" ht="16.5" x14ac:dyDescent="0.25">
      <c r="B130" s="9" t="s">
        <v>379</v>
      </c>
      <c r="C130" s="9" t="s">
        <v>39</v>
      </c>
      <c r="D130" s="9" t="s">
        <v>34</v>
      </c>
      <c r="E130" s="9" t="s">
        <v>35</v>
      </c>
      <c r="F130" s="9">
        <v>258000</v>
      </c>
      <c r="G130" s="9" t="s">
        <v>380</v>
      </c>
      <c r="H130" s="9">
        <f t="shared" si="3"/>
        <v>2019</v>
      </c>
      <c r="I130">
        <f t="shared" si="4"/>
        <v>5</v>
      </c>
      <c r="K130"/>
      <c r="L130"/>
    </row>
    <row r="131" spans="2:12" ht="16.5" x14ac:dyDescent="0.25">
      <c r="B131" s="9" t="s">
        <v>381</v>
      </c>
      <c r="C131" s="9" t="s">
        <v>35</v>
      </c>
      <c r="D131" s="9" t="s">
        <v>35</v>
      </c>
      <c r="E131" s="9" t="s">
        <v>38</v>
      </c>
      <c r="F131" s="9">
        <v>214000</v>
      </c>
      <c r="G131" s="9" t="s">
        <v>383</v>
      </c>
      <c r="H131" s="9">
        <f t="shared" ref="H131:H194" si="5">YEAR(G131)</f>
        <v>2019</v>
      </c>
      <c r="I131">
        <f t="shared" ref="I131:I194" si="6">MONTH(G131)</f>
        <v>5</v>
      </c>
      <c r="K131"/>
      <c r="L131"/>
    </row>
    <row r="132" spans="2:12" ht="16.5" x14ac:dyDescent="0.25">
      <c r="B132" s="9" t="s">
        <v>384</v>
      </c>
      <c r="C132" s="9" t="s">
        <v>39</v>
      </c>
      <c r="D132" s="9" t="s">
        <v>34</v>
      </c>
      <c r="E132" s="9" t="s">
        <v>34</v>
      </c>
      <c r="F132" s="9">
        <v>160000</v>
      </c>
      <c r="G132" s="9" t="s">
        <v>383</v>
      </c>
      <c r="H132" s="9">
        <f t="shared" si="5"/>
        <v>2019</v>
      </c>
      <c r="I132">
        <f t="shared" si="6"/>
        <v>5</v>
      </c>
      <c r="K132"/>
      <c r="L132"/>
    </row>
    <row r="133" spans="2:12" ht="16.5" x14ac:dyDescent="0.25">
      <c r="B133" s="9" t="s">
        <v>386</v>
      </c>
      <c r="C133" s="9" t="s">
        <v>40</v>
      </c>
      <c r="D133" s="9" t="s">
        <v>39</v>
      </c>
      <c r="E133" s="9" t="s">
        <v>37</v>
      </c>
      <c r="F133" s="9">
        <v>172000</v>
      </c>
      <c r="G133" s="9" t="s">
        <v>388</v>
      </c>
      <c r="H133" s="9">
        <f t="shared" si="5"/>
        <v>2019</v>
      </c>
      <c r="I133">
        <f t="shared" si="6"/>
        <v>5</v>
      </c>
      <c r="K133"/>
      <c r="L133"/>
    </row>
    <row r="134" spans="2:12" ht="16.5" x14ac:dyDescent="0.25">
      <c r="B134" s="9" t="s">
        <v>389</v>
      </c>
      <c r="C134" s="9" t="s">
        <v>39</v>
      </c>
      <c r="D134" s="9" t="s">
        <v>37</v>
      </c>
      <c r="E134" s="9" t="s">
        <v>34</v>
      </c>
      <c r="F134" s="9">
        <v>218000</v>
      </c>
      <c r="G134" s="9" t="s">
        <v>388</v>
      </c>
      <c r="H134" s="9">
        <f t="shared" si="5"/>
        <v>2019</v>
      </c>
      <c r="I134">
        <f t="shared" si="6"/>
        <v>5</v>
      </c>
      <c r="K134"/>
      <c r="L134"/>
    </row>
    <row r="135" spans="2:12" ht="16.5" x14ac:dyDescent="0.25">
      <c r="B135" s="9" t="s">
        <v>391</v>
      </c>
      <c r="C135" s="9" t="s">
        <v>59</v>
      </c>
      <c r="D135" s="9" t="s">
        <v>35</v>
      </c>
      <c r="E135" s="9" t="s">
        <v>34</v>
      </c>
      <c r="F135" s="9">
        <v>99000</v>
      </c>
      <c r="G135" s="9" t="s">
        <v>392</v>
      </c>
      <c r="H135" s="9">
        <f t="shared" si="5"/>
        <v>2019</v>
      </c>
      <c r="I135">
        <f t="shared" si="6"/>
        <v>5</v>
      </c>
      <c r="K135"/>
      <c r="L135"/>
    </row>
    <row r="136" spans="2:12" ht="16.5" x14ac:dyDescent="0.25">
      <c r="B136" s="9" t="s">
        <v>393</v>
      </c>
      <c r="C136" s="9" t="s">
        <v>59</v>
      </c>
      <c r="D136" s="9" t="s">
        <v>36</v>
      </c>
      <c r="E136" s="9" t="s">
        <v>38</v>
      </c>
      <c r="F136" s="9">
        <v>252000</v>
      </c>
      <c r="G136" s="9" t="s">
        <v>392</v>
      </c>
      <c r="H136" s="9">
        <f t="shared" si="5"/>
        <v>2019</v>
      </c>
      <c r="I136">
        <f t="shared" si="6"/>
        <v>5</v>
      </c>
      <c r="K136"/>
      <c r="L136"/>
    </row>
    <row r="137" spans="2:12" ht="16.5" x14ac:dyDescent="0.25">
      <c r="B137" s="9" t="s">
        <v>394</v>
      </c>
      <c r="C137" s="9" t="s">
        <v>38</v>
      </c>
      <c r="D137" s="9" t="s">
        <v>34</v>
      </c>
      <c r="E137" s="9" t="s">
        <v>34</v>
      </c>
      <c r="F137" s="9">
        <v>58000</v>
      </c>
      <c r="G137" s="9" t="s">
        <v>395</v>
      </c>
      <c r="H137" s="9">
        <f t="shared" si="5"/>
        <v>2019</v>
      </c>
      <c r="I137">
        <f t="shared" si="6"/>
        <v>5</v>
      </c>
      <c r="K137"/>
      <c r="L137"/>
    </row>
    <row r="138" spans="2:12" ht="16.5" x14ac:dyDescent="0.25">
      <c r="B138" s="9" t="s">
        <v>396</v>
      </c>
      <c r="C138" s="9" t="s">
        <v>36</v>
      </c>
      <c r="D138" s="9" t="s">
        <v>40</v>
      </c>
      <c r="E138" s="9" t="s">
        <v>34</v>
      </c>
      <c r="F138" s="9">
        <v>272000</v>
      </c>
      <c r="G138" s="9" t="s">
        <v>398</v>
      </c>
      <c r="H138" s="9">
        <f t="shared" si="5"/>
        <v>2019</v>
      </c>
      <c r="I138">
        <f t="shared" si="6"/>
        <v>5</v>
      </c>
      <c r="K138"/>
      <c r="L138"/>
    </row>
    <row r="139" spans="2:12" ht="16.5" x14ac:dyDescent="0.25">
      <c r="B139" s="9" t="s">
        <v>399</v>
      </c>
      <c r="C139" s="9" t="s">
        <v>34</v>
      </c>
      <c r="D139" s="9" t="s">
        <v>37</v>
      </c>
      <c r="E139" s="9" t="s">
        <v>36</v>
      </c>
      <c r="F139" s="9">
        <v>245000</v>
      </c>
      <c r="G139" s="9" t="s">
        <v>398</v>
      </c>
      <c r="H139" s="9">
        <f t="shared" si="5"/>
        <v>2019</v>
      </c>
      <c r="I139">
        <f t="shared" si="6"/>
        <v>5</v>
      </c>
      <c r="K139"/>
      <c r="L139"/>
    </row>
    <row r="140" spans="2:12" ht="16.5" x14ac:dyDescent="0.25">
      <c r="B140" s="9" t="s">
        <v>401</v>
      </c>
      <c r="C140" s="9" t="s">
        <v>40</v>
      </c>
      <c r="D140" s="9" t="s">
        <v>35</v>
      </c>
      <c r="E140" s="9" t="s">
        <v>34</v>
      </c>
      <c r="F140" s="9">
        <v>199000</v>
      </c>
      <c r="G140" s="9" t="s">
        <v>402</v>
      </c>
      <c r="H140" s="9">
        <f t="shared" si="5"/>
        <v>2019</v>
      </c>
      <c r="I140">
        <f t="shared" si="6"/>
        <v>5</v>
      </c>
      <c r="K140"/>
      <c r="L140"/>
    </row>
    <row r="141" spans="2:12" ht="16.5" x14ac:dyDescent="0.25">
      <c r="B141" s="9" t="s">
        <v>403</v>
      </c>
      <c r="C141" s="9" t="s">
        <v>59</v>
      </c>
      <c r="D141" s="9" t="s">
        <v>35</v>
      </c>
      <c r="E141" s="9" t="s">
        <v>38</v>
      </c>
      <c r="F141" s="9">
        <v>55000</v>
      </c>
      <c r="G141" s="9" t="s">
        <v>404</v>
      </c>
      <c r="H141" s="9">
        <f t="shared" si="5"/>
        <v>2019</v>
      </c>
      <c r="I141">
        <f t="shared" si="6"/>
        <v>5</v>
      </c>
      <c r="K141"/>
      <c r="L141"/>
    </row>
    <row r="142" spans="2:12" ht="16.5" x14ac:dyDescent="0.25">
      <c r="B142" s="9" t="s">
        <v>405</v>
      </c>
      <c r="C142" s="9" t="s">
        <v>35</v>
      </c>
      <c r="D142" s="9" t="s">
        <v>40</v>
      </c>
      <c r="E142" s="9" t="s">
        <v>35</v>
      </c>
      <c r="F142" s="9">
        <v>167000</v>
      </c>
      <c r="G142" s="9" t="s">
        <v>404</v>
      </c>
      <c r="H142" s="9">
        <f t="shared" si="5"/>
        <v>2019</v>
      </c>
      <c r="I142">
        <f t="shared" si="6"/>
        <v>5</v>
      </c>
      <c r="K142"/>
      <c r="L142"/>
    </row>
    <row r="143" spans="2:12" ht="16.5" x14ac:dyDescent="0.25">
      <c r="B143" s="9" t="s">
        <v>406</v>
      </c>
      <c r="C143" s="9" t="s">
        <v>34</v>
      </c>
      <c r="D143" s="9" t="s">
        <v>35</v>
      </c>
      <c r="E143" s="9" t="s">
        <v>34</v>
      </c>
      <c r="F143" s="9">
        <v>270000</v>
      </c>
      <c r="G143" s="9" t="s">
        <v>407</v>
      </c>
      <c r="H143" s="9">
        <f t="shared" si="5"/>
        <v>2019</v>
      </c>
      <c r="I143">
        <f t="shared" si="6"/>
        <v>5</v>
      </c>
      <c r="K143"/>
      <c r="L143"/>
    </row>
    <row r="144" spans="2:12" ht="16.5" x14ac:dyDescent="0.25">
      <c r="B144" s="9" t="s">
        <v>408</v>
      </c>
      <c r="C144" s="9" t="s">
        <v>39</v>
      </c>
      <c r="D144" s="9" t="s">
        <v>35</v>
      </c>
      <c r="E144" s="9" t="s">
        <v>35</v>
      </c>
      <c r="F144" s="9">
        <v>208000</v>
      </c>
      <c r="G144" s="9" t="s">
        <v>407</v>
      </c>
      <c r="H144" s="9">
        <f t="shared" si="5"/>
        <v>2019</v>
      </c>
      <c r="I144">
        <f t="shared" si="6"/>
        <v>5</v>
      </c>
      <c r="K144"/>
      <c r="L144"/>
    </row>
    <row r="145" spans="2:12" ht="16.5" x14ac:dyDescent="0.25">
      <c r="B145" s="9" t="s">
        <v>410</v>
      </c>
      <c r="C145" s="9" t="s">
        <v>38</v>
      </c>
      <c r="D145" s="9" t="s">
        <v>35</v>
      </c>
      <c r="E145" s="9" t="s">
        <v>34</v>
      </c>
      <c r="F145" s="9">
        <v>269000</v>
      </c>
      <c r="G145" s="9" t="s">
        <v>407</v>
      </c>
      <c r="H145" s="9">
        <f t="shared" si="5"/>
        <v>2019</v>
      </c>
      <c r="I145">
        <f t="shared" si="6"/>
        <v>5</v>
      </c>
      <c r="K145"/>
      <c r="L145"/>
    </row>
    <row r="146" spans="2:12" ht="16.5" x14ac:dyDescent="0.25">
      <c r="B146" s="9" t="s">
        <v>412</v>
      </c>
      <c r="C146" s="9" t="s">
        <v>36</v>
      </c>
      <c r="D146" s="9" t="s">
        <v>37</v>
      </c>
      <c r="E146" s="9" t="s">
        <v>38</v>
      </c>
      <c r="F146" s="9">
        <v>200000</v>
      </c>
      <c r="G146" s="9" t="s">
        <v>414</v>
      </c>
      <c r="H146" s="9">
        <f t="shared" si="5"/>
        <v>2019</v>
      </c>
      <c r="I146">
        <f t="shared" si="6"/>
        <v>5</v>
      </c>
      <c r="K146"/>
      <c r="L146"/>
    </row>
    <row r="147" spans="2:12" ht="16.5" x14ac:dyDescent="0.25">
      <c r="B147" s="9" t="s">
        <v>415</v>
      </c>
      <c r="C147" s="9" t="s">
        <v>59</v>
      </c>
      <c r="D147" s="9" t="s">
        <v>39</v>
      </c>
      <c r="E147" s="9" t="s">
        <v>36</v>
      </c>
      <c r="F147" s="9">
        <v>213000</v>
      </c>
      <c r="G147" s="9" t="s">
        <v>416</v>
      </c>
      <c r="H147" s="9">
        <f t="shared" si="5"/>
        <v>2019</v>
      </c>
      <c r="I147">
        <f t="shared" si="6"/>
        <v>5</v>
      </c>
      <c r="K147"/>
      <c r="L147"/>
    </row>
    <row r="148" spans="2:12" ht="16.5" x14ac:dyDescent="0.25">
      <c r="B148" s="9" t="s">
        <v>417</v>
      </c>
      <c r="C148" s="9" t="s">
        <v>39</v>
      </c>
      <c r="D148" s="9" t="s">
        <v>40</v>
      </c>
      <c r="E148" s="9" t="s">
        <v>37</v>
      </c>
      <c r="F148" s="9">
        <v>144000</v>
      </c>
      <c r="G148" s="9" t="s">
        <v>419</v>
      </c>
      <c r="H148" s="9">
        <f t="shared" si="5"/>
        <v>2019</v>
      </c>
      <c r="I148">
        <f t="shared" si="6"/>
        <v>5</v>
      </c>
      <c r="K148"/>
      <c r="L148"/>
    </row>
    <row r="149" spans="2:12" ht="16.5" x14ac:dyDescent="0.25">
      <c r="B149" s="9" t="s">
        <v>420</v>
      </c>
      <c r="C149" s="9" t="s">
        <v>35</v>
      </c>
      <c r="D149" s="9" t="s">
        <v>34</v>
      </c>
      <c r="E149" s="9" t="s">
        <v>39</v>
      </c>
      <c r="F149" s="9">
        <v>149000</v>
      </c>
      <c r="G149" s="9" t="s">
        <v>419</v>
      </c>
      <c r="H149" s="9">
        <f t="shared" si="5"/>
        <v>2019</v>
      </c>
      <c r="I149">
        <f t="shared" si="6"/>
        <v>5</v>
      </c>
      <c r="K149"/>
      <c r="L149"/>
    </row>
    <row r="150" spans="2:12" ht="16.5" x14ac:dyDescent="0.25">
      <c r="B150" s="9" t="s">
        <v>422</v>
      </c>
      <c r="C150" s="9" t="s">
        <v>39</v>
      </c>
      <c r="D150" s="9" t="s">
        <v>36</v>
      </c>
      <c r="E150" s="9" t="s">
        <v>35</v>
      </c>
      <c r="F150" s="9">
        <v>102000</v>
      </c>
      <c r="G150" s="9" t="s">
        <v>424</v>
      </c>
      <c r="H150" s="9">
        <f t="shared" si="5"/>
        <v>2019</v>
      </c>
      <c r="I150">
        <f t="shared" si="6"/>
        <v>5</v>
      </c>
      <c r="K150"/>
      <c r="L150"/>
    </row>
    <row r="151" spans="2:12" ht="16.5" x14ac:dyDescent="0.25">
      <c r="B151" s="9" t="s">
        <v>425</v>
      </c>
      <c r="C151" s="9" t="s">
        <v>35</v>
      </c>
      <c r="D151" s="9" t="s">
        <v>36</v>
      </c>
      <c r="E151" s="9" t="s">
        <v>39</v>
      </c>
      <c r="F151" s="9">
        <v>120000</v>
      </c>
      <c r="G151" s="9" t="s">
        <v>426</v>
      </c>
      <c r="H151" s="9">
        <f t="shared" si="5"/>
        <v>2019</v>
      </c>
      <c r="I151">
        <f t="shared" si="6"/>
        <v>5</v>
      </c>
      <c r="K151"/>
      <c r="L151"/>
    </row>
    <row r="152" spans="2:12" ht="16.5" x14ac:dyDescent="0.25">
      <c r="B152" s="9" t="s">
        <v>427</v>
      </c>
      <c r="C152" s="9" t="s">
        <v>38</v>
      </c>
      <c r="D152" s="9" t="s">
        <v>37</v>
      </c>
      <c r="E152" s="9" t="s">
        <v>34</v>
      </c>
      <c r="F152" s="9">
        <v>102000</v>
      </c>
      <c r="G152" s="9" t="s">
        <v>426</v>
      </c>
      <c r="H152" s="9">
        <f t="shared" si="5"/>
        <v>2019</v>
      </c>
      <c r="I152">
        <f t="shared" si="6"/>
        <v>5</v>
      </c>
      <c r="K152"/>
      <c r="L152"/>
    </row>
    <row r="153" spans="2:12" ht="16.5" x14ac:dyDescent="0.25">
      <c r="B153" s="9" t="s">
        <v>428</v>
      </c>
      <c r="C153" s="9" t="s">
        <v>40</v>
      </c>
      <c r="D153" s="9" t="s">
        <v>38</v>
      </c>
      <c r="E153" s="9" t="s">
        <v>37</v>
      </c>
      <c r="F153" s="9">
        <v>106000</v>
      </c>
      <c r="G153" s="9" t="s">
        <v>429</v>
      </c>
      <c r="H153" s="9">
        <f t="shared" si="5"/>
        <v>2019</v>
      </c>
      <c r="I153">
        <f t="shared" si="6"/>
        <v>5</v>
      </c>
      <c r="K153"/>
      <c r="L153"/>
    </row>
    <row r="154" spans="2:12" ht="16.5" x14ac:dyDescent="0.25">
      <c r="B154" s="9" t="s">
        <v>430</v>
      </c>
      <c r="C154" s="9" t="s">
        <v>34</v>
      </c>
      <c r="D154" s="9" t="s">
        <v>37</v>
      </c>
      <c r="E154" s="9" t="s">
        <v>38</v>
      </c>
      <c r="F154" s="9">
        <v>172000</v>
      </c>
      <c r="G154" s="9" t="s">
        <v>429</v>
      </c>
      <c r="H154" s="9">
        <f t="shared" si="5"/>
        <v>2019</v>
      </c>
      <c r="I154">
        <f t="shared" si="6"/>
        <v>5</v>
      </c>
      <c r="K154"/>
      <c r="L154"/>
    </row>
    <row r="155" spans="2:12" ht="16.5" x14ac:dyDescent="0.25">
      <c r="B155" s="9" t="s">
        <v>431</v>
      </c>
      <c r="C155" s="9" t="s">
        <v>39</v>
      </c>
      <c r="D155" s="9" t="s">
        <v>35</v>
      </c>
      <c r="E155" s="9" t="s">
        <v>37</v>
      </c>
      <c r="F155" s="9">
        <v>199000</v>
      </c>
      <c r="G155" s="9" t="s">
        <v>432</v>
      </c>
      <c r="H155" s="9">
        <f t="shared" si="5"/>
        <v>2019</v>
      </c>
      <c r="I155">
        <f t="shared" si="6"/>
        <v>6</v>
      </c>
      <c r="K155"/>
      <c r="L155"/>
    </row>
    <row r="156" spans="2:12" ht="16.5" x14ac:dyDescent="0.25">
      <c r="B156" s="9" t="s">
        <v>433</v>
      </c>
      <c r="C156" s="9" t="s">
        <v>34</v>
      </c>
      <c r="D156" s="9" t="s">
        <v>38</v>
      </c>
      <c r="E156" s="9" t="s">
        <v>35</v>
      </c>
      <c r="F156" s="9">
        <v>75000</v>
      </c>
      <c r="G156" s="9" t="s">
        <v>435</v>
      </c>
      <c r="H156" s="9">
        <f t="shared" si="5"/>
        <v>2019</v>
      </c>
      <c r="I156">
        <f t="shared" si="6"/>
        <v>6</v>
      </c>
      <c r="K156"/>
      <c r="L156"/>
    </row>
    <row r="157" spans="2:12" ht="16.5" x14ac:dyDescent="0.25">
      <c r="B157" s="9" t="s">
        <v>436</v>
      </c>
      <c r="C157" s="9" t="s">
        <v>37</v>
      </c>
      <c r="D157" s="9" t="s">
        <v>34</v>
      </c>
      <c r="E157" s="9" t="s">
        <v>35</v>
      </c>
      <c r="F157" s="9">
        <v>273000</v>
      </c>
      <c r="G157" s="9" t="s">
        <v>437</v>
      </c>
      <c r="H157" s="9">
        <f t="shared" si="5"/>
        <v>2019</v>
      </c>
      <c r="I157">
        <f t="shared" si="6"/>
        <v>6</v>
      </c>
      <c r="K157"/>
      <c r="L157"/>
    </row>
    <row r="158" spans="2:12" ht="16.5" x14ac:dyDescent="0.25">
      <c r="B158" s="9" t="s">
        <v>438</v>
      </c>
      <c r="C158" s="9" t="s">
        <v>37</v>
      </c>
      <c r="D158" s="9" t="s">
        <v>34</v>
      </c>
      <c r="E158" s="9" t="s">
        <v>37</v>
      </c>
      <c r="F158" s="9">
        <v>228000</v>
      </c>
      <c r="G158" s="9" t="s">
        <v>439</v>
      </c>
      <c r="H158" s="9">
        <f t="shared" si="5"/>
        <v>2019</v>
      </c>
      <c r="I158">
        <f t="shared" si="6"/>
        <v>6</v>
      </c>
      <c r="K158"/>
      <c r="L158"/>
    </row>
    <row r="159" spans="2:12" ht="16.5" x14ac:dyDescent="0.25">
      <c r="B159" s="9" t="s">
        <v>440</v>
      </c>
      <c r="C159" s="9" t="s">
        <v>37</v>
      </c>
      <c r="D159" s="9" t="s">
        <v>38</v>
      </c>
      <c r="E159" s="9" t="s">
        <v>36</v>
      </c>
      <c r="F159" s="9">
        <v>228000</v>
      </c>
      <c r="G159" s="9" t="s">
        <v>441</v>
      </c>
      <c r="H159" s="9">
        <f t="shared" si="5"/>
        <v>2019</v>
      </c>
      <c r="I159">
        <f t="shared" si="6"/>
        <v>6</v>
      </c>
      <c r="K159"/>
      <c r="L159"/>
    </row>
    <row r="160" spans="2:12" ht="16.5" x14ac:dyDescent="0.25">
      <c r="B160" s="9" t="s">
        <v>442</v>
      </c>
      <c r="C160" s="9" t="s">
        <v>36</v>
      </c>
      <c r="D160" s="9" t="s">
        <v>35</v>
      </c>
      <c r="E160" s="9" t="s">
        <v>38</v>
      </c>
      <c r="F160" s="9">
        <v>94000</v>
      </c>
      <c r="G160" s="9" t="s">
        <v>444</v>
      </c>
      <c r="H160" s="9">
        <f t="shared" si="5"/>
        <v>2019</v>
      </c>
      <c r="I160">
        <f t="shared" si="6"/>
        <v>6</v>
      </c>
      <c r="K160"/>
      <c r="L160"/>
    </row>
    <row r="161" spans="2:12" ht="16.5" x14ac:dyDescent="0.25">
      <c r="B161" s="9" t="s">
        <v>445</v>
      </c>
      <c r="C161" s="9" t="s">
        <v>39</v>
      </c>
      <c r="D161" s="9" t="s">
        <v>37</v>
      </c>
      <c r="E161" s="9" t="s">
        <v>35</v>
      </c>
      <c r="F161" s="9">
        <v>104000</v>
      </c>
      <c r="G161" s="9" t="s">
        <v>444</v>
      </c>
      <c r="H161" s="9">
        <f t="shared" si="5"/>
        <v>2019</v>
      </c>
      <c r="I161">
        <f t="shared" si="6"/>
        <v>6</v>
      </c>
      <c r="K161"/>
      <c r="L161"/>
    </row>
    <row r="162" spans="2:12" ht="16.5" x14ac:dyDescent="0.25">
      <c r="B162" s="9" t="s">
        <v>447</v>
      </c>
      <c r="C162" s="9" t="s">
        <v>39</v>
      </c>
      <c r="D162" s="9" t="s">
        <v>38</v>
      </c>
      <c r="E162" s="9" t="s">
        <v>35</v>
      </c>
      <c r="F162" s="9">
        <v>79000</v>
      </c>
      <c r="G162" s="9" t="s">
        <v>444</v>
      </c>
      <c r="H162" s="9">
        <f t="shared" si="5"/>
        <v>2019</v>
      </c>
      <c r="I162">
        <f t="shared" si="6"/>
        <v>6</v>
      </c>
      <c r="K162"/>
      <c r="L162"/>
    </row>
    <row r="163" spans="2:12" ht="16.5" x14ac:dyDescent="0.25">
      <c r="B163" s="9" t="s">
        <v>448</v>
      </c>
      <c r="C163" s="9" t="s">
        <v>38</v>
      </c>
      <c r="D163" s="9" t="s">
        <v>40</v>
      </c>
      <c r="E163" s="9" t="s">
        <v>35</v>
      </c>
      <c r="F163" s="9">
        <v>30000</v>
      </c>
      <c r="G163" s="9" t="s">
        <v>449</v>
      </c>
      <c r="H163" s="9">
        <f t="shared" si="5"/>
        <v>2019</v>
      </c>
      <c r="I163">
        <f t="shared" si="6"/>
        <v>6</v>
      </c>
      <c r="K163"/>
      <c r="L163"/>
    </row>
    <row r="164" spans="2:12" ht="16.5" x14ac:dyDescent="0.25">
      <c r="B164" s="9" t="s">
        <v>450</v>
      </c>
      <c r="C164" s="9" t="s">
        <v>37</v>
      </c>
      <c r="D164" s="9" t="s">
        <v>40</v>
      </c>
      <c r="E164" s="9" t="s">
        <v>35</v>
      </c>
      <c r="F164" s="9">
        <v>225000</v>
      </c>
      <c r="G164" s="9" t="s">
        <v>451</v>
      </c>
      <c r="H164" s="9">
        <f t="shared" si="5"/>
        <v>2019</v>
      </c>
      <c r="I164">
        <f t="shared" si="6"/>
        <v>6</v>
      </c>
      <c r="K164"/>
      <c r="L164"/>
    </row>
    <row r="165" spans="2:12" ht="16.5" x14ac:dyDescent="0.25">
      <c r="B165" s="9" t="s">
        <v>452</v>
      </c>
      <c r="C165" s="9" t="s">
        <v>38</v>
      </c>
      <c r="D165" s="9" t="s">
        <v>34</v>
      </c>
      <c r="E165" s="9" t="s">
        <v>39</v>
      </c>
      <c r="F165" s="9">
        <v>121000</v>
      </c>
      <c r="G165" s="9" t="s">
        <v>454</v>
      </c>
      <c r="H165" s="9">
        <f t="shared" si="5"/>
        <v>2019</v>
      </c>
      <c r="I165">
        <f t="shared" si="6"/>
        <v>6</v>
      </c>
      <c r="K165"/>
      <c r="L165"/>
    </row>
    <row r="166" spans="2:12" ht="16.5" x14ac:dyDescent="0.25">
      <c r="B166" s="9" t="s">
        <v>455</v>
      </c>
      <c r="C166" s="9" t="s">
        <v>34</v>
      </c>
      <c r="D166" s="9" t="s">
        <v>35</v>
      </c>
      <c r="E166" s="9" t="s">
        <v>36</v>
      </c>
      <c r="F166" s="9">
        <v>286000</v>
      </c>
      <c r="G166" s="9" t="s">
        <v>454</v>
      </c>
      <c r="H166" s="9">
        <f t="shared" si="5"/>
        <v>2019</v>
      </c>
      <c r="I166">
        <f t="shared" si="6"/>
        <v>6</v>
      </c>
      <c r="K166"/>
      <c r="L166"/>
    </row>
    <row r="167" spans="2:12" ht="16.5" x14ac:dyDescent="0.25">
      <c r="B167" s="9" t="s">
        <v>457</v>
      </c>
      <c r="C167" s="9" t="s">
        <v>37</v>
      </c>
      <c r="D167" s="9" t="s">
        <v>40</v>
      </c>
      <c r="E167" s="9" t="s">
        <v>34</v>
      </c>
      <c r="F167" s="9">
        <v>152000</v>
      </c>
      <c r="G167" s="9" t="s">
        <v>454</v>
      </c>
      <c r="H167" s="9">
        <f t="shared" si="5"/>
        <v>2019</v>
      </c>
      <c r="I167">
        <f t="shared" si="6"/>
        <v>6</v>
      </c>
      <c r="K167"/>
      <c r="L167"/>
    </row>
    <row r="168" spans="2:12" ht="16.5" x14ac:dyDescent="0.25">
      <c r="B168" s="9" t="s">
        <v>458</v>
      </c>
      <c r="C168" s="9" t="s">
        <v>36</v>
      </c>
      <c r="D168" s="9" t="s">
        <v>37</v>
      </c>
      <c r="E168" s="9" t="s">
        <v>36</v>
      </c>
      <c r="F168" s="9">
        <v>264000</v>
      </c>
      <c r="G168" s="9" t="s">
        <v>459</v>
      </c>
      <c r="H168" s="9">
        <f t="shared" si="5"/>
        <v>2019</v>
      </c>
      <c r="I168">
        <f t="shared" si="6"/>
        <v>6</v>
      </c>
      <c r="K168"/>
      <c r="L168"/>
    </row>
    <row r="169" spans="2:12" ht="16.5" x14ac:dyDescent="0.25">
      <c r="B169" s="9" t="s">
        <v>460</v>
      </c>
      <c r="C169" s="9" t="s">
        <v>40</v>
      </c>
      <c r="D169" s="9" t="s">
        <v>37</v>
      </c>
      <c r="E169" s="9" t="s">
        <v>39</v>
      </c>
      <c r="F169" s="9">
        <v>172000</v>
      </c>
      <c r="G169" s="9" t="s">
        <v>459</v>
      </c>
      <c r="H169" s="9">
        <f t="shared" si="5"/>
        <v>2019</v>
      </c>
      <c r="I169">
        <f t="shared" si="6"/>
        <v>6</v>
      </c>
      <c r="K169"/>
      <c r="L169"/>
    </row>
    <row r="170" spans="2:12" ht="16.5" x14ac:dyDescent="0.25">
      <c r="B170" s="9" t="s">
        <v>461</v>
      </c>
      <c r="C170" s="9" t="s">
        <v>59</v>
      </c>
      <c r="D170" s="9" t="s">
        <v>39</v>
      </c>
      <c r="E170" s="9" t="s">
        <v>35</v>
      </c>
      <c r="F170" s="9">
        <v>170000</v>
      </c>
      <c r="G170" s="9" t="s">
        <v>462</v>
      </c>
      <c r="H170" s="9">
        <f t="shared" si="5"/>
        <v>2019</v>
      </c>
      <c r="I170">
        <f t="shared" si="6"/>
        <v>6</v>
      </c>
      <c r="K170"/>
      <c r="L170"/>
    </row>
    <row r="171" spans="2:12" ht="16.5" x14ac:dyDescent="0.25">
      <c r="B171" s="9" t="s">
        <v>463</v>
      </c>
      <c r="C171" s="9" t="s">
        <v>39</v>
      </c>
      <c r="D171" s="9" t="s">
        <v>40</v>
      </c>
      <c r="E171" s="9" t="s">
        <v>38</v>
      </c>
      <c r="F171" s="9">
        <v>111000</v>
      </c>
      <c r="G171" s="9" t="s">
        <v>464</v>
      </c>
      <c r="H171" s="9">
        <f t="shared" si="5"/>
        <v>2019</v>
      </c>
      <c r="I171">
        <f t="shared" si="6"/>
        <v>6</v>
      </c>
      <c r="K171"/>
      <c r="L171"/>
    </row>
    <row r="172" spans="2:12" ht="16.5" x14ac:dyDescent="0.25">
      <c r="B172" s="9" t="s">
        <v>465</v>
      </c>
      <c r="C172" s="9" t="s">
        <v>36</v>
      </c>
      <c r="D172" s="9" t="s">
        <v>35</v>
      </c>
      <c r="E172" s="9" t="s">
        <v>34</v>
      </c>
      <c r="F172" s="9">
        <v>153000</v>
      </c>
      <c r="G172" s="9" t="s">
        <v>464</v>
      </c>
      <c r="H172" s="9">
        <f t="shared" si="5"/>
        <v>2019</v>
      </c>
      <c r="I172">
        <f t="shared" si="6"/>
        <v>6</v>
      </c>
      <c r="K172"/>
      <c r="L172"/>
    </row>
    <row r="173" spans="2:12" ht="16.5" x14ac:dyDescent="0.25">
      <c r="B173" s="9" t="s">
        <v>467</v>
      </c>
      <c r="C173" s="9" t="s">
        <v>34</v>
      </c>
      <c r="D173" s="9" t="s">
        <v>39</v>
      </c>
      <c r="E173" s="9" t="s">
        <v>37</v>
      </c>
      <c r="F173" s="9">
        <v>273000</v>
      </c>
      <c r="G173" s="9" t="s">
        <v>468</v>
      </c>
      <c r="H173" s="9">
        <f t="shared" si="5"/>
        <v>2019</v>
      </c>
      <c r="I173">
        <f t="shared" si="6"/>
        <v>6</v>
      </c>
      <c r="K173"/>
      <c r="L173"/>
    </row>
    <row r="174" spans="2:12" ht="16.5" x14ac:dyDescent="0.25">
      <c r="B174" s="9" t="s">
        <v>469</v>
      </c>
      <c r="C174" s="9" t="s">
        <v>36</v>
      </c>
      <c r="D174" s="9" t="s">
        <v>38</v>
      </c>
      <c r="E174" s="9" t="s">
        <v>35</v>
      </c>
      <c r="F174" s="9">
        <v>261000</v>
      </c>
      <c r="G174" s="9" t="s">
        <v>471</v>
      </c>
      <c r="H174" s="9">
        <f t="shared" si="5"/>
        <v>2019</v>
      </c>
      <c r="I174">
        <f t="shared" si="6"/>
        <v>6</v>
      </c>
      <c r="K174"/>
      <c r="L174"/>
    </row>
    <row r="175" spans="2:12" ht="16.5" x14ac:dyDescent="0.25">
      <c r="B175" s="9" t="s">
        <v>472</v>
      </c>
      <c r="C175" s="9" t="s">
        <v>35</v>
      </c>
      <c r="D175" s="9" t="s">
        <v>37</v>
      </c>
      <c r="E175" s="9" t="s">
        <v>37</v>
      </c>
      <c r="F175" s="9">
        <v>124000</v>
      </c>
      <c r="G175" s="9" t="s">
        <v>471</v>
      </c>
      <c r="H175" s="9">
        <f t="shared" si="5"/>
        <v>2019</v>
      </c>
      <c r="I175">
        <f t="shared" si="6"/>
        <v>6</v>
      </c>
      <c r="K175"/>
      <c r="L175"/>
    </row>
    <row r="176" spans="2:12" ht="16.5" x14ac:dyDescent="0.25">
      <c r="B176" s="9" t="s">
        <v>473</v>
      </c>
      <c r="C176" s="9" t="s">
        <v>34</v>
      </c>
      <c r="D176" s="9" t="s">
        <v>34</v>
      </c>
      <c r="E176" s="9" t="s">
        <v>39</v>
      </c>
      <c r="F176" s="9">
        <v>249000</v>
      </c>
      <c r="G176" s="9" t="s">
        <v>474</v>
      </c>
      <c r="H176" s="9">
        <f t="shared" si="5"/>
        <v>2019</v>
      </c>
      <c r="I176">
        <f t="shared" si="6"/>
        <v>6</v>
      </c>
      <c r="K176"/>
      <c r="L176"/>
    </row>
    <row r="177" spans="2:12" ht="16.5" x14ac:dyDescent="0.25">
      <c r="B177" s="9" t="s">
        <v>475</v>
      </c>
      <c r="C177" s="9" t="s">
        <v>36</v>
      </c>
      <c r="D177" s="9" t="s">
        <v>34</v>
      </c>
      <c r="E177" s="9" t="s">
        <v>35</v>
      </c>
      <c r="F177" s="9">
        <v>30000</v>
      </c>
      <c r="G177" s="9" t="s">
        <v>476</v>
      </c>
      <c r="H177" s="9">
        <f t="shared" si="5"/>
        <v>2019</v>
      </c>
      <c r="I177">
        <f t="shared" si="6"/>
        <v>6</v>
      </c>
      <c r="K177"/>
      <c r="L177"/>
    </row>
    <row r="178" spans="2:12" ht="16.5" x14ac:dyDescent="0.25">
      <c r="B178" s="9" t="s">
        <v>477</v>
      </c>
      <c r="C178" s="9" t="s">
        <v>59</v>
      </c>
      <c r="D178" s="9" t="s">
        <v>37</v>
      </c>
      <c r="E178" s="9" t="s">
        <v>38</v>
      </c>
      <c r="F178" s="9">
        <v>166000</v>
      </c>
      <c r="G178" s="9" t="s">
        <v>479</v>
      </c>
      <c r="H178" s="9">
        <f t="shared" si="5"/>
        <v>2019</v>
      </c>
      <c r="I178">
        <f t="shared" si="6"/>
        <v>6</v>
      </c>
      <c r="K178"/>
      <c r="L178"/>
    </row>
    <row r="179" spans="2:12" ht="16.5" x14ac:dyDescent="0.25">
      <c r="B179" s="9" t="s">
        <v>480</v>
      </c>
      <c r="C179" s="9" t="s">
        <v>56</v>
      </c>
      <c r="D179" s="9" t="s">
        <v>37</v>
      </c>
      <c r="E179" s="9" t="s">
        <v>36</v>
      </c>
      <c r="F179" s="9">
        <v>71000</v>
      </c>
      <c r="G179" s="9" t="s">
        <v>482</v>
      </c>
      <c r="H179" s="9">
        <f t="shared" si="5"/>
        <v>2019</v>
      </c>
      <c r="I179">
        <f t="shared" si="6"/>
        <v>6</v>
      </c>
      <c r="K179"/>
      <c r="L179"/>
    </row>
    <row r="180" spans="2:12" ht="16.5" x14ac:dyDescent="0.25">
      <c r="B180" s="9" t="s">
        <v>483</v>
      </c>
      <c r="C180" s="9" t="s">
        <v>40</v>
      </c>
      <c r="D180" s="9" t="s">
        <v>38</v>
      </c>
      <c r="E180" s="9" t="s">
        <v>39</v>
      </c>
      <c r="F180" s="9">
        <v>136000</v>
      </c>
      <c r="G180" s="9" t="s">
        <v>482</v>
      </c>
      <c r="H180" s="9">
        <f t="shared" si="5"/>
        <v>2019</v>
      </c>
      <c r="I180">
        <f t="shared" si="6"/>
        <v>6</v>
      </c>
      <c r="K180"/>
      <c r="L180"/>
    </row>
    <row r="181" spans="2:12" ht="16.5" x14ac:dyDescent="0.25">
      <c r="B181" s="9" t="s">
        <v>485</v>
      </c>
      <c r="C181" s="9" t="s">
        <v>59</v>
      </c>
      <c r="D181" s="9" t="s">
        <v>40</v>
      </c>
      <c r="E181" s="9" t="s">
        <v>34</v>
      </c>
      <c r="F181" s="9">
        <v>102000</v>
      </c>
      <c r="G181" s="9" t="s">
        <v>482</v>
      </c>
      <c r="H181" s="9">
        <f t="shared" si="5"/>
        <v>2019</v>
      </c>
      <c r="I181">
        <f t="shared" si="6"/>
        <v>6</v>
      </c>
      <c r="K181"/>
      <c r="L181"/>
    </row>
    <row r="182" spans="2:12" ht="16.5" x14ac:dyDescent="0.25">
      <c r="B182" s="9" t="s">
        <v>486</v>
      </c>
      <c r="C182" s="9" t="s">
        <v>40</v>
      </c>
      <c r="D182" s="9" t="s">
        <v>34</v>
      </c>
      <c r="E182" s="9" t="s">
        <v>36</v>
      </c>
      <c r="F182" s="9">
        <v>238000</v>
      </c>
      <c r="G182" s="9" t="s">
        <v>482</v>
      </c>
      <c r="H182" s="9">
        <f t="shared" si="5"/>
        <v>2019</v>
      </c>
      <c r="I182">
        <f t="shared" si="6"/>
        <v>6</v>
      </c>
      <c r="K182"/>
      <c r="L182"/>
    </row>
    <row r="183" spans="2:12" ht="16.5" x14ac:dyDescent="0.25">
      <c r="B183" s="9" t="s">
        <v>487</v>
      </c>
      <c r="C183" s="9" t="s">
        <v>39</v>
      </c>
      <c r="D183" s="9" t="s">
        <v>37</v>
      </c>
      <c r="E183" s="9" t="s">
        <v>35</v>
      </c>
      <c r="F183" s="9">
        <v>100000</v>
      </c>
      <c r="G183" s="9" t="s">
        <v>482</v>
      </c>
      <c r="H183" s="9">
        <f t="shared" si="5"/>
        <v>2019</v>
      </c>
      <c r="I183">
        <f t="shared" si="6"/>
        <v>6</v>
      </c>
      <c r="K183"/>
      <c r="L183"/>
    </row>
    <row r="184" spans="2:12" ht="16.5" x14ac:dyDescent="0.25">
      <c r="B184" s="9" t="s">
        <v>488</v>
      </c>
      <c r="C184" s="9" t="s">
        <v>37</v>
      </c>
      <c r="D184" s="9" t="s">
        <v>35</v>
      </c>
      <c r="E184" s="9" t="s">
        <v>34</v>
      </c>
      <c r="F184" s="9">
        <v>63000</v>
      </c>
      <c r="G184" s="9" t="s">
        <v>490</v>
      </c>
      <c r="H184" s="9">
        <f t="shared" si="5"/>
        <v>2019</v>
      </c>
      <c r="I184">
        <f t="shared" si="6"/>
        <v>6</v>
      </c>
      <c r="K184"/>
      <c r="L184"/>
    </row>
    <row r="185" spans="2:12" ht="16.5" x14ac:dyDescent="0.25">
      <c r="B185" s="9" t="s">
        <v>491</v>
      </c>
      <c r="C185" s="9" t="s">
        <v>56</v>
      </c>
      <c r="D185" s="9" t="s">
        <v>37</v>
      </c>
      <c r="E185" s="9" t="s">
        <v>37</v>
      </c>
      <c r="F185" s="9">
        <v>65000</v>
      </c>
      <c r="G185" s="9" t="s">
        <v>490</v>
      </c>
      <c r="H185" s="9">
        <f t="shared" si="5"/>
        <v>2019</v>
      </c>
      <c r="I185">
        <f t="shared" si="6"/>
        <v>6</v>
      </c>
      <c r="K185"/>
      <c r="L185"/>
    </row>
    <row r="186" spans="2:12" ht="16.5" x14ac:dyDescent="0.25">
      <c r="B186" s="9" t="s">
        <v>493</v>
      </c>
      <c r="C186" s="9" t="s">
        <v>35</v>
      </c>
      <c r="D186" s="9" t="s">
        <v>36</v>
      </c>
      <c r="E186" s="9" t="s">
        <v>36</v>
      </c>
      <c r="F186" s="9">
        <v>266000</v>
      </c>
      <c r="G186" s="9" t="s">
        <v>495</v>
      </c>
      <c r="H186" s="9">
        <f t="shared" si="5"/>
        <v>2019</v>
      </c>
      <c r="I186">
        <f t="shared" si="6"/>
        <v>6</v>
      </c>
      <c r="K186"/>
      <c r="L186"/>
    </row>
    <row r="187" spans="2:12" ht="16.5" x14ac:dyDescent="0.25">
      <c r="B187" s="9" t="s">
        <v>496</v>
      </c>
      <c r="C187" s="9" t="s">
        <v>59</v>
      </c>
      <c r="D187" s="9" t="s">
        <v>40</v>
      </c>
      <c r="E187" s="9" t="s">
        <v>34</v>
      </c>
      <c r="F187" s="9">
        <v>259000</v>
      </c>
      <c r="G187" s="9" t="s">
        <v>495</v>
      </c>
      <c r="H187" s="9">
        <f t="shared" si="5"/>
        <v>2019</v>
      </c>
      <c r="I187">
        <f t="shared" si="6"/>
        <v>6</v>
      </c>
      <c r="K187"/>
      <c r="L187"/>
    </row>
    <row r="188" spans="2:12" ht="16.5" x14ac:dyDescent="0.25">
      <c r="B188" s="9" t="s">
        <v>498</v>
      </c>
      <c r="C188" s="9" t="s">
        <v>56</v>
      </c>
      <c r="D188" s="9" t="s">
        <v>36</v>
      </c>
      <c r="E188" s="9" t="s">
        <v>38</v>
      </c>
      <c r="F188" s="9">
        <v>216000</v>
      </c>
      <c r="G188" s="9" t="s">
        <v>499</v>
      </c>
      <c r="H188" s="9">
        <f t="shared" si="5"/>
        <v>2019</v>
      </c>
      <c r="I188">
        <f t="shared" si="6"/>
        <v>7</v>
      </c>
      <c r="K188"/>
      <c r="L188"/>
    </row>
    <row r="189" spans="2:12" ht="16.5" x14ac:dyDescent="0.25">
      <c r="B189" s="9" t="s">
        <v>500</v>
      </c>
      <c r="C189" s="9" t="s">
        <v>36</v>
      </c>
      <c r="D189" s="9" t="s">
        <v>38</v>
      </c>
      <c r="E189" s="9" t="s">
        <v>35</v>
      </c>
      <c r="F189" s="9">
        <v>260000</v>
      </c>
      <c r="G189" s="9" t="s">
        <v>499</v>
      </c>
      <c r="H189" s="9">
        <f t="shared" si="5"/>
        <v>2019</v>
      </c>
      <c r="I189">
        <f t="shared" si="6"/>
        <v>7</v>
      </c>
      <c r="K189"/>
      <c r="L189"/>
    </row>
    <row r="190" spans="2:12" ht="16.5" x14ac:dyDescent="0.25">
      <c r="B190" s="9" t="s">
        <v>502</v>
      </c>
      <c r="C190" s="9" t="s">
        <v>39</v>
      </c>
      <c r="D190" s="9" t="s">
        <v>36</v>
      </c>
      <c r="E190" s="9" t="s">
        <v>39</v>
      </c>
      <c r="F190" s="9">
        <v>132000</v>
      </c>
      <c r="G190" s="9" t="s">
        <v>504</v>
      </c>
      <c r="H190" s="9">
        <f t="shared" si="5"/>
        <v>2019</v>
      </c>
      <c r="I190">
        <f t="shared" si="6"/>
        <v>7</v>
      </c>
      <c r="K190"/>
      <c r="L190"/>
    </row>
    <row r="191" spans="2:12" ht="16.5" x14ac:dyDescent="0.25">
      <c r="B191" s="9" t="s">
        <v>505</v>
      </c>
      <c r="C191" s="9" t="s">
        <v>38</v>
      </c>
      <c r="D191" s="9" t="s">
        <v>35</v>
      </c>
      <c r="E191" s="9" t="s">
        <v>38</v>
      </c>
      <c r="F191" s="9">
        <v>139000</v>
      </c>
      <c r="G191" s="9" t="s">
        <v>504</v>
      </c>
      <c r="H191" s="9">
        <f t="shared" si="5"/>
        <v>2019</v>
      </c>
      <c r="I191">
        <f t="shared" si="6"/>
        <v>7</v>
      </c>
      <c r="K191"/>
      <c r="L191"/>
    </row>
    <row r="192" spans="2:12" ht="16.5" x14ac:dyDescent="0.25">
      <c r="B192" s="9" t="s">
        <v>506</v>
      </c>
      <c r="C192" s="9" t="s">
        <v>35</v>
      </c>
      <c r="D192" s="9" t="s">
        <v>34</v>
      </c>
      <c r="E192" s="9" t="s">
        <v>35</v>
      </c>
      <c r="F192" s="9">
        <v>145000</v>
      </c>
      <c r="G192" s="9" t="s">
        <v>508</v>
      </c>
      <c r="H192" s="9">
        <f t="shared" si="5"/>
        <v>2019</v>
      </c>
      <c r="I192">
        <f t="shared" si="6"/>
        <v>7</v>
      </c>
      <c r="K192"/>
      <c r="L192"/>
    </row>
    <row r="193" spans="2:12" ht="16.5" x14ac:dyDescent="0.25">
      <c r="B193" s="9" t="s">
        <v>509</v>
      </c>
      <c r="C193" s="9" t="s">
        <v>56</v>
      </c>
      <c r="D193" s="9" t="s">
        <v>34</v>
      </c>
      <c r="E193" s="9" t="s">
        <v>38</v>
      </c>
      <c r="F193" s="9">
        <v>92000</v>
      </c>
      <c r="G193" s="9" t="s">
        <v>510</v>
      </c>
      <c r="H193" s="9">
        <f t="shared" si="5"/>
        <v>2019</v>
      </c>
      <c r="I193">
        <f t="shared" si="6"/>
        <v>7</v>
      </c>
      <c r="K193"/>
      <c r="L193"/>
    </row>
    <row r="194" spans="2:12" ht="16.5" x14ac:dyDescent="0.25">
      <c r="B194" s="9" t="s">
        <v>511</v>
      </c>
      <c r="C194" s="9" t="s">
        <v>35</v>
      </c>
      <c r="D194" s="9" t="s">
        <v>35</v>
      </c>
      <c r="E194" s="9" t="s">
        <v>34</v>
      </c>
      <c r="F194" s="9">
        <v>197000</v>
      </c>
      <c r="G194" s="9" t="s">
        <v>513</v>
      </c>
      <c r="H194" s="9">
        <f t="shared" si="5"/>
        <v>2019</v>
      </c>
      <c r="I194">
        <f t="shared" si="6"/>
        <v>7</v>
      </c>
      <c r="K194"/>
      <c r="L194"/>
    </row>
    <row r="195" spans="2:12" ht="16.5" x14ac:dyDescent="0.25">
      <c r="B195" s="9" t="s">
        <v>514</v>
      </c>
      <c r="C195" s="9" t="s">
        <v>34</v>
      </c>
      <c r="D195" s="9" t="s">
        <v>38</v>
      </c>
      <c r="E195" s="9" t="s">
        <v>34</v>
      </c>
      <c r="F195" s="9">
        <v>234000</v>
      </c>
      <c r="G195" s="9" t="s">
        <v>513</v>
      </c>
      <c r="H195" s="9">
        <f t="shared" ref="H195:H258" si="7">YEAR(G195)</f>
        <v>2019</v>
      </c>
      <c r="I195">
        <f t="shared" ref="I195:I258" si="8">MONTH(G195)</f>
        <v>7</v>
      </c>
      <c r="K195"/>
      <c r="L195"/>
    </row>
    <row r="196" spans="2:12" ht="16.5" x14ac:dyDescent="0.25">
      <c r="B196" s="9" t="s">
        <v>516</v>
      </c>
      <c r="C196" s="9" t="s">
        <v>59</v>
      </c>
      <c r="D196" s="9" t="s">
        <v>37</v>
      </c>
      <c r="E196" s="9" t="s">
        <v>37</v>
      </c>
      <c r="F196" s="9">
        <v>142000</v>
      </c>
      <c r="G196" s="9" t="s">
        <v>518</v>
      </c>
      <c r="H196" s="9">
        <f t="shared" si="7"/>
        <v>2019</v>
      </c>
      <c r="I196">
        <f t="shared" si="8"/>
        <v>7</v>
      </c>
      <c r="K196"/>
      <c r="L196"/>
    </row>
    <row r="197" spans="2:12" ht="16.5" x14ac:dyDescent="0.25">
      <c r="B197" s="9" t="s">
        <v>519</v>
      </c>
      <c r="C197" s="9" t="s">
        <v>35</v>
      </c>
      <c r="D197" s="9" t="s">
        <v>37</v>
      </c>
      <c r="E197" s="9" t="s">
        <v>34</v>
      </c>
      <c r="F197" s="9">
        <v>84000</v>
      </c>
      <c r="G197" s="9" t="s">
        <v>520</v>
      </c>
      <c r="H197" s="9">
        <f t="shared" si="7"/>
        <v>2019</v>
      </c>
      <c r="I197">
        <f t="shared" si="8"/>
        <v>7</v>
      </c>
      <c r="K197"/>
      <c r="L197"/>
    </row>
    <row r="198" spans="2:12" ht="16.5" x14ac:dyDescent="0.25">
      <c r="B198" s="9" t="s">
        <v>521</v>
      </c>
      <c r="C198" s="9" t="s">
        <v>39</v>
      </c>
      <c r="D198" s="9" t="s">
        <v>34</v>
      </c>
      <c r="E198" s="9" t="s">
        <v>34</v>
      </c>
      <c r="F198" s="9">
        <v>243000</v>
      </c>
      <c r="G198" s="9" t="s">
        <v>523</v>
      </c>
      <c r="H198" s="9">
        <f t="shared" si="7"/>
        <v>2019</v>
      </c>
      <c r="I198">
        <f t="shared" si="8"/>
        <v>7</v>
      </c>
      <c r="K198"/>
      <c r="L198"/>
    </row>
    <row r="199" spans="2:12" ht="16.5" x14ac:dyDescent="0.25">
      <c r="B199" s="9" t="s">
        <v>524</v>
      </c>
      <c r="C199" s="9" t="s">
        <v>37</v>
      </c>
      <c r="D199" s="9" t="s">
        <v>40</v>
      </c>
      <c r="E199" s="9" t="s">
        <v>39</v>
      </c>
      <c r="F199" s="9">
        <v>104000</v>
      </c>
      <c r="G199" s="9" t="s">
        <v>523</v>
      </c>
      <c r="H199" s="9">
        <f t="shared" si="7"/>
        <v>2019</v>
      </c>
      <c r="I199">
        <f t="shared" si="8"/>
        <v>7</v>
      </c>
      <c r="K199"/>
      <c r="L199"/>
    </row>
    <row r="200" spans="2:12" ht="16.5" x14ac:dyDescent="0.25">
      <c r="B200" s="9" t="s">
        <v>525</v>
      </c>
      <c r="C200" s="9" t="s">
        <v>38</v>
      </c>
      <c r="D200" s="9" t="s">
        <v>37</v>
      </c>
      <c r="E200" s="9" t="s">
        <v>38</v>
      </c>
      <c r="F200" s="9">
        <v>252000</v>
      </c>
      <c r="G200" s="9" t="s">
        <v>526</v>
      </c>
      <c r="H200" s="9">
        <f t="shared" si="7"/>
        <v>2019</v>
      </c>
      <c r="I200">
        <f t="shared" si="8"/>
        <v>7</v>
      </c>
      <c r="K200"/>
      <c r="L200"/>
    </row>
    <row r="201" spans="2:12" ht="16.5" x14ac:dyDescent="0.25">
      <c r="B201" s="9" t="s">
        <v>527</v>
      </c>
      <c r="C201" s="9" t="s">
        <v>56</v>
      </c>
      <c r="D201" s="9" t="s">
        <v>35</v>
      </c>
      <c r="E201" s="9" t="s">
        <v>37</v>
      </c>
      <c r="F201" s="9">
        <v>274000</v>
      </c>
      <c r="G201" s="9" t="s">
        <v>528</v>
      </c>
      <c r="H201" s="9">
        <f t="shared" si="7"/>
        <v>2019</v>
      </c>
      <c r="I201">
        <f t="shared" si="8"/>
        <v>7</v>
      </c>
      <c r="K201"/>
      <c r="L201"/>
    </row>
    <row r="202" spans="2:12" ht="16.5" x14ac:dyDescent="0.25">
      <c r="B202" s="9" t="s">
        <v>529</v>
      </c>
      <c r="C202" s="9" t="s">
        <v>39</v>
      </c>
      <c r="D202" s="9" t="s">
        <v>39</v>
      </c>
      <c r="E202" s="9" t="s">
        <v>39</v>
      </c>
      <c r="F202" s="9">
        <v>46000</v>
      </c>
      <c r="G202" s="9" t="s">
        <v>528</v>
      </c>
      <c r="H202" s="9">
        <f t="shared" si="7"/>
        <v>2019</v>
      </c>
      <c r="I202">
        <f t="shared" si="8"/>
        <v>7</v>
      </c>
      <c r="K202"/>
      <c r="L202"/>
    </row>
    <row r="203" spans="2:12" ht="16.5" x14ac:dyDescent="0.25">
      <c r="B203" s="9" t="s">
        <v>531</v>
      </c>
      <c r="C203" s="9" t="s">
        <v>39</v>
      </c>
      <c r="D203" s="9" t="s">
        <v>36</v>
      </c>
      <c r="E203" s="9" t="s">
        <v>38</v>
      </c>
      <c r="F203" s="9">
        <v>259000</v>
      </c>
      <c r="G203" s="9" t="s">
        <v>528</v>
      </c>
      <c r="H203" s="9">
        <f t="shared" si="7"/>
        <v>2019</v>
      </c>
      <c r="I203">
        <f t="shared" si="8"/>
        <v>7</v>
      </c>
      <c r="K203"/>
      <c r="L203"/>
    </row>
    <row r="204" spans="2:12" ht="16.5" x14ac:dyDescent="0.25">
      <c r="B204" s="9" t="s">
        <v>532</v>
      </c>
      <c r="C204" s="9" t="s">
        <v>40</v>
      </c>
      <c r="D204" s="9" t="s">
        <v>39</v>
      </c>
      <c r="E204" s="9" t="s">
        <v>35</v>
      </c>
      <c r="F204" s="9">
        <v>218000</v>
      </c>
      <c r="G204" s="9" t="s">
        <v>533</v>
      </c>
      <c r="H204" s="9">
        <f t="shared" si="7"/>
        <v>2019</v>
      </c>
      <c r="I204">
        <f t="shared" si="8"/>
        <v>7</v>
      </c>
      <c r="K204"/>
      <c r="L204"/>
    </row>
    <row r="205" spans="2:12" ht="16.5" x14ac:dyDescent="0.25">
      <c r="B205" s="9" t="s">
        <v>534</v>
      </c>
      <c r="C205" s="9" t="s">
        <v>34</v>
      </c>
      <c r="D205" s="9" t="s">
        <v>37</v>
      </c>
      <c r="E205" s="9" t="s">
        <v>36</v>
      </c>
      <c r="F205" s="9">
        <v>57000</v>
      </c>
      <c r="G205" s="9" t="s">
        <v>533</v>
      </c>
      <c r="H205" s="9">
        <f t="shared" si="7"/>
        <v>2019</v>
      </c>
      <c r="I205">
        <f t="shared" si="8"/>
        <v>7</v>
      </c>
      <c r="K205"/>
      <c r="L205"/>
    </row>
    <row r="206" spans="2:12" ht="16.5" x14ac:dyDescent="0.25">
      <c r="B206" s="9" t="s">
        <v>536</v>
      </c>
      <c r="C206" s="9" t="s">
        <v>39</v>
      </c>
      <c r="D206" s="9" t="s">
        <v>37</v>
      </c>
      <c r="E206" s="9" t="s">
        <v>38</v>
      </c>
      <c r="F206" s="9">
        <v>33000</v>
      </c>
      <c r="G206" s="9" t="s">
        <v>537</v>
      </c>
      <c r="H206" s="9">
        <f t="shared" si="7"/>
        <v>2019</v>
      </c>
      <c r="I206">
        <f t="shared" si="8"/>
        <v>7</v>
      </c>
      <c r="K206"/>
      <c r="L206"/>
    </row>
    <row r="207" spans="2:12" ht="16.5" x14ac:dyDescent="0.25">
      <c r="B207" s="9" t="s">
        <v>538</v>
      </c>
      <c r="C207" s="9" t="s">
        <v>35</v>
      </c>
      <c r="D207" s="9" t="s">
        <v>38</v>
      </c>
      <c r="E207" s="9" t="s">
        <v>35</v>
      </c>
      <c r="F207" s="9">
        <v>168000</v>
      </c>
      <c r="G207" s="9" t="s">
        <v>540</v>
      </c>
      <c r="H207" s="9">
        <f t="shared" si="7"/>
        <v>2019</v>
      </c>
      <c r="I207">
        <f t="shared" si="8"/>
        <v>7</v>
      </c>
      <c r="K207"/>
      <c r="L207"/>
    </row>
    <row r="208" spans="2:12" ht="16.5" x14ac:dyDescent="0.25">
      <c r="B208" s="9" t="s">
        <v>541</v>
      </c>
      <c r="C208" s="9" t="s">
        <v>37</v>
      </c>
      <c r="D208" s="9" t="s">
        <v>38</v>
      </c>
      <c r="E208" s="9" t="s">
        <v>36</v>
      </c>
      <c r="F208" s="9">
        <v>48000</v>
      </c>
      <c r="G208" s="9" t="s">
        <v>543</v>
      </c>
      <c r="H208" s="9">
        <f t="shared" si="7"/>
        <v>2019</v>
      </c>
      <c r="I208">
        <f t="shared" si="8"/>
        <v>7</v>
      </c>
      <c r="K208"/>
      <c r="L208"/>
    </row>
    <row r="209" spans="2:12" ht="16.5" x14ac:dyDescent="0.25">
      <c r="B209" s="9" t="s">
        <v>544</v>
      </c>
      <c r="C209" s="9" t="s">
        <v>56</v>
      </c>
      <c r="D209" s="9" t="s">
        <v>34</v>
      </c>
      <c r="E209" s="9" t="s">
        <v>37</v>
      </c>
      <c r="F209" s="9">
        <v>72000</v>
      </c>
      <c r="G209" s="9" t="s">
        <v>543</v>
      </c>
      <c r="H209" s="9">
        <f t="shared" si="7"/>
        <v>2019</v>
      </c>
      <c r="I209">
        <f t="shared" si="8"/>
        <v>7</v>
      </c>
      <c r="K209"/>
      <c r="L209"/>
    </row>
    <row r="210" spans="2:12" ht="16.5" x14ac:dyDescent="0.25">
      <c r="B210" s="9" t="s">
        <v>546</v>
      </c>
      <c r="C210" s="9" t="s">
        <v>38</v>
      </c>
      <c r="D210" s="9" t="s">
        <v>38</v>
      </c>
      <c r="E210" s="9" t="s">
        <v>37</v>
      </c>
      <c r="F210" s="9">
        <v>123000</v>
      </c>
      <c r="G210" s="9" t="s">
        <v>548</v>
      </c>
      <c r="H210" s="9">
        <f t="shared" si="7"/>
        <v>2019</v>
      </c>
      <c r="I210">
        <f t="shared" si="8"/>
        <v>7</v>
      </c>
      <c r="K210"/>
      <c r="L210"/>
    </row>
    <row r="211" spans="2:12" ht="16.5" x14ac:dyDescent="0.25">
      <c r="B211" s="9" t="s">
        <v>549</v>
      </c>
      <c r="C211" s="9" t="s">
        <v>38</v>
      </c>
      <c r="D211" s="9" t="s">
        <v>35</v>
      </c>
      <c r="E211" s="9" t="s">
        <v>34</v>
      </c>
      <c r="F211" s="9">
        <v>230000</v>
      </c>
      <c r="G211" s="9" t="s">
        <v>550</v>
      </c>
      <c r="H211" s="9">
        <f t="shared" si="7"/>
        <v>2019</v>
      </c>
      <c r="I211">
        <f t="shared" si="8"/>
        <v>7</v>
      </c>
      <c r="K211"/>
      <c r="L211"/>
    </row>
    <row r="212" spans="2:12" ht="16.5" x14ac:dyDescent="0.25">
      <c r="B212" s="9" t="s">
        <v>551</v>
      </c>
      <c r="C212" s="9" t="s">
        <v>59</v>
      </c>
      <c r="D212" s="9" t="s">
        <v>38</v>
      </c>
      <c r="E212" s="9" t="s">
        <v>35</v>
      </c>
      <c r="F212" s="9">
        <v>43000</v>
      </c>
      <c r="G212" s="9" t="s">
        <v>553</v>
      </c>
      <c r="H212" s="9">
        <f t="shared" si="7"/>
        <v>2019</v>
      </c>
      <c r="I212">
        <f t="shared" si="8"/>
        <v>7</v>
      </c>
      <c r="K212"/>
      <c r="L212"/>
    </row>
    <row r="213" spans="2:12" ht="16.5" x14ac:dyDescent="0.25">
      <c r="B213" s="9" t="s">
        <v>554</v>
      </c>
      <c r="C213" s="9" t="s">
        <v>34</v>
      </c>
      <c r="D213" s="9" t="s">
        <v>36</v>
      </c>
      <c r="E213" s="9" t="s">
        <v>35</v>
      </c>
      <c r="F213" s="9">
        <v>273000</v>
      </c>
      <c r="G213" s="9" t="s">
        <v>555</v>
      </c>
      <c r="H213" s="9">
        <f t="shared" si="7"/>
        <v>2019</v>
      </c>
      <c r="I213">
        <f t="shared" si="8"/>
        <v>7</v>
      </c>
      <c r="K213"/>
      <c r="L213"/>
    </row>
    <row r="214" spans="2:12" ht="16.5" x14ac:dyDescent="0.25">
      <c r="B214" s="9" t="s">
        <v>556</v>
      </c>
      <c r="C214" s="9" t="s">
        <v>35</v>
      </c>
      <c r="D214" s="9" t="s">
        <v>38</v>
      </c>
      <c r="E214" s="9" t="s">
        <v>37</v>
      </c>
      <c r="F214" s="9">
        <v>100000</v>
      </c>
      <c r="G214" s="9" t="s">
        <v>557</v>
      </c>
      <c r="H214" s="9">
        <f t="shared" si="7"/>
        <v>2019</v>
      </c>
      <c r="I214">
        <f t="shared" si="8"/>
        <v>8</v>
      </c>
      <c r="K214"/>
      <c r="L214"/>
    </row>
    <row r="215" spans="2:12" ht="16.5" x14ac:dyDescent="0.25">
      <c r="B215" s="9" t="s">
        <v>558</v>
      </c>
      <c r="C215" s="9" t="s">
        <v>38</v>
      </c>
      <c r="D215" s="9" t="s">
        <v>37</v>
      </c>
      <c r="E215" s="9" t="s">
        <v>37</v>
      </c>
      <c r="F215" s="9">
        <v>282000</v>
      </c>
      <c r="G215" s="9" t="s">
        <v>557</v>
      </c>
      <c r="H215" s="9">
        <f t="shared" si="7"/>
        <v>2019</v>
      </c>
      <c r="I215">
        <f t="shared" si="8"/>
        <v>8</v>
      </c>
      <c r="K215"/>
      <c r="L215"/>
    </row>
    <row r="216" spans="2:12" ht="16.5" x14ac:dyDescent="0.25">
      <c r="B216" s="9" t="s">
        <v>560</v>
      </c>
      <c r="C216" s="9" t="s">
        <v>40</v>
      </c>
      <c r="D216" s="9" t="s">
        <v>36</v>
      </c>
      <c r="E216" s="9" t="s">
        <v>38</v>
      </c>
      <c r="F216" s="9">
        <v>296000</v>
      </c>
      <c r="G216" s="9" t="s">
        <v>557</v>
      </c>
      <c r="H216" s="9">
        <f t="shared" si="7"/>
        <v>2019</v>
      </c>
      <c r="I216">
        <f t="shared" si="8"/>
        <v>8</v>
      </c>
      <c r="K216"/>
      <c r="L216"/>
    </row>
    <row r="217" spans="2:12" ht="16.5" x14ac:dyDescent="0.25">
      <c r="B217" s="9" t="s">
        <v>561</v>
      </c>
      <c r="C217" s="9" t="s">
        <v>37</v>
      </c>
      <c r="D217" s="9" t="s">
        <v>34</v>
      </c>
      <c r="E217" s="9" t="s">
        <v>35</v>
      </c>
      <c r="F217" s="9">
        <v>208000</v>
      </c>
      <c r="G217" s="9" t="s">
        <v>562</v>
      </c>
      <c r="H217" s="9">
        <f t="shared" si="7"/>
        <v>2019</v>
      </c>
      <c r="I217">
        <f t="shared" si="8"/>
        <v>8</v>
      </c>
      <c r="K217"/>
      <c r="L217"/>
    </row>
    <row r="218" spans="2:12" ht="16.5" x14ac:dyDescent="0.25">
      <c r="B218" s="9" t="s">
        <v>563</v>
      </c>
      <c r="C218" s="9" t="s">
        <v>40</v>
      </c>
      <c r="D218" s="9" t="s">
        <v>38</v>
      </c>
      <c r="E218" s="9" t="s">
        <v>34</v>
      </c>
      <c r="F218" s="9">
        <v>218000</v>
      </c>
      <c r="G218" s="9" t="s">
        <v>562</v>
      </c>
      <c r="H218" s="9">
        <f t="shared" si="7"/>
        <v>2019</v>
      </c>
      <c r="I218">
        <f t="shared" si="8"/>
        <v>8</v>
      </c>
      <c r="K218"/>
      <c r="L218"/>
    </row>
    <row r="219" spans="2:12" ht="16.5" x14ac:dyDescent="0.25">
      <c r="B219" s="9" t="s">
        <v>564</v>
      </c>
      <c r="C219" s="9" t="s">
        <v>36</v>
      </c>
      <c r="D219" s="9" t="s">
        <v>40</v>
      </c>
      <c r="E219" s="9" t="s">
        <v>38</v>
      </c>
      <c r="F219" s="9">
        <v>229000</v>
      </c>
      <c r="G219" s="9" t="s">
        <v>566</v>
      </c>
      <c r="H219" s="9">
        <f t="shared" si="7"/>
        <v>2019</v>
      </c>
      <c r="I219">
        <f t="shared" si="8"/>
        <v>8</v>
      </c>
      <c r="K219"/>
      <c r="L219"/>
    </row>
    <row r="220" spans="2:12" ht="16.5" x14ac:dyDescent="0.25">
      <c r="B220" s="9" t="s">
        <v>567</v>
      </c>
      <c r="C220" s="9" t="s">
        <v>59</v>
      </c>
      <c r="D220" s="9" t="s">
        <v>35</v>
      </c>
      <c r="E220" s="9" t="s">
        <v>39</v>
      </c>
      <c r="F220" s="9">
        <v>238000</v>
      </c>
      <c r="G220" s="9" t="s">
        <v>568</v>
      </c>
      <c r="H220" s="9">
        <f t="shared" si="7"/>
        <v>2019</v>
      </c>
      <c r="I220">
        <f t="shared" si="8"/>
        <v>8</v>
      </c>
      <c r="K220"/>
      <c r="L220"/>
    </row>
    <row r="221" spans="2:12" ht="16.5" x14ac:dyDescent="0.25">
      <c r="B221" s="9" t="s">
        <v>569</v>
      </c>
      <c r="C221" s="9" t="s">
        <v>35</v>
      </c>
      <c r="D221" s="9" t="s">
        <v>37</v>
      </c>
      <c r="E221" s="9" t="s">
        <v>35</v>
      </c>
      <c r="F221" s="9">
        <v>266000</v>
      </c>
      <c r="G221" s="9" t="s">
        <v>568</v>
      </c>
      <c r="H221" s="9">
        <f t="shared" si="7"/>
        <v>2019</v>
      </c>
      <c r="I221">
        <f t="shared" si="8"/>
        <v>8</v>
      </c>
      <c r="K221"/>
      <c r="L221"/>
    </row>
    <row r="222" spans="2:12" ht="16.5" x14ac:dyDescent="0.25">
      <c r="B222" s="9" t="s">
        <v>570</v>
      </c>
      <c r="C222" s="9" t="s">
        <v>56</v>
      </c>
      <c r="D222" s="9" t="s">
        <v>39</v>
      </c>
      <c r="E222" s="9" t="s">
        <v>35</v>
      </c>
      <c r="F222" s="9">
        <v>279000</v>
      </c>
      <c r="G222" s="9" t="s">
        <v>571</v>
      </c>
      <c r="H222" s="9">
        <f t="shared" si="7"/>
        <v>2019</v>
      </c>
      <c r="I222">
        <f t="shared" si="8"/>
        <v>8</v>
      </c>
      <c r="K222"/>
      <c r="L222"/>
    </row>
    <row r="223" spans="2:12" ht="16.5" x14ac:dyDescent="0.25">
      <c r="B223" s="9" t="s">
        <v>572</v>
      </c>
      <c r="C223" s="9" t="s">
        <v>37</v>
      </c>
      <c r="D223" s="9" t="s">
        <v>38</v>
      </c>
      <c r="E223" s="9" t="s">
        <v>35</v>
      </c>
      <c r="F223" s="9">
        <v>251000</v>
      </c>
      <c r="G223" s="9" t="s">
        <v>573</v>
      </c>
      <c r="H223" s="9">
        <f t="shared" si="7"/>
        <v>2019</v>
      </c>
      <c r="I223">
        <f t="shared" si="8"/>
        <v>8</v>
      </c>
      <c r="K223"/>
      <c r="L223"/>
    </row>
    <row r="224" spans="2:12" ht="16.5" x14ac:dyDescent="0.25">
      <c r="B224" s="9" t="s">
        <v>574</v>
      </c>
      <c r="C224" s="9" t="s">
        <v>56</v>
      </c>
      <c r="D224" s="9" t="s">
        <v>36</v>
      </c>
      <c r="E224" s="9" t="s">
        <v>38</v>
      </c>
      <c r="F224" s="9">
        <v>231000</v>
      </c>
      <c r="G224" s="9" t="s">
        <v>573</v>
      </c>
      <c r="H224" s="9">
        <f t="shared" si="7"/>
        <v>2019</v>
      </c>
      <c r="I224">
        <f t="shared" si="8"/>
        <v>8</v>
      </c>
      <c r="K224"/>
      <c r="L224"/>
    </row>
    <row r="225" spans="2:12" ht="16.5" x14ac:dyDescent="0.25">
      <c r="B225" s="9" t="s">
        <v>575</v>
      </c>
      <c r="C225" s="9" t="s">
        <v>40</v>
      </c>
      <c r="D225" s="9" t="s">
        <v>37</v>
      </c>
      <c r="E225" s="9" t="s">
        <v>36</v>
      </c>
      <c r="F225" s="9">
        <v>244000</v>
      </c>
      <c r="G225" s="9" t="s">
        <v>573</v>
      </c>
      <c r="H225" s="9">
        <f t="shared" si="7"/>
        <v>2019</v>
      </c>
      <c r="I225">
        <f t="shared" si="8"/>
        <v>8</v>
      </c>
      <c r="K225"/>
      <c r="L225"/>
    </row>
    <row r="226" spans="2:12" ht="16.5" x14ac:dyDescent="0.25">
      <c r="B226" s="9" t="s">
        <v>576</v>
      </c>
      <c r="C226" s="9" t="s">
        <v>36</v>
      </c>
      <c r="D226" s="9" t="s">
        <v>38</v>
      </c>
      <c r="E226" s="9" t="s">
        <v>38</v>
      </c>
      <c r="F226" s="9">
        <v>104000</v>
      </c>
      <c r="G226" s="9" t="s">
        <v>577</v>
      </c>
      <c r="H226" s="9">
        <f t="shared" si="7"/>
        <v>2019</v>
      </c>
      <c r="I226">
        <f t="shared" si="8"/>
        <v>8</v>
      </c>
      <c r="K226"/>
      <c r="L226"/>
    </row>
    <row r="227" spans="2:12" ht="16.5" x14ac:dyDescent="0.25">
      <c r="B227" s="9" t="s">
        <v>578</v>
      </c>
      <c r="C227" s="9" t="s">
        <v>38</v>
      </c>
      <c r="D227" s="9" t="s">
        <v>38</v>
      </c>
      <c r="E227" s="9" t="s">
        <v>37</v>
      </c>
      <c r="F227" s="9">
        <v>213000</v>
      </c>
      <c r="G227" s="9" t="s">
        <v>577</v>
      </c>
      <c r="H227" s="9">
        <f t="shared" si="7"/>
        <v>2019</v>
      </c>
      <c r="I227">
        <f t="shared" si="8"/>
        <v>8</v>
      </c>
      <c r="K227"/>
      <c r="L227"/>
    </row>
    <row r="228" spans="2:12" ht="16.5" x14ac:dyDescent="0.25">
      <c r="B228" s="9" t="s">
        <v>579</v>
      </c>
      <c r="C228" s="9" t="s">
        <v>34</v>
      </c>
      <c r="D228" s="9" t="s">
        <v>38</v>
      </c>
      <c r="E228" s="9" t="s">
        <v>37</v>
      </c>
      <c r="F228" s="9">
        <v>211000</v>
      </c>
      <c r="G228" s="9" t="s">
        <v>581</v>
      </c>
      <c r="H228" s="9">
        <f t="shared" si="7"/>
        <v>2019</v>
      </c>
      <c r="I228">
        <f t="shared" si="8"/>
        <v>8</v>
      </c>
      <c r="K228"/>
      <c r="L228"/>
    </row>
    <row r="229" spans="2:12" ht="16.5" x14ac:dyDescent="0.25">
      <c r="B229" s="9" t="s">
        <v>582</v>
      </c>
      <c r="C229" s="9" t="s">
        <v>37</v>
      </c>
      <c r="D229" s="9" t="s">
        <v>36</v>
      </c>
      <c r="E229" s="9" t="s">
        <v>39</v>
      </c>
      <c r="F229" s="9">
        <v>154000</v>
      </c>
      <c r="G229" s="9" t="s">
        <v>583</v>
      </c>
      <c r="H229" s="9">
        <f t="shared" si="7"/>
        <v>2019</v>
      </c>
      <c r="I229">
        <f t="shared" si="8"/>
        <v>8</v>
      </c>
      <c r="K229"/>
      <c r="L229"/>
    </row>
    <row r="230" spans="2:12" ht="16.5" x14ac:dyDescent="0.25">
      <c r="B230" s="9" t="s">
        <v>584</v>
      </c>
      <c r="C230" s="9" t="s">
        <v>59</v>
      </c>
      <c r="D230" s="9" t="s">
        <v>37</v>
      </c>
      <c r="E230" s="9" t="s">
        <v>39</v>
      </c>
      <c r="F230" s="9">
        <v>271000</v>
      </c>
      <c r="G230" s="9" t="s">
        <v>583</v>
      </c>
      <c r="H230" s="9">
        <f t="shared" si="7"/>
        <v>2019</v>
      </c>
      <c r="I230">
        <f t="shared" si="8"/>
        <v>8</v>
      </c>
      <c r="K230"/>
      <c r="L230"/>
    </row>
    <row r="231" spans="2:12" ht="16.5" x14ac:dyDescent="0.25">
      <c r="B231" s="9" t="s">
        <v>585</v>
      </c>
      <c r="C231" s="9" t="s">
        <v>34</v>
      </c>
      <c r="D231" s="9" t="s">
        <v>38</v>
      </c>
      <c r="E231" s="9" t="s">
        <v>34</v>
      </c>
      <c r="F231" s="9">
        <v>153000</v>
      </c>
      <c r="G231" s="9" t="s">
        <v>586</v>
      </c>
      <c r="H231" s="9">
        <f t="shared" si="7"/>
        <v>2019</v>
      </c>
      <c r="I231">
        <f t="shared" si="8"/>
        <v>8</v>
      </c>
      <c r="K231"/>
      <c r="L231"/>
    </row>
    <row r="232" spans="2:12" ht="16.5" x14ac:dyDescent="0.25">
      <c r="B232" s="9" t="s">
        <v>587</v>
      </c>
      <c r="C232" s="9" t="s">
        <v>39</v>
      </c>
      <c r="D232" s="9" t="s">
        <v>37</v>
      </c>
      <c r="E232" s="9" t="s">
        <v>35</v>
      </c>
      <c r="F232" s="9">
        <v>69000</v>
      </c>
      <c r="G232" s="9" t="s">
        <v>586</v>
      </c>
      <c r="H232" s="9">
        <f t="shared" si="7"/>
        <v>2019</v>
      </c>
      <c r="I232">
        <f t="shared" si="8"/>
        <v>8</v>
      </c>
      <c r="K232"/>
      <c r="L232"/>
    </row>
    <row r="233" spans="2:12" ht="16.5" x14ac:dyDescent="0.25">
      <c r="B233" s="9" t="s">
        <v>588</v>
      </c>
      <c r="C233" s="9" t="s">
        <v>38</v>
      </c>
      <c r="D233" s="9" t="s">
        <v>37</v>
      </c>
      <c r="E233" s="9" t="s">
        <v>34</v>
      </c>
      <c r="F233" s="9">
        <v>118000</v>
      </c>
      <c r="G233" s="9" t="s">
        <v>590</v>
      </c>
      <c r="H233" s="9">
        <f t="shared" si="7"/>
        <v>2019</v>
      </c>
      <c r="I233">
        <f t="shared" si="8"/>
        <v>8</v>
      </c>
      <c r="K233"/>
      <c r="L233"/>
    </row>
    <row r="234" spans="2:12" ht="16.5" x14ac:dyDescent="0.25">
      <c r="B234" s="9" t="s">
        <v>591</v>
      </c>
      <c r="C234" s="9" t="s">
        <v>40</v>
      </c>
      <c r="D234" s="9" t="s">
        <v>39</v>
      </c>
      <c r="E234" s="9" t="s">
        <v>38</v>
      </c>
      <c r="F234" s="9">
        <v>249000</v>
      </c>
      <c r="G234" s="9" t="s">
        <v>592</v>
      </c>
      <c r="H234" s="9">
        <f t="shared" si="7"/>
        <v>2019</v>
      </c>
      <c r="I234">
        <f t="shared" si="8"/>
        <v>8</v>
      </c>
      <c r="K234"/>
      <c r="L234"/>
    </row>
    <row r="235" spans="2:12" ht="16.5" x14ac:dyDescent="0.25">
      <c r="B235" s="9" t="s">
        <v>593</v>
      </c>
      <c r="C235" s="9" t="s">
        <v>37</v>
      </c>
      <c r="D235" s="9" t="s">
        <v>38</v>
      </c>
      <c r="E235" s="9" t="s">
        <v>39</v>
      </c>
      <c r="F235" s="9">
        <v>86000</v>
      </c>
      <c r="G235" s="9" t="s">
        <v>592</v>
      </c>
      <c r="H235" s="9">
        <f t="shared" si="7"/>
        <v>2019</v>
      </c>
      <c r="I235">
        <f t="shared" si="8"/>
        <v>8</v>
      </c>
      <c r="K235"/>
      <c r="L235"/>
    </row>
    <row r="236" spans="2:12" ht="16.5" x14ac:dyDescent="0.25">
      <c r="B236" s="9" t="s">
        <v>595</v>
      </c>
      <c r="C236" s="9" t="s">
        <v>35</v>
      </c>
      <c r="D236" s="9" t="s">
        <v>34</v>
      </c>
      <c r="E236" s="9" t="s">
        <v>34</v>
      </c>
      <c r="F236" s="9">
        <v>173000</v>
      </c>
      <c r="G236" s="9" t="s">
        <v>596</v>
      </c>
      <c r="H236" s="9">
        <f t="shared" si="7"/>
        <v>2019</v>
      </c>
      <c r="I236">
        <f t="shared" si="8"/>
        <v>8</v>
      </c>
      <c r="K236"/>
      <c r="L236"/>
    </row>
    <row r="237" spans="2:12" ht="16.5" x14ac:dyDescent="0.25">
      <c r="B237" s="9" t="s">
        <v>597</v>
      </c>
      <c r="C237" s="9" t="s">
        <v>34</v>
      </c>
      <c r="D237" s="9" t="s">
        <v>34</v>
      </c>
      <c r="E237" s="9" t="s">
        <v>34</v>
      </c>
      <c r="F237" s="9">
        <v>216000</v>
      </c>
      <c r="G237" s="9" t="s">
        <v>598</v>
      </c>
      <c r="H237" s="9">
        <f t="shared" si="7"/>
        <v>2019</v>
      </c>
      <c r="I237">
        <f t="shared" si="8"/>
        <v>8</v>
      </c>
      <c r="K237"/>
      <c r="L237"/>
    </row>
    <row r="238" spans="2:12" ht="16.5" x14ac:dyDescent="0.25">
      <c r="B238" s="9" t="s">
        <v>599</v>
      </c>
      <c r="C238" s="9" t="s">
        <v>34</v>
      </c>
      <c r="D238" s="9" t="s">
        <v>39</v>
      </c>
      <c r="E238" s="9" t="s">
        <v>36</v>
      </c>
      <c r="F238" s="9">
        <v>277000</v>
      </c>
      <c r="G238" s="9" t="s">
        <v>601</v>
      </c>
      <c r="H238" s="9">
        <f t="shared" si="7"/>
        <v>2019</v>
      </c>
      <c r="I238">
        <f t="shared" si="8"/>
        <v>8</v>
      </c>
      <c r="K238"/>
      <c r="L238"/>
    </row>
    <row r="239" spans="2:12" ht="16.5" x14ac:dyDescent="0.25">
      <c r="B239" s="9" t="s">
        <v>602</v>
      </c>
      <c r="C239" s="9" t="s">
        <v>38</v>
      </c>
      <c r="D239" s="9" t="s">
        <v>40</v>
      </c>
      <c r="E239" s="9" t="s">
        <v>38</v>
      </c>
      <c r="F239" s="9">
        <v>53000</v>
      </c>
      <c r="G239" s="9" t="s">
        <v>604</v>
      </c>
      <c r="H239" s="9">
        <f t="shared" si="7"/>
        <v>2019</v>
      </c>
      <c r="I239">
        <f t="shared" si="8"/>
        <v>8</v>
      </c>
      <c r="K239"/>
      <c r="L239"/>
    </row>
    <row r="240" spans="2:12" ht="16.5" x14ac:dyDescent="0.25">
      <c r="B240" s="9" t="s">
        <v>605</v>
      </c>
      <c r="C240" s="9" t="s">
        <v>56</v>
      </c>
      <c r="D240" s="9" t="s">
        <v>36</v>
      </c>
      <c r="E240" s="9" t="s">
        <v>37</v>
      </c>
      <c r="F240" s="9">
        <v>58000</v>
      </c>
      <c r="G240" s="9" t="s">
        <v>606</v>
      </c>
      <c r="H240" s="9">
        <f t="shared" si="7"/>
        <v>2019</v>
      </c>
      <c r="I240">
        <f t="shared" si="8"/>
        <v>8</v>
      </c>
      <c r="K240"/>
      <c r="L240"/>
    </row>
    <row r="241" spans="2:12" ht="16.5" x14ac:dyDescent="0.25">
      <c r="B241" s="9" t="s">
        <v>607</v>
      </c>
      <c r="C241" s="9" t="s">
        <v>39</v>
      </c>
      <c r="D241" s="9" t="s">
        <v>37</v>
      </c>
      <c r="E241" s="9" t="s">
        <v>34</v>
      </c>
      <c r="F241" s="9">
        <v>55000</v>
      </c>
      <c r="G241" s="9" t="s">
        <v>608</v>
      </c>
      <c r="H241" s="9">
        <f t="shared" si="7"/>
        <v>2019</v>
      </c>
      <c r="I241">
        <f t="shared" si="8"/>
        <v>8</v>
      </c>
      <c r="K241"/>
      <c r="L241"/>
    </row>
    <row r="242" spans="2:12" ht="16.5" x14ac:dyDescent="0.25">
      <c r="B242" s="9" t="s">
        <v>609</v>
      </c>
      <c r="C242" s="9" t="s">
        <v>38</v>
      </c>
      <c r="D242" s="9" t="s">
        <v>40</v>
      </c>
      <c r="E242" s="9" t="s">
        <v>34</v>
      </c>
      <c r="F242" s="9">
        <v>168000</v>
      </c>
      <c r="G242" s="9" t="s">
        <v>608</v>
      </c>
      <c r="H242" s="9">
        <f t="shared" si="7"/>
        <v>2019</v>
      </c>
      <c r="I242">
        <f t="shared" si="8"/>
        <v>8</v>
      </c>
      <c r="K242"/>
      <c r="L242"/>
    </row>
    <row r="243" spans="2:12" ht="16.5" x14ac:dyDescent="0.25">
      <c r="B243" s="9" t="s">
        <v>610</v>
      </c>
      <c r="C243" s="9" t="s">
        <v>40</v>
      </c>
      <c r="D243" s="9" t="s">
        <v>36</v>
      </c>
      <c r="E243" s="9" t="s">
        <v>35</v>
      </c>
      <c r="F243" s="9">
        <v>189000</v>
      </c>
      <c r="G243" s="9" t="s">
        <v>612</v>
      </c>
      <c r="H243" s="9">
        <f t="shared" si="7"/>
        <v>2019</v>
      </c>
      <c r="I243">
        <f t="shared" si="8"/>
        <v>8</v>
      </c>
      <c r="K243"/>
      <c r="L243"/>
    </row>
    <row r="244" spans="2:12" ht="16.5" x14ac:dyDescent="0.25">
      <c r="B244" s="9" t="s">
        <v>613</v>
      </c>
      <c r="C244" s="9" t="s">
        <v>38</v>
      </c>
      <c r="D244" s="9" t="s">
        <v>34</v>
      </c>
      <c r="E244" s="9" t="s">
        <v>35</v>
      </c>
      <c r="F244" s="9">
        <v>222000</v>
      </c>
      <c r="G244" s="9" t="s">
        <v>612</v>
      </c>
      <c r="H244" s="9">
        <f t="shared" si="7"/>
        <v>2019</v>
      </c>
      <c r="I244">
        <f t="shared" si="8"/>
        <v>8</v>
      </c>
      <c r="K244"/>
      <c r="L244"/>
    </row>
    <row r="245" spans="2:12" ht="16.5" x14ac:dyDescent="0.25">
      <c r="B245" s="9" t="s">
        <v>614</v>
      </c>
      <c r="C245" s="9" t="s">
        <v>35</v>
      </c>
      <c r="D245" s="9" t="s">
        <v>39</v>
      </c>
      <c r="E245" s="9" t="s">
        <v>37</v>
      </c>
      <c r="F245" s="9">
        <v>196000</v>
      </c>
      <c r="G245" s="9" t="s">
        <v>615</v>
      </c>
      <c r="H245" s="9">
        <f t="shared" si="7"/>
        <v>2019</v>
      </c>
      <c r="I245">
        <f t="shared" si="8"/>
        <v>8</v>
      </c>
      <c r="K245"/>
      <c r="L245"/>
    </row>
    <row r="246" spans="2:12" ht="16.5" x14ac:dyDescent="0.25">
      <c r="B246" s="9" t="s">
        <v>616</v>
      </c>
      <c r="C246" s="9" t="s">
        <v>40</v>
      </c>
      <c r="D246" s="9" t="s">
        <v>38</v>
      </c>
      <c r="E246" s="9" t="s">
        <v>39</v>
      </c>
      <c r="F246" s="9">
        <v>282000</v>
      </c>
      <c r="G246" s="9" t="s">
        <v>615</v>
      </c>
      <c r="H246" s="9">
        <f t="shared" si="7"/>
        <v>2019</v>
      </c>
      <c r="I246">
        <f t="shared" si="8"/>
        <v>8</v>
      </c>
      <c r="K246"/>
      <c r="L246"/>
    </row>
    <row r="247" spans="2:12" ht="16.5" x14ac:dyDescent="0.25">
      <c r="B247" s="9" t="s">
        <v>617</v>
      </c>
      <c r="C247" s="9" t="s">
        <v>36</v>
      </c>
      <c r="D247" s="9" t="s">
        <v>39</v>
      </c>
      <c r="E247" s="9" t="s">
        <v>34</v>
      </c>
      <c r="F247" s="9">
        <v>167000</v>
      </c>
      <c r="G247" s="9" t="s">
        <v>618</v>
      </c>
      <c r="H247" s="9">
        <f t="shared" si="7"/>
        <v>2019</v>
      </c>
      <c r="I247">
        <f t="shared" si="8"/>
        <v>8</v>
      </c>
      <c r="K247"/>
      <c r="L247"/>
    </row>
    <row r="248" spans="2:12" ht="16.5" x14ac:dyDescent="0.25">
      <c r="B248" s="9" t="s">
        <v>619</v>
      </c>
      <c r="C248" s="9" t="s">
        <v>37</v>
      </c>
      <c r="D248" s="9" t="s">
        <v>40</v>
      </c>
      <c r="E248" s="9" t="s">
        <v>35</v>
      </c>
      <c r="F248" s="9">
        <v>37000</v>
      </c>
      <c r="G248" s="9" t="s">
        <v>618</v>
      </c>
      <c r="H248" s="9">
        <f t="shared" si="7"/>
        <v>2019</v>
      </c>
      <c r="I248">
        <f t="shared" si="8"/>
        <v>8</v>
      </c>
      <c r="K248"/>
      <c r="L248"/>
    </row>
    <row r="249" spans="2:12" ht="16.5" x14ac:dyDescent="0.25">
      <c r="B249" s="9" t="s">
        <v>621</v>
      </c>
      <c r="C249" s="9" t="s">
        <v>38</v>
      </c>
      <c r="D249" s="9" t="s">
        <v>37</v>
      </c>
      <c r="E249" s="9" t="s">
        <v>38</v>
      </c>
      <c r="F249" s="9">
        <v>260000</v>
      </c>
      <c r="G249" s="9" t="s">
        <v>622</v>
      </c>
      <c r="H249" s="9">
        <f t="shared" si="7"/>
        <v>2019</v>
      </c>
      <c r="I249">
        <f t="shared" si="8"/>
        <v>9</v>
      </c>
      <c r="K249"/>
      <c r="L249"/>
    </row>
    <row r="250" spans="2:12" ht="16.5" x14ac:dyDescent="0.25">
      <c r="B250" s="9" t="s">
        <v>623</v>
      </c>
      <c r="C250" s="9" t="s">
        <v>59</v>
      </c>
      <c r="D250" s="9" t="s">
        <v>34</v>
      </c>
      <c r="E250" s="9" t="s">
        <v>39</v>
      </c>
      <c r="F250" s="9">
        <v>110000</v>
      </c>
      <c r="G250" s="9" t="s">
        <v>622</v>
      </c>
      <c r="H250" s="9">
        <f t="shared" si="7"/>
        <v>2019</v>
      </c>
      <c r="I250">
        <f t="shared" si="8"/>
        <v>9</v>
      </c>
      <c r="K250"/>
      <c r="L250"/>
    </row>
    <row r="251" spans="2:12" ht="16.5" x14ac:dyDescent="0.25">
      <c r="B251" s="9" t="s">
        <v>625</v>
      </c>
      <c r="C251" s="9" t="s">
        <v>59</v>
      </c>
      <c r="D251" s="9" t="s">
        <v>36</v>
      </c>
      <c r="E251" s="9" t="s">
        <v>39</v>
      </c>
      <c r="F251" s="9">
        <v>136000</v>
      </c>
      <c r="G251" s="9" t="s">
        <v>626</v>
      </c>
      <c r="H251" s="9">
        <f t="shared" si="7"/>
        <v>2019</v>
      </c>
      <c r="I251">
        <f t="shared" si="8"/>
        <v>9</v>
      </c>
      <c r="K251"/>
      <c r="L251"/>
    </row>
    <row r="252" spans="2:12" ht="16.5" x14ac:dyDescent="0.25">
      <c r="B252" s="9" t="s">
        <v>627</v>
      </c>
      <c r="C252" s="9" t="s">
        <v>34</v>
      </c>
      <c r="D252" s="9" t="s">
        <v>35</v>
      </c>
      <c r="E252" s="9" t="s">
        <v>36</v>
      </c>
      <c r="F252" s="9">
        <v>285000</v>
      </c>
      <c r="G252" s="9" t="s">
        <v>629</v>
      </c>
      <c r="H252" s="9">
        <f t="shared" si="7"/>
        <v>2019</v>
      </c>
      <c r="I252">
        <f t="shared" si="8"/>
        <v>9</v>
      </c>
      <c r="K252"/>
      <c r="L252"/>
    </row>
    <row r="253" spans="2:12" ht="16.5" x14ac:dyDescent="0.25">
      <c r="B253" s="9" t="s">
        <v>630</v>
      </c>
      <c r="C253" s="9" t="s">
        <v>35</v>
      </c>
      <c r="D253" s="9" t="s">
        <v>37</v>
      </c>
      <c r="E253" s="9" t="s">
        <v>39</v>
      </c>
      <c r="F253" s="9">
        <v>153000</v>
      </c>
      <c r="G253" s="9" t="s">
        <v>631</v>
      </c>
      <c r="H253" s="9">
        <f t="shared" si="7"/>
        <v>2019</v>
      </c>
      <c r="I253">
        <f t="shared" si="8"/>
        <v>9</v>
      </c>
      <c r="K253"/>
      <c r="L253"/>
    </row>
    <row r="254" spans="2:12" ht="16.5" x14ac:dyDescent="0.25">
      <c r="B254" s="9" t="s">
        <v>632</v>
      </c>
      <c r="C254" s="9" t="s">
        <v>36</v>
      </c>
      <c r="D254" s="9" t="s">
        <v>36</v>
      </c>
      <c r="E254" s="9" t="s">
        <v>38</v>
      </c>
      <c r="F254" s="9">
        <v>97000</v>
      </c>
      <c r="G254" s="9" t="s">
        <v>634</v>
      </c>
      <c r="H254" s="9">
        <f t="shared" si="7"/>
        <v>2019</v>
      </c>
      <c r="I254">
        <f t="shared" si="8"/>
        <v>9</v>
      </c>
      <c r="K254"/>
      <c r="L254"/>
    </row>
    <row r="255" spans="2:12" ht="16.5" x14ac:dyDescent="0.25">
      <c r="B255" s="9" t="s">
        <v>635</v>
      </c>
      <c r="C255" s="9" t="s">
        <v>39</v>
      </c>
      <c r="D255" s="9" t="s">
        <v>37</v>
      </c>
      <c r="E255" s="9" t="s">
        <v>37</v>
      </c>
      <c r="F255" s="9">
        <v>212000</v>
      </c>
      <c r="G255" s="9" t="s">
        <v>634</v>
      </c>
      <c r="H255" s="9">
        <f t="shared" si="7"/>
        <v>2019</v>
      </c>
      <c r="I255">
        <f t="shared" si="8"/>
        <v>9</v>
      </c>
      <c r="K255"/>
      <c r="L255"/>
    </row>
    <row r="256" spans="2:12" ht="16.5" x14ac:dyDescent="0.25">
      <c r="B256" s="9" t="s">
        <v>637</v>
      </c>
      <c r="C256" s="9" t="s">
        <v>36</v>
      </c>
      <c r="D256" s="9" t="s">
        <v>34</v>
      </c>
      <c r="E256" s="9" t="s">
        <v>38</v>
      </c>
      <c r="F256" s="9">
        <v>168000</v>
      </c>
      <c r="G256" s="9" t="s">
        <v>634</v>
      </c>
      <c r="H256" s="9">
        <f t="shared" si="7"/>
        <v>2019</v>
      </c>
      <c r="I256">
        <f t="shared" si="8"/>
        <v>9</v>
      </c>
      <c r="K256"/>
      <c r="L256"/>
    </row>
    <row r="257" spans="2:12" ht="16.5" x14ac:dyDescent="0.25">
      <c r="B257" s="9" t="s">
        <v>638</v>
      </c>
      <c r="C257" s="9" t="s">
        <v>59</v>
      </c>
      <c r="D257" s="9" t="s">
        <v>36</v>
      </c>
      <c r="E257" s="9" t="s">
        <v>36</v>
      </c>
      <c r="F257" s="9">
        <v>227000</v>
      </c>
      <c r="G257" s="9" t="s">
        <v>634</v>
      </c>
      <c r="H257" s="9">
        <f t="shared" si="7"/>
        <v>2019</v>
      </c>
      <c r="I257">
        <f t="shared" si="8"/>
        <v>9</v>
      </c>
      <c r="K257"/>
      <c r="L257"/>
    </row>
    <row r="258" spans="2:12" ht="16.5" x14ac:dyDescent="0.25">
      <c r="B258" s="9" t="s">
        <v>640</v>
      </c>
      <c r="C258" s="9" t="s">
        <v>56</v>
      </c>
      <c r="D258" s="9" t="s">
        <v>34</v>
      </c>
      <c r="E258" s="9" t="s">
        <v>34</v>
      </c>
      <c r="F258" s="9">
        <v>40000</v>
      </c>
      <c r="G258" s="9" t="s">
        <v>642</v>
      </c>
      <c r="H258" s="9">
        <f t="shared" si="7"/>
        <v>2019</v>
      </c>
      <c r="I258">
        <f t="shared" si="8"/>
        <v>9</v>
      </c>
      <c r="K258"/>
      <c r="L258"/>
    </row>
    <row r="259" spans="2:12" ht="16.5" x14ac:dyDescent="0.25">
      <c r="B259" s="9" t="s">
        <v>643</v>
      </c>
      <c r="C259" s="9" t="s">
        <v>35</v>
      </c>
      <c r="D259" s="9" t="s">
        <v>38</v>
      </c>
      <c r="E259" s="9" t="s">
        <v>34</v>
      </c>
      <c r="F259" s="9">
        <v>36000</v>
      </c>
      <c r="G259" s="9" t="s">
        <v>645</v>
      </c>
      <c r="H259" s="9">
        <f t="shared" ref="H259:H322" si="9">YEAR(G259)</f>
        <v>2019</v>
      </c>
      <c r="I259">
        <f t="shared" ref="I259:I322" si="10">MONTH(G259)</f>
        <v>9</v>
      </c>
      <c r="K259"/>
      <c r="L259"/>
    </row>
    <row r="260" spans="2:12" ht="16.5" x14ac:dyDescent="0.25">
      <c r="B260" s="9" t="s">
        <v>646</v>
      </c>
      <c r="C260" s="9" t="s">
        <v>37</v>
      </c>
      <c r="D260" s="9" t="s">
        <v>34</v>
      </c>
      <c r="E260" s="9" t="s">
        <v>36</v>
      </c>
      <c r="F260" s="9">
        <v>40000</v>
      </c>
      <c r="G260" s="9" t="s">
        <v>647</v>
      </c>
      <c r="H260" s="9">
        <f t="shared" si="9"/>
        <v>2019</v>
      </c>
      <c r="I260">
        <f t="shared" si="10"/>
        <v>9</v>
      </c>
      <c r="K260"/>
      <c r="L260"/>
    </row>
    <row r="261" spans="2:12" ht="16.5" x14ac:dyDescent="0.25">
      <c r="B261" s="9" t="s">
        <v>648</v>
      </c>
      <c r="C261" s="9" t="s">
        <v>38</v>
      </c>
      <c r="D261" s="9" t="s">
        <v>39</v>
      </c>
      <c r="E261" s="9" t="s">
        <v>35</v>
      </c>
      <c r="F261" s="9">
        <v>210000</v>
      </c>
      <c r="G261" s="9" t="s">
        <v>650</v>
      </c>
      <c r="H261" s="9">
        <f t="shared" si="9"/>
        <v>2019</v>
      </c>
      <c r="I261">
        <f t="shared" si="10"/>
        <v>9</v>
      </c>
      <c r="K261"/>
      <c r="L261"/>
    </row>
    <row r="262" spans="2:12" ht="16.5" x14ac:dyDescent="0.25">
      <c r="B262" s="9" t="s">
        <v>651</v>
      </c>
      <c r="C262" s="9" t="s">
        <v>38</v>
      </c>
      <c r="D262" s="9" t="s">
        <v>39</v>
      </c>
      <c r="E262" s="9" t="s">
        <v>37</v>
      </c>
      <c r="F262" s="9">
        <v>96000</v>
      </c>
      <c r="G262" s="9" t="s">
        <v>653</v>
      </c>
      <c r="H262" s="9">
        <f t="shared" si="9"/>
        <v>2019</v>
      </c>
      <c r="I262">
        <f t="shared" si="10"/>
        <v>9</v>
      </c>
      <c r="K262"/>
      <c r="L262"/>
    </row>
    <row r="263" spans="2:12" ht="16.5" x14ac:dyDescent="0.25">
      <c r="B263" s="9" t="s">
        <v>654</v>
      </c>
      <c r="C263" s="9" t="s">
        <v>36</v>
      </c>
      <c r="D263" s="9" t="s">
        <v>38</v>
      </c>
      <c r="E263" s="9" t="s">
        <v>36</v>
      </c>
      <c r="F263" s="9">
        <v>125000</v>
      </c>
      <c r="G263" s="9" t="s">
        <v>655</v>
      </c>
      <c r="H263" s="9">
        <f t="shared" si="9"/>
        <v>2019</v>
      </c>
      <c r="I263">
        <f t="shared" si="10"/>
        <v>9</v>
      </c>
      <c r="K263"/>
      <c r="L263"/>
    </row>
    <row r="264" spans="2:12" ht="16.5" x14ac:dyDescent="0.25">
      <c r="B264" s="9" t="s">
        <v>656</v>
      </c>
      <c r="C264" s="9" t="s">
        <v>56</v>
      </c>
      <c r="D264" s="9" t="s">
        <v>39</v>
      </c>
      <c r="E264" s="9" t="s">
        <v>37</v>
      </c>
      <c r="F264" s="9">
        <v>260000</v>
      </c>
      <c r="G264" s="9" t="s">
        <v>657</v>
      </c>
      <c r="H264" s="9">
        <f t="shared" si="9"/>
        <v>2019</v>
      </c>
      <c r="I264">
        <f t="shared" si="10"/>
        <v>9</v>
      </c>
      <c r="K264"/>
      <c r="L264"/>
    </row>
    <row r="265" spans="2:12" ht="16.5" x14ac:dyDescent="0.25">
      <c r="B265" s="9" t="s">
        <v>658</v>
      </c>
      <c r="C265" s="9" t="s">
        <v>38</v>
      </c>
      <c r="D265" s="9" t="s">
        <v>34</v>
      </c>
      <c r="E265" s="9" t="s">
        <v>39</v>
      </c>
      <c r="F265" s="9">
        <v>54000</v>
      </c>
      <c r="G265" s="9" t="s">
        <v>659</v>
      </c>
      <c r="H265" s="9">
        <f t="shared" si="9"/>
        <v>2019</v>
      </c>
      <c r="I265">
        <f t="shared" si="10"/>
        <v>9</v>
      </c>
      <c r="K265"/>
      <c r="L265"/>
    </row>
    <row r="266" spans="2:12" ht="16.5" x14ac:dyDescent="0.25">
      <c r="B266" s="9" t="s">
        <v>660</v>
      </c>
      <c r="C266" s="9" t="s">
        <v>56</v>
      </c>
      <c r="D266" s="9" t="s">
        <v>37</v>
      </c>
      <c r="E266" s="9" t="s">
        <v>34</v>
      </c>
      <c r="F266" s="9">
        <v>234000</v>
      </c>
      <c r="G266" s="9" t="s">
        <v>659</v>
      </c>
      <c r="H266" s="9">
        <f t="shared" si="9"/>
        <v>2019</v>
      </c>
      <c r="I266">
        <f t="shared" si="10"/>
        <v>9</v>
      </c>
      <c r="K266"/>
      <c r="L266"/>
    </row>
    <row r="267" spans="2:12" ht="16.5" x14ac:dyDescent="0.25">
      <c r="B267" s="9" t="s">
        <v>661</v>
      </c>
      <c r="C267" s="9" t="s">
        <v>36</v>
      </c>
      <c r="D267" s="9" t="s">
        <v>36</v>
      </c>
      <c r="E267" s="9" t="s">
        <v>39</v>
      </c>
      <c r="F267" s="9">
        <v>101000</v>
      </c>
      <c r="G267" s="9" t="s">
        <v>663</v>
      </c>
      <c r="H267" s="9">
        <f t="shared" si="9"/>
        <v>2019</v>
      </c>
      <c r="I267">
        <f t="shared" si="10"/>
        <v>9</v>
      </c>
      <c r="K267"/>
      <c r="L267"/>
    </row>
    <row r="268" spans="2:12" ht="16.5" x14ac:dyDescent="0.25">
      <c r="B268" s="9" t="s">
        <v>664</v>
      </c>
      <c r="C268" s="9" t="s">
        <v>56</v>
      </c>
      <c r="D268" s="9" t="s">
        <v>38</v>
      </c>
      <c r="E268" s="9" t="s">
        <v>34</v>
      </c>
      <c r="F268" s="9">
        <v>297000</v>
      </c>
      <c r="G268" s="9" t="s">
        <v>665</v>
      </c>
      <c r="H268" s="9">
        <f t="shared" si="9"/>
        <v>2019</v>
      </c>
      <c r="I268">
        <f t="shared" si="10"/>
        <v>9</v>
      </c>
      <c r="K268"/>
      <c r="L268"/>
    </row>
    <row r="269" spans="2:12" ht="16.5" x14ac:dyDescent="0.25">
      <c r="B269" s="9" t="s">
        <v>666</v>
      </c>
      <c r="C269" s="9" t="s">
        <v>39</v>
      </c>
      <c r="D269" s="9" t="s">
        <v>40</v>
      </c>
      <c r="E269" s="9" t="s">
        <v>34</v>
      </c>
      <c r="F269" s="9">
        <v>31000</v>
      </c>
      <c r="G269" s="9" t="s">
        <v>665</v>
      </c>
      <c r="H269" s="9">
        <f t="shared" si="9"/>
        <v>2019</v>
      </c>
      <c r="I269">
        <f t="shared" si="10"/>
        <v>9</v>
      </c>
      <c r="K269"/>
      <c r="L269"/>
    </row>
    <row r="270" spans="2:12" ht="16.5" x14ac:dyDescent="0.25">
      <c r="B270" s="9" t="s">
        <v>667</v>
      </c>
      <c r="C270" s="9" t="s">
        <v>37</v>
      </c>
      <c r="D270" s="9" t="s">
        <v>39</v>
      </c>
      <c r="E270" s="9" t="s">
        <v>37</v>
      </c>
      <c r="F270" s="9">
        <v>70000</v>
      </c>
      <c r="G270" s="9" t="s">
        <v>668</v>
      </c>
      <c r="H270" s="9">
        <f t="shared" si="9"/>
        <v>2019</v>
      </c>
      <c r="I270">
        <f t="shared" si="10"/>
        <v>9</v>
      </c>
      <c r="K270"/>
      <c r="L270"/>
    </row>
    <row r="271" spans="2:12" ht="16.5" x14ac:dyDescent="0.25">
      <c r="B271" s="9" t="s">
        <v>669</v>
      </c>
      <c r="C271" s="9" t="s">
        <v>56</v>
      </c>
      <c r="D271" s="9" t="s">
        <v>38</v>
      </c>
      <c r="E271" s="9" t="s">
        <v>37</v>
      </c>
      <c r="F271" s="9">
        <v>169000</v>
      </c>
      <c r="G271" s="9" t="s">
        <v>671</v>
      </c>
      <c r="H271" s="9">
        <f t="shared" si="9"/>
        <v>2019</v>
      </c>
      <c r="I271">
        <f t="shared" si="10"/>
        <v>10</v>
      </c>
      <c r="K271"/>
      <c r="L271"/>
    </row>
    <row r="272" spans="2:12" ht="16.5" x14ac:dyDescent="0.25">
      <c r="B272" s="9" t="s">
        <v>672</v>
      </c>
      <c r="C272" s="9" t="s">
        <v>39</v>
      </c>
      <c r="D272" s="9" t="s">
        <v>39</v>
      </c>
      <c r="E272" s="9" t="s">
        <v>35</v>
      </c>
      <c r="F272" s="9">
        <v>207000</v>
      </c>
      <c r="G272" s="9" t="s">
        <v>671</v>
      </c>
      <c r="H272" s="9">
        <f t="shared" si="9"/>
        <v>2019</v>
      </c>
      <c r="I272">
        <f t="shared" si="10"/>
        <v>10</v>
      </c>
      <c r="K272"/>
      <c r="L272"/>
    </row>
    <row r="273" spans="2:12" ht="16.5" x14ac:dyDescent="0.25">
      <c r="B273" s="9" t="s">
        <v>673</v>
      </c>
      <c r="C273" s="9" t="s">
        <v>56</v>
      </c>
      <c r="D273" s="9" t="s">
        <v>39</v>
      </c>
      <c r="E273" s="9" t="s">
        <v>38</v>
      </c>
      <c r="F273" s="9">
        <v>142000</v>
      </c>
      <c r="G273" s="9" t="s">
        <v>671</v>
      </c>
      <c r="H273" s="9">
        <f t="shared" si="9"/>
        <v>2019</v>
      </c>
      <c r="I273">
        <f t="shared" si="10"/>
        <v>10</v>
      </c>
      <c r="K273"/>
      <c r="L273"/>
    </row>
    <row r="274" spans="2:12" ht="16.5" x14ac:dyDescent="0.25">
      <c r="B274" s="9" t="s">
        <v>674</v>
      </c>
      <c r="C274" s="9" t="s">
        <v>39</v>
      </c>
      <c r="D274" s="9" t="s">
        <v>37</v>
      </c>
      <c r="E274" s="9" t="s">
        <v>38</v>
      </c>
      <c r="F274" s="9">
        <v>290000</v>
      </c>
      <c r="G274" s="9" t="s">
        <v>676</v>
      </c>
      <c r="H274" s="9">
        <f t="shared" si="9"/>
        <v>2019</v>
      </c>
      <c r="I274">
        <f t="shared" si="10"/>
        <v>10</v>
      </c>
      <c r="K274"/>
      <c r="L274"/>
    </row>
    <row r="275" spans="2:12" ht="16.5" x14ac:dyDescent="0.25">
      <c r="B275" s="9" t="s">
        <v>677</v>
      </c>
      <c r="C275" s="9" t="s">
        <v>34</v>
      </c>
      <c r="D275" s="9" t="s">
        <v>37</v>
      </c>
      <c r="E275" s="9" t="s">
        <v>37</v>
      </c>
      <c r="F275" s="9">
        <v>128000</v>
      </c>
      <c r="G275" s="9" t="s">
        <v>679</v>
      </c>
      <c r="H275" s="9">
        <f t="shared" si="9"/>
        <v>2019</v>
      </c>
      <c r="I275">
        <f t="shared" si="10"/>
        <v>10</v>
      </c>
      <c r="K275"/>
      <c r="L275"/>
    </row>
    <row r="276" spans="2:12" ht="16.5" x14ac:dyDescent="0.25">
      <c r="B276" s="9" t="s">
        <v>680</v>
      </c>
      <c r="C276" s="9" t="s">
        <v>56</v>
      </c>
      <c r="D276" s="9" t="s">
        <v>38</v>
      </c>
      <c r="E276" s="9" t="s">
        <v>36</v>
      </c>
      <c r="F276" s="9">
        <v>124000</v>
      </c>
      <c r="G276" s="9" t="s">
        <v>681</v>
      </c>
      <c r="H276" s="9">
        <f t="shared" si="9"/>
        <v>2019</v>
      </c>
      <c r="I276">
        <f t="shared" si="10"/>
        <v>10</v>
      </c>
      <c r="K276"/>
      <c r="L276"/>
    </row>
    <row r="277" spans="2:12" ht="16.5" x14ac:dyDescent="0.25">
      <c r="B277" s="9" t="s">
        <v>682</v>
      </c>
      <c r="C277" s="9" t="s">
        <v>59</v>
      </c>
      <c r="D277" s="9" t="s">
        <v>38</v>
      </c>
      <c r="E277" s="9" t="s">
        <v>38</v>
      </c>
      <c r="F277" s="9">
        <v>284000</v>
      </c>
      <c r="G277" s="9" t="s">
        <v>684</v>
      </c>
      <c r="H277" s="9">
        <f t="shared" si="9"/>
        <v>2019</v>
      </c>
      <c r="I277">
        <f t="shared" si="10"/>
        <v>10</v>
      </c>
      <c r="K277"/>
      <c r="L277"/>
    </row>
    <row r="278" spans="2:12" ht="16.5" x14ac:dyDescent="0.25">
      <c r="B278" s="9" t="s">
        <v>685</v>
      </c>
      <c r="C278" s="9" t="s">
        <v>59</v>
      </c>
      <c r="D278" s="9" t="s">
        <v>36</v>
      </c>
      <c r="E278" s="9" t="s">
        <v>39</v>
      </c>
      <c r="F278" s="9">
        <v>191000</v>
      </c>
      <c r="G278" s="9" t="s">
        <v>686</v>
      </c>
      <c r="H278" s="9">
        <f t="shared" si="9"/>
        <v>2019</v>
      </c>
      <c r="I278">
        <f t="shared" si="10"/>
        <v>10</v>
      </c>
      <c r="K278"/>
      <c r="L278"/>
    </row>
    <row r="279" spans="2:12" ht="16.5" x14ac:dyDescent="0.25">
      <c r="B279" s="9" t="s">
        <v>687</v>
      </c>
      <c r="C279" s="9" t="s">
        <v>37</v>
      </c>
      <c r="D279" s="9" t="s">
        <v>35</v>
      </c>
      <c r="E279" s="9" t="s">
        <v>35</v>
      </c>
      <c r="F279" s="9">
        <v>107000</v>
      </c>
      <c r="G279" s="9" t="s">
        <v>689</v>
      </c>
      <c r="H279" s="9">
        <f t="shared" si="9"/>
        <v>2019</v>
      </c>
      <c r="I279">
        <f t="shared" si="10"/>
        <v>10</v>
      </c>
      <c r="K279"/>
      <c r="L279"/>
    </row>
    <row r="280" spans="2:12" ht="16.5" x14ac:dyDescent="0.25">
      <c r="B280" s="9" t="s">
        <v>690</v>
      </c>
      <c r="C280" s="9" t="s">
        <v>38</v>
      </c>
      <c r="D280" s="9" t="s">
        <v>39</v>
      </c>
      <c r="E280" s="9" t="s">
        <v>34</v>
      </c>
      <c r="F280" s="9">
        <v>234000</v>
      </c>
      <c r="G280" s="9" t="s">
        <v>689</v>
      </c>
      <c r="H280" s="9">
        <f t="shared" si="9"/>
        <v>2019</v>
      </c>
      <c r="I280">
        <f t="shared" si="10"/>
        <v>10</v>
      </c>
      <c r="K280"/>
      <c r="L280"/>
    </row>
    <row r="281" spans="2:12" ht="16.5" x14ac:dyDescent="0.25">
      <c r="B281" s="9" t="s">
        <v>691</v>
      </c>
      <c r="C281" s="9" t="s">
        <v>34</v>
      </c>
      <c r="D281" s="9" t="s">
        <v>36</v>
      </c>
      <c r="E281" s="9" t="s">
        <v>36</v>
      </c>
      <c r="F281" s="9">
        <v>214000</v>
      </c>
      <c r="G281" s="9" t="s">
        <v>692</v>
      </c>
      <c r="H281" s="9">
        <f t="shared" si="9"/>
        <v>2019</v>
      </c>
      <c r="I281">
        <f t="shared" si="10"/>
        <v>10</v>
      </c>
      <c r="K281"/>
      <c r="L281"/>
    </row>
    <row r="282" spans="2:12" ht="16.5" x14ac:dyDescent="0.25">
      <c r="B282" s="9" t="s">
        <v>693</v>
      </c>
      <c r="C282" s="9" t="s">
        <v>40</v>
      </c>
      <c r="D282" s="9" t="s">
        <v>39</v>
      </c>
      <c r="E282" s="9" t="s">
        <v>34</v>
      </c>
      <c r="F282" s="9">
        <v>182000</v>
      </c>
      <c r="G282" s="9" t="s">
        <v>695</v>
      </c>
      <c r="H282" s="9">
        <f t="shared" si="9"/>
        <v>2019</v>
      </c>
      <c r="I282">
        <f t="shared" si="10"/>
        <v>10</v>
      </c>
      <c r="K282"/>
      <c r="L282"/>
    </row>
    <row r="283" spans="2:12" ht="16.5" x14ac:dyDescent="0.25">
      <c r="B283" s="9" t="s">
        <v>696</v>
      </c>
      <c r="C283" s="9" t="s">
        <v>38</v>
      </c>
      <c r="D283" s="9" t="s">
        <v>38</v>
      </c>
      <c r="E283" s="9" t="s">
        <v>37</v>
      </c>
      <c r="F283" s="9">
        <v>276000</v>
      </c>
      <c r="G283" s="9" t="s">
        <v>698</v>
      </c>
      <c r="H283" s="9">
        <f t="shared" si="9"/>
        <v>2019</v>
      </c>
      <c r="I283">
        <f t="shared" si="10"/>
        <v>10</v>
      </c>
      <c r="K283"/>
      <c r="L283"/>
    </row>
    <row r="284" spans="2:12" ht="16.5" x14ac:dyDescent="0.25">
      <c r="B284" s="9" t="s">
        <v>699</v>
      </c>
      <c r="C284" s="9" t="s">
        <v>34</v>
      </c>
      <c r="D284" s="9" t="s">
        <v>37</v>
      </c>
      <c r="E284" s="9" t="s">
        <v>39</v>
      </c>
      <c r="F284" s="9">
        <v>51000</v>
      </c>
      <c r="G284" s="9" t="s">
        <v>700</v>
      </c>
      <c r="H284" s="9">
        <f t="shared" si="9"/>
        <v>2019</v>
      </c>
      <c r="I284">
        <f t="shared" si="10"/>
        <v>10</v>
      </c>
      <c r="K284"/>
      <c r="L284"/>
    </row>
    <row r="285" spans="2:12" ht="16.5" x14ac:dyDescent="0.25">
      <c r="B285" s="9" t="s">
        <v>701</v>
      </c>
      <c r="C285" s="9" t="s">
        <v>36</v>
      </c>
      <c r="D285" s="9" t="s">
        <v>36</v>
      </c>
      <c r="E285" s="9" t="s">
        <v>35</v>
      </c>
      <c r="F285" s="9">
        <v>84000</v>
      </c>
      <c r="G285" s="9" t="s">
        <v>700</v>
      </c>
      <c r="H285" s="9">
        <f t="shared" si="9"/>
        <v>2019</v>
      </c>
      <c r="I285">
        <f t="shared" si="10"/>
        <v>10</v>
      </c>
      <c r="K285"/>
      <c r="L285"/>
    </row>
    <row r="286" spans="2:12" ht="16.5" x14ac:dyDescent="0.25">
      <c r="B286" s="9" t="s">
        <v>702</v>
      </c>
      <c r="C286" s="9" t="s">
        <v>39</v>
      </c>
      <c r="D286" s="9" t="s">
        <v>40</v>
      </c>
      <c r="E286" s="9" t="s">
        <v>36</v>
      </c>
      <c r="F286" s="9">
        <v>61000</v>
      </c>
      <c r="G286" s="9" t="s">
        <v>700</v>
      </c>
      <c r="H286" s="9">
        <f t="shared" si="9"/>
        <v>2019</v>
      </c>
      <c r="I286">
        <f t="shared" si="10"/>
        <v>10</v>
      </c>
      <c r="K286"/>
      <c r="L286"/>
    </row>
    <row r="287" spans="2:12" ht="16.5" x14ac:dyDescent="0.25">
      <c r="B287" s="9" t="s">
        <v>704</v>
      </c>
      <c r="C287" s="9" t="s">
        <v>35</v>
      </c>
      <c r="D287" s="9" t="s">
        <v>34</v>
      </c>
      <c r="E287" s="9" t="s">
        <v>38</v>
      </c>
      <c r="F287" s="9">
        <v>187000</v>
      </c>
      <c r="G287" s="9" t="s">
        <v>700</v>
      </c>
      <c r="H287" s="9">
        <f t="shared" si="9"/>
        <v>2019</v>
      </c>
      <c r="I287">
        <f t="shared" si="10"/>
        <v>10</v>
      </c>
      <c r="K287"/>
      <c r="L287"/>
    </row>
    <row r="288" spans="2:12" ht="16.5" x14ac:dyDescent="0.25">
      <c r="B288" s="9" t="s">
        <v>706</v>
      </c>
      <c r="C288" s="9" t="s">
        <v>39</v>
      </c>
      <c r="D288" s="9" t="s">
        <v>34</v>
      </c>
      <c r="E288" s="9" t="s">
        <v>36</v>
      </c>
      <c r="F288" s="9">
        <v>126000</v>
      </c>
      <c r="G288" s="9" t="s">
        <v>707</v>
      </c>
      <c r="H288" s="9">
        <f t="shared" si="9"/>
        <v>2019</v>
      </c>
      <c r="I288">
        <f t="shared" si="10"/>
        <v>10</v>
      </c>
      <c r="K288"/>
      <c r="L288"/>
    </row>
    <row r="289" spans="2:12" ht="16.5" x14ac:dyDescent="0.25">
      <c r="B289" s="9" t="s">
        <v>708</v>
      </c>
      <c r="C289" s="9" t="s">
        <v>56</v>
      </c>
      <c r="D289" s="9" t="s">
        <v>40</v>
      </c>
      <c r="E289" s="9" t="s">
        <v>39</v>
      </c>
      <c r="F289" s="9">
        <v>217000</v>
      </c>
      <c r="G289" s="9" t="s">
        <v>709</v>
      </c>
      <c r="H289" s="9">
        <f t="shared" si="9"/>
        <v>2019</v>
      </c>
      <c r="I289">
        <f t="shared" si="10"/>
        <v>10</v>
      </c>
      <c r="K289"/>
      <c r="L289"/>
    </row>
    <row r="290" spans="2:12" ht="16.5" x14ac:dyDescent="0.25">
      <c r="B290" s="9" t="s">
        <v>710</v>
      </c>
      <c r="C290" s="9" t="s">
        <v>40</v>
      </c>
      <c r="D290" s="9" t="s">
        <v>38</v>
      </c>
      <c r="E290" s="9" t="s">
        <v>36</v>
      </c>
      <c r="F290" s="9">
        <v>153000</v>
      </c>
      <c r="G290" s="9" t="s">
        <v>711</v>
      </c>
      <c r="H290" s="9">
        <f t="shared" si="9"/>
        <v>2019</v>
      </c>
      <c r="I290">
        <f t="shared" si="10"/>
        <v>10</v>
      </c>
      <c r="K290"/>
      <c r="L290"/>
    </row>
    <row r="291" spans="2:12" ht="16.5" x14ac:dyDescent="0.25">
      <c r="B291" s="9" t="s">
        <v>712</v>
      </c>
      <c r="C291" s="9" t="s">
        <v>35</v>
      </c>
      <c r="D291" s="9" t="s">
        <v>39</v>
      </c>
      <c r="E291" s="9" t="s">
        <v>37</v>
      </c>
      <c r="F291" s="9">
        <v>170000</v>
      </c>
      <c r="G291" s="9" t="s">
        <v>713</v>
      </c>
      <c r="H291" s="9">
        <f t="shared" si="9"/>
        <v>2019</v>
      </c>
      <c r="I291">
        <f t="shared" si="10"/>
        <v>10</v>
      </c>
      <c r="K291"/>
      <c r="L291"/>
    </row>
    <row r="292" spans="2:12" ht="16.5" x14ac:dyDescent="0.25">
      <c r="B292" s="9" t="s">
        <v>714</v>
      </c>
      <c r="C292" s="9" t="s">
        <v>36</v>
      </c>
      <c r="D292" s="9" t="s">
        <v>36</v>
      </c>
      <c r="E292" s="9" t="s">
        <v>37</v>
      </c>
      <c r="F292" s="9">
        <v>136000</v>
      </c>
      <c r="G292" s="9" t="s">
        <v>713</v>
      </c>
      <c r="H292" s="9">
        <f t="shared" si="9"/>
        <v>2019</v>
      </c>
      <c r="I292">
        <f t="shared" si="10"/>
        <v>10</v>
      </c>
      <c r="K292"/>
      <c r="L292"/>
    </row>
    <row r="293" spans="2:12" ht="16.5" x14ac:dyDescent="0.25">
      <c r="B293" s="9" t="s">
        <v>715</v>
      </c>
      <c r="C293" s="9" t="s">
        <v>59</v>
      </c>
      <c r="D293" s="9" t="s">
        <v>34</v>
      </c>
      <c r="E293" s="9" t="s">
        <v>38</v>
      </c>
      <c r="F293" s="9">
        <v>273000</v>
      </c>
      <c r="G293" s="9" t="s">
        <v>716</v>
      </c>
      <c r="H293" s="9">
        <f t="shared" si="9"/>
        <v>2019</v>
      </c>
      <c r="I293">
        <f t="shared" si="10"/>
        <v>10</v>
      </c>
      <c r="K293"/>
      <c r="L293"/>
    </row>
    <row r="294" spans="2:12" ht="16.5" x14ac:dyDescent="0.25">
      <c r="B294" s="9" t="s">
        <v>717</v>
      </c>
      <c r="C294" s="9" t="s">
        <v>39</v>
      </c>
      <c r="D294" s="9" t="s">
        <v>34</v>
      </c>
      <c r="E294" s="9" t="s">
        <v>36</v>
      </c>
      <c r="F294" s="9">
        <v>242000</v>
      </c>
      <c r="G294" s="9" t="s">
        <v>719</v>
      </c>
      <c r="H294" s="9">
        <f t="shared" si="9"/>
        <v>2019</v>
      </c>
      <c r="I294">
        <f t="shared" si="10"/>
        <v>11</v>
      </c>
      <c r="K294"/>
      <c r="L294"/>
    </row>
    <row r="295" spans="2:12" ht="16.5" x14ac:dyDescent="0.25">
      <c r="B295" s="9" t="s">
        <v>720</v>
      </c>
      <c r="C295" s="9" t="s">
        <v>56</v>
      </c>
      <c r="D295" s="9" t="s">
        <v>36</v>
      </c>
      <c r="E295" s="9" t="s">
        <v>36</v>
      </c>
      <c r="F295" s="9">
        <v>64000</v>
      </c>
      <c r="G295" s="9" t="s">
        <v>719</v>
      </c>
      <c r="H295" s="9">
        <f t="shared" si="9"/>
        <v>2019</v>
      </c>
      <c r="I295">
        <f t="shared" si="10"/>
        <v>11</v>
      </c>
      <c r="K295"/>
      <c r="L295"/>
    </row>
    <row r="296" spans="2:12" ht="16.5" x14ac:dyDescent="0.25">
      <c r="B296" s="9" t="s">
        <v>721</v>
      </c>
      <c r="C296" s="9" t="s">
        <v>35</v>
      </c>
      <c r="D296" s="9" t="s">
        <v>39</v>
      </c>
      <c r="E296" s="9" t="s">
        <v>39</v>
      </c>
      <c r="F296" s="9">
        <v>233000</v>
      </c>
      <c r="G296" s="9" t="s">
        <v>723</v>
      </c>
      <c r="H296" s="9">
        <f t="shared" si="9"/>
        <v>2019</v>
      </c>
      <c r="I296">
        <f t="shared" si="10"/>
        <v>11</v>
      </c>
      <c r="K296"/>
      <c r="L296"/>
    </row>
    <row r="297" spans="2:12" ht="16.5" x14ac:dyDescent="0.25">
      <c r="B297" s="9" t="s">
        <v>724</v>
      </c>
      <c r="C297" s="9" t="s">
        <v>59</v>
      </c>
      <c r="D297" s="9" t="s">
        <v>38</v>
      </c>
      <c r="E297" s="9" t="s">
        <v>39</v>
      </c>
      <c r="F297" s="9">
        <v>148000</v>
      </c>
      <c r="G297" s="9" t="s">
        <v>723</v>
      </c>
      <c r="H297" s="9">
        <f t="shared" si="9"/>
        <v>2019</v>
      </c>
      <c r="I297">
        <f t="shared" si="10"/>
        <v>11</v>
      </c>
      <c r="K297"/>
      <c r="L297"/>
    </row>
    <row r="298" spans="2:12" ht="16.5" x14ac:dyDescent="0.25">
      <c r="B298" s="9" t="s">
        <v>726</v>
      </c>
      <c r="C298" s="9" t="s">
        <v>34</v>
      </c>
      <c r="D298" s="9" t="s">
        <v>37</v>
      </c>
      <c r="E298" s="9" t="s">
        <v>39</v>
      </c>
      <c r="F298" s="9">
        <v>77000</v>
      </c>
      <c r="G298" s="9" t="s">
        <v>728</v>
      </c>
      <c r="H298" s="9">
        <f t="shared" si="9"/>
        <v>2019</v>
      </c>
      <c r="I298">
        <f t="shared" si="10"/>
        <v>11</v>
      </c>
      <c r="K298"/>
      <c r="L298"/>
    </row>
    <row r="299" spans="2:12" ht="16.5" x14ac:dyDescent="0.25">
      <c r="B299" s="9" t="s">
        <v>729</v>
      </c>
      <c r="C299" s="9" t="s">
        <v>35</v>
      </c>
      <c r="D299" s="9" t="s">
        <v>36</v>
      </c>
      <c r="E299" s="9" t="s">
        <v>37</v>
      </c>
      <c r="F299" s="9">
        <v>179000</v>
      </c>
      <c r="G299" s="9" t="s">
        <v>728</v>
      </c>
      <c r="H299" s="9">
        <f t="shared" si="9"/>
        <v>2019</v>
      </c>
      <c r="I299">
        <f t="shared" si="10"/>
        <v>11</v>
      </c>
      <c r="K299"/>
      <c r="L299"/>
    </row>
    <row r="300" spans="2:12" ht="16.5" x14ac:dyDescent="0.25">
      <c r="B300" s="9" t="s">
        <v>731</v>
      </c>
      <c r="C300" s="9" t="s">
        <v>36</v>
      </c>
      <c r="D300" s="9" t="s">
        <v>40</v>
      </c>
      <c r="E300" s="9" t="s">
        <v>38</v>
      </c>
      <c r="F300" s="9">
        <v>108000</v>
      </c>
      <c r="G300" s="9" t="s">
        <v>732</v>
      </c>
      <c r="H300" s="9">
        <f t="shared" si="9"/>
        <v>2019</v>
      </c>
      <c r="I300">
        <f t="shared" si="10"/>
        <v>11</v>
      </c>
      <c r="K300"/>
      <c r="L300"/>
    </row>
    <row r="301" spans="2:12" ht="16.5" x14ac:dyDescent="0.25">
      <c r="B301" s="9" t="s">
        <v>733</v>
      </c>
      <c r="C301" s="9" t="s">
        <v>39</v>
      </c>
      <c r="D301" s="9" t="s">
        <v>36</v>
      </c>
      <c r="E301" s="9" t="s">
        <v>35</v>
      </c>
      <c r="F301" s="9">
        <v>61000</v>
      </c>
      <c r="G301" s="9" t="s">
        <v>734</v>
      </c>
      <c r="H301" s="9">
        <f t="shared" si="9"/>
        <v>2019</v>
      </c>
      <c r="I301">
        <f t="shared" si="10"/>
        <v>11</v>
      </c>
      <c r="K301"/>
      <c r="L301"/>
    </row>
    <row r="302" spans="2:12" ht="16.5" x14ac:dyDescent="0.25">
      <c r="B302" s="9" t="s">
        <v>735</v>
      </c>
      <c r="C302" s="9" t="s">
        <v>40</v>
      </c>
      <c r="D302" s="9" t="s">
        <v>35</v>
      </c>
      <c r="E302" s="9" t="s">
        <v>36</v>
      </c>
      <c r="F302" s="9">
        <v>291000</v>
      </c>
      <c r="G302" s="9" t="s">
        <v>734</v>
      </c>
      <c r="H302" s="9">
        <f t="shared" si="9"/>
        <v>2019</v>
      </c>
      <c r="I302">
        <f t="shared" si="10"/>
        <v>11</v>
      </c>
      <c r="K302"/>
      <c r="L302"/>
    </row>
    <row r="303" spans="2:12" ht="16.5" x14ac:dyDescent="0.25">
      <c r="B303" s="9" t="s">
        <v>737</v>
      </c>
      <c r="C303" s="9" t="s">
        <v>37</v>
      </c>
      <c r="D303" s="9" t="s">
        <v>40</v>
      </c>
      <c r="E303" s="9" t="s">
        <v>38</v>
      </c>
      <c r="F303" s="9">
        <v>285000</v>
      </c>
      <c r="G303" s="9" t="s">
        <v>738</v>
      </c>
      <c r="H303" s="9">
        <f t="shared" si="9"/>
        <v>2019</v>
      </c>
      <c r="I303">
        <f t="shared" si="10"/>
        <v>11</v>
      </c>
      <c r="K303"/>
      <c r="L303"/>
    </row>
    <row r="304" spans="2:12" ht="16.5" x14ac:dyDescent="0.25">
      <c r="B304" s="9" t="s">
        <v>739</v>
      </c>
      <c r="C304" s="9" t="s">
        <v>37</v>
      </c>
      <c r="D304" s="9" t="s">
        <v>35</v>
      </c>
      <c r="E304" s="9" t="s">
        <v>35</v>
      </c>
      <c r="F304" s="9">
        <v>237000</v>
      </c>
      <c r="G304" s="9" t="s">
        <v>738</v>
      </c>
      <c r="H304" s="9">
        <f t="shared" si="9"/>
        <v>2019</v>
      </c>
      <c r="I304">
        <f t="shared" si="10"/>
        <v>11</v>
      </c>
      <c r="K304"/>
      <c r="L304"/>
    </row>
    <row r="305" spans="2:12" ht="16.5" x14ac:dyDescent="0.25">
      <c r="B305" s="9" t="s">
        <v>741</v>
      </c>
      <c r="C305" s="9" t="s">
        <v>38</v>
      </c>
      <c r="D305" s="9" t="s">
        <v>34</v>
      </c>
      <c r="E305" s="9" t="s">
        <v>34</v>
      </c>
      <c r="F305" s="9">
        <v>237000</v>
      </c>
      <c r="G305" s="9" t="s">
        <v>738</v>
      </c>
      <c r="H305" s="9">
        <f t="shared" si="9"/>
        <v>2019</v>
      </c>
      <c r="I305">
        <f t="shared" si="10"/>
        <v>11</v>
      </c>
      <c r="K305"/>
      <c r="L305"/>
    </row>
    <row r="306" spans="2:12" ht="16.5" x14ac:dyDescent="0.25">
      <c r="B306" s="9" t="s">
        <v>742</v>
      </c>
      <c r="C306" s="9" t="s">
        <v>40</v>
      </c>
      <c r="D306" s="9" t="s">
        <v>36</v>
      </c>
      <c r="E306" s="9" t="s">
        <v>39</v>
      </c>
      <c r="F306" s="9">
        <v>217000</v>
      </c>
      <c r="G306" s="9" t="s">
        <v>743</v>
      </c>
      <c r="H306" s="9">
        <f t="shared" si="9"/>
        <v>2019</v>
      </c>
      <c r="I306">
        <f t="shared" si="10"/>
        <v>11</v>
      </c>
      <c r="K306"/>
      <c r="L306"/>
    </row>
    <row r="307" spans="2:12" ht="16.5" x14ac:dyDescent="0.25">
      <c r="B307" s="9" t="s">
        <v>744</v>
      </c>
      <c r="C307" s="9" t="s">
        <v>39</v>
      </c>
      <c r="D307" s="9" t="s">
        <v>37</v>
      </c>
      <c r="E307" s="9" t="s">
        <v>37</v>
      </c>
      <c r="F307" s="9">
        <v>173000</v>
      </c>
      <c r="G307" s="9" t="s">
        <v>745</v>
      </c>
      <c r="H307" s="9">
        <f t="shared" si="9"/>
        <v>2019</v>
      </c>
      <c r="I307">
        <f t="shared" si="10"/>
        <v>11</v>
      </c>
      <c r="K307"/>
      <c r="L307"/>
    </row>
    <row r="308" spans="2:12" ht="16.5" x14ac:dyDescent="0.25">
      <c r="B308" s="9" t="s">
        <v>746</v>
      </c>
      <c r="C308" s="9" t="s">
        <v>59</v>
      </c>
      <c r="D308" s="9" t="s">
        <v>40</v>
      </c>
      <c r="E308" s="9" t="s">
        <v>34</v>
      </c>
      <c r="F308" s="9">
        <v>185000</v>
      </c>
      <c r="G308" s="9" t="s">
        <v>748</v>
      </c>
      <c r="H308" s="9">
        <f t="shared" si="9"/>
        <v>2019</v>
      </c>
      <c r="I308">
        <f t="shared" si="10"/>
        <v>11</v>
      </c>
      <c r="K308"/>
      <c r="L308"/>
    </row>
    <row r="309" spans="2:12" ht="16.5" x14ac:dyDescent="0.25">
      <c r="B309" s="9" t="s">
        <v>749</v>
      </c>
      <c r="C309" s="9" t="s">
        <v>59</v>
      </c>
      <c r="D309" s="9" t="s">
        <v>36</v>
      </c>
      <c r="E309" s="9" t="s">
        <v>39</v>
      </c>
      <c r="F309" s="9">
        <v>86000</v>
      </c>
      <c r="G309" s="9" t="s">
        <v>748</v>
      </c>
      <c r="H309" s="9">
        <f t="shared" si="9"/>
        <v>2019</v>
      </c>
      <c r="I309">
        <f t="shared" si="10"/>
        <v>11</v>
      </c>
      <c r="K309"/>
      <c r="L309"/>
    </row>
    <row r="310" spans="2:12" ht="16.5" x14ac:dyDescent="0.25">
      <c r="B310" s="9" t="s">
        <v>750</v>
      </c>
      <c r="C310" s="9" t="s">
        <v>59</v>
      </c>
      <c r="D310" s="9" t="s">
        <v>39</v>
      </c>
      <c r="E310" s="9" t="s">
        <v>39</v>
      </c>
      <c r="F310" s="9">
        <v>78000</v>
      </c>
      <c r="G310" s="9" t="s">
        <v>748</v>
      </c>
      <c r="H310" s="9">
        <f t="shared" si="9"/>
        <v>2019</v>
      </c>
      <c r="I310">
        <f t="shared" si="10"/>
        <v>11</v>
      </c>
      <c r="K310"/>
      <c r="L310"/>
    </row>
    <row r="311" spans="2:12" ht="16.5" x14ac:dyDescent="0.25">
      <c r="B311" s="9" t="s">
        <v>751</v>
      </c>
      <c r="C311" s="9" t="s">
        <v>38</v>
      </c>
      <c r="D311" s="9" t="s">
        <v>38</v>
      </c>
      <c r="E311" s="9" t="s">
        <v>37</v>
      </c>
      <c r="F311" s="9">
        <v>223000</v>
      </c>
      <c r="G311" s="9" t="s">
        <v>748</v>
      </c>
      <c r="H311" s="9">
        <f t="shared" si="9"/>
        <v>2019</v>
      </c>
      <c r="I311">
        <f t="shared" si="10"/>
        <v>11</v>
      </c>
      <c r="K311"/>
      <c r="L311"/>
    </row>
    <row r="312" spans="2:12" ht="16.5" x14ac:dyDescent="0.25">
      <c r="B312" s="9" t="s">
        <v>753</v>
      </c>
      <c r="C312" s="9" t="s">
        <v>39</v>
      </c>
      <c r="D312" s="9" t="s">
        <v>37</v>
      </c>
      <c r="E312" s="9" t="s">
        <v>37</v>
      </c>
      <c r="F312" s="9">
        <v>175000</v>
      </c>
      <c r="G312" s="9" t="s">
        <v>755</v>
      </c>
      <c r="H312" s="9">
        <f t="shared" si="9"/>
        <v>2019</v>
      </c>
      <c r="I312">
        <f t="shared" si="10"/>
        <v>11</v>
      </c>
      <c r="K312"/>
      <c r="L312"/>
    </row>
    <row r="313" spans="2:12" ht="16.5" x14ac:dyDescent="0.25">
      <c r="B313" s="9" t="s">
        <v>756</v>
      </c>
      <c r="C313" s="9" t="s">
        <v>36</v>
      </c>
      <c r="D313" s="9" t="s">
        <v>34</v>
      </c>
      <c r="E313" s="9" t="s">
        <v>34</v>
      </c>
      <c r="F313" s="9">
        <v>89000</v>
      </c>
      <c r="G313" s="9" t="s">
        <v>758</v>
      </c>
      <c r="H313" s="9">
        <f t="shared" si="9"/>
        <v>2019</v>
      </c>
      <c r="I313">
        <f t="shared" si="10"/>
        <v>11</v>
      </c>
      <c r="K313"/>
      <c r="L313"/>
    </row>
    <row r="314" spans="2:12" ht="16.5" x14ac:dyDescent="0.25">
      <c r="B314" s="9" t="s">
        <v>759</v>
      </c>
      <c r="C314" s="9" t="s">
        <v>59</v>
      </c>
      <c r="D314" s="9" t="s">
        <v>39</v>
      </c>
      <c r="E314" s="9" t="s">
        <v>36</v>
      </c>
      <c r="F314" s="9">
        <v>206000</v>
      </c>
      <c r="G314" s="9" t="s">
        <v>761</v>
      </c>
      <c r="H314" s="9">
        <f t="shared" si="9"/>
        <v>2019</v>
      </c>
      <c r="I314">
        <f t="shared" si="10"/>
        <v>11</v>
      </c>
      <c r="K314"/>
      <c r="L314"/>
    </row>
    <row r="315" spans="2:12" ht="16.5" x14ac:dyDescent="0.25">
      <c r="B315" s="9" t="s">
        <v>762</v>
      </c>
      <c r="C315" s="9" t="s">
        <v>40</v>
      </c>
      <c r="D315" s="9" t="s">
        <v>35</v>
      </c>
      <c r="E315" s="9" t="s">
        <v>34</v>
      </c>
      <c r="F315" s="9">
        <v>80000</v>
      </c>
      <c r="G315" s="9" t="s">
        <v>763</v>
      </c>
      <c r="H315" s="9">
        <f t="shared" si="9"/>
        <v>2019</v>
      </c>
      <c r="I315">
        <f t="shared" si="10"/>
        <v>11</v>
      </c>
      <c r="K315"/>
      <c r="L315"/>
    </row>
    <row r="316" spans="2:12" ht="16.5" x14ac:dyDescent="0.25">
      <c r="B316" s="9" t="s">
        <v>764</v>
      </c>
      <c r="C316" s="9" t="s">
        <v>38</v>
      </c>
      <c r="D316" s="9" t="s">
        <v>35</v>
      </c>
      <c r="E316" s="9" t="s">
        <v>38</v>
      </c>
      <c r="F316" s="9">
        <v>159000</v>
      </c>
      <c r="G316" s="9" t="s">
        <v>766</v>
      </c>
      <c r="H316" s="9">
        <f t="shared" si="9"/>
        <v>2019</v>
      </c>
      <c r="I316">
        <f t="shared" si="10"/>
        <v>11</v>
      </c>
      <c r="K316"/>
      <c r="L316"/>
    </row>
    <row r="317" spans="2:12" ht="16.5" x14ac:dyDescent="0.25">
      <c r="B317" s="9" t="s">
        <v>767</v>
      </c>
      <c r="C317" s="9" t="s">
        <v>59</v>
      </c>
      <c r="D317" s="9" t="s">
        <v>38</v>
      </c>
      <c r="E317" s="9" t="s">
        <v>38</v>
      </c>
      <c r="F317" s="9">
        <v>225000</v>
      </c>
      <c r="G317" s="9" t="s">
        <v>766</v>
      </c>
      <c r="H317" s="9">
        <f t="shared" si="9"/>
        <v>2019</v>
      </c>
      <c r="I317">
        <f t="shared" si="10"/>
        <v>11</v>
      </c>
      <c r="K317"/>
      <c r="L317"/>
    </row>
    <row r="318" spans="2:12" ht="16.5" x14ac:dyDescent="0.25">
      <c r="B318" s="9" t="s">
        <v>768</v>
      </c>
      <c r="C318" s="9" t="s">
        <v>59</v>
      </c>
      <c r="D318" s="9" t="s">
        <v>35</v>
      </c>
      <c r="E318" s="9" t="s">
        <v>38</v>
      </c>
      <c r="F318" s="9">
        <v>145000</v>
      </c>
      <c r="G318" s="9" t="s">
        <v>769</v>
      </c>
      <c r="H318" s="9">
        <f t="shared" si="9"/>
        <v>2019</v>
      </c>
      <c r="I318">
        <f t="shared" si="10"/>
        <v>11</v>
      </c>
      <c r="K318"/>
      <c r="L318"/>
    </row>
    <row r="319" spans="2:12" ht="16.5" x14ac:dyDescent="0.25">
      <c r="B319" s="9" t="s">
        <v>770</v>
      </c>
      <c r="C319" s="9" t="s">
        <v>39</v>
      </c>
      <c r="D319" s="9" t="s">
        <v>40</v>
      </c>
      <c r="E319" s="9" t="s">
        <v>37</v>
      </c>
      <c r="F319" s="9">
        <v>70000</v>
      </c>
      <c r="G319" s="9" t="s">
        <v>769</v>
      </c>
      <c r="H319" s="9">
        <f t="shared" si="9"/>
        <v>2019</v>
      </c>
      <c r="I319">
        <f t="shared" si="10"/>
        <v>11</v>
      </c>
      <c r="K319"/>
      <c r="L319"/>
    </row>
    <row r="320" spans="2:12" ht="16.5" x14ac:dyDescent="0.25">
      <c r="B320" s="9" t="s">
        <v>771</v>
      </c>
      <c r="C320" s="9" t="s">
        <v>35</v>
      </c>
      <c r="D320" s="9" t="s">
        <v>34</v>
      </c>
      <c r="E320" s="9" t="s">
        <v>39</v>
      </c>
      <c r="F320" s="9">
        <v>288000</v>
      </c>
      <c r="G320" s="9" t="s">
        <v>773</v>
      </c>
      <c r="H320" s="9">
        <f t="shared" si="9"/>
        <v>2019</v>
      </c>
      <c r="I320">
        <f t="shared" si="10"/>
        <v>11</v>
      </c>
      <c r="K320"/>
      <c r="L320"/>
    </row>
    <row r="321" spans="2:12" ht="16.5" x14ac:dyDescent="0.25">
      <c r="B321" s="9" t="s">
        <v>774</v>
      </c>
      <c r="C321" s="9" t="s">
        <v>37</v>
      </c>
      <c r="D321" s="9" t="s">
        <v>34</v>
      </c>
      <c r="E321" s="9" t="s">
        <v>37</v>
      </c>
      <c r="F321" s="9">
        <v>206000</v>
      </c>
      <c r="G321" s="9" t="s">
        <v>775</v>
      </c>
      <c r="H321" s="9">
        <f t="shared" si="9"/>
        <v>2019</v>
      </c>
      <c r="I321">
        <f t="shared" si="10"/>
        <v>11</v>
      </c>
      <c r="K321"/>
      <c r="L321"/>
    </row>
    <row r="322" spans="2:12" ht="16.5" x14ac:dyDescent="0.25">
      <c r="B322" s="9" t="s">
        <v>776</v>
      </c>
      <c r="C322" s="9" t="s">
        <v>36</v>
      </c>
      <c r="D322" s="9" t="s">
        <v>37</v>
      </c>
      <c r="E322" s="9" t="s">
        <v>35</v>
      </c>
      <c r="F322" s="9">
        <v>284000</v>
      </c>
      <c r="G322" s="9" t="s">
        <v>777</v>
      </c>
      <c r="H322" s="9">
        <f t="shared" si="9"/>
        <v>2019</v>
      </c>
      <c r="I322">
        <f t="shared" si="10"/>
        <v>11</v>
      </c>
      <c r="K322"/>
      <c r="L322"/>
    </row>
    <row r="323" spans="2:12" ht="16.5" x14ac:dyDescent="0.25">
      <c r="B323" s="9" t="s">
        <v>778</v>
      </c>
      <c r="C323" s="9" t="s">
        <v>36</v>
      </c>
      <c r="D323" s="9" t="s">
        <v>37</v>
      </c>
      <c r="E323" s="9" t="s">
        <v>34</v>
      </c>
      <c r="F323" s="9">
        <v>209000</v>
      </c>
      <c r="G323" s="9" t="s">
        <v>777</v>
      </c>
      <c r="H323" s="9">
        <f t="shared" ref="H323:H386" si="11">YEAR(G323)</f>
        <v>2019</v>
      </c>
      <c r="I323">
        <f t="shared" ref="I323:I386" si="12">MONTH(G323)</f>
        <v>11</v>
      </c>
      <c r="K323"/>
      <c r="L323"/>
    </row>
    <row r="324" spans="2:12" ht="16.5" x14ac:dyDescent="0.25">
      <c r="B324" s="9" t="s">
        <v>780</v>
      </c>
      <c r="C324" s="9" t="s">
        <v>56</v>
      </c>
      <c r="D324" s="9" t="s">
        <v>36</v>
      </c>
      <c r="E324" s="9" t="s">
        <v>37</v>
      </c>
      <c r="F324" s="9">
        <v>290000</v>
      </c>
      <c r="G324" s="9" t="s">
        <v>781</v>
      </c>
      <c r="H324" s="9">
        <f t="shared" si="11"/>
        <v>2019</v>
      </c>
      <c r="I324">
        <f t="shared" si="12"/>
        <v>12</v>
      </c>
      <c r="K324"/>
      <c r="L324"/>
    </row>
    <row r="325" spans="2:12" ht="16.5" x14ac:dyDescent="0.25">
      <c r="B325" s="9" t="s">
        <v>782</v>
      </c>
      <c r="C325" s="9" t="s">
        <v>37</v>
      </c>
      <c r="D325" s="9" t="s">
        <v>39</v>
      </c>
      <c r="E325" s="9" t="s">
        <v>36</v>
      </c>
      <c r="F325" s="9">
        <v>263000</v>
      </c>
      <c r="G325" s="9" t="s">
        <v>784</v>
      </c>
      <c r="H325" s="9">
        <f t="shared" si="11"/>
        <v>2019</v>
      </c>
      <c r="I325">
        <f t="shared" si="12"/>
        <v>12</v>
      </c>
      <c r="K325"/>
      <c r="L325"/>
    </row>
    <row r="326" spans="2:12" ht="16.5" x14ac:dyDescent="0.25">
      <c r="B326" s="9" t="s">
        <v>785</v>
      </c>
      <c r="C326" s="9" t="s">
        <v>40</v>
      </c>
      <c r="D326" s="9" t="s">
        <v>39</v>
      </c>
      <c r="E326" s="9" t="s">
        <v>39</v>
      </c>
      <c r="F326" s="9">
        <v>236000</v>
      </c>
      <c r="G326" s="9" t="s">
        <v>787</v>
      </c>
      <c r="H326" s="9">
        <f t="shared" si="11"/>
        <v>2019</v>
      </c>
      <c r="I326">
        <f t="shared" si="12"/>
        <v>12</v>
      </c>
      <c r="K326"/>
      <c r="L326"/>
    </row>
    <row r="327" spans="2:12" ht="16.5" x14ac:dyDescent="0.25">
      <c r="B327" s="9" t="s">
        <v>788</v>
      </c>
      <c r="C327" s="9" t="s">
        <v>40</v>
      </c>
      <c r="D327" s="9" t="s">
        <v>37</v>
      </c>
      <c r="E327" s="9" t="s">
        <v>34</v>
      </c>
      <c r="F327" s="9">
        <v>114000</v>
      </c>
      <c r="G327" s="9" t="s">
        <v>790</v>
      </c>
      <c r="H327" s="9">
        <f t="shared" si="11"/>
        <v>2019</v>
      </c>
      <c r="I327">
        <f t="shared" si="12"/>
        <v>12</v>
      </c>
      <c r="K327"/>
      <c r="L327"/>
    </row>
    <row r="328" spans="2:12" ht="16.5" x14ac:dyDescent="0.25">
      <c r="B328" s="9" t="s">
        <v>791</v>
      </c>
      <c r="C328" s="9" t="s">
        <v>40</v>
      </c>
      <c r="D328" s="9" t="s">
        <v>37</v>
      </c>
      <c r="E328" s="9" t="s">
        <v>37</v>
      </c>
      <c r="F328" s="9">
        <v>178000</v>
      </c>
      <c r="G328" s="9" t="s">
        <v>793</v>
      </c>
      <c r="H328" s="9">
        <f t="shared" si="11"/>
        <v>2019</v>
      </c>
      <c r="I328">
        <f t="shared" si="12"/>
        <v>12</v>
      </c>
      <c r="K328"/>
      <c r="L328"/>
    </row>
    <row r="329" spans="2:12" ht="16.5" x14ac:dyDescent="0.25">
      <c r="B329" s="9" t="s">
        <v>794</v>
      </c>
      <c r="C329" s="9" t="s">
        <v>40</v>
      </c>
      <c r="D329" s="9" t="s">
        <v>34</v>
      </c>
      <c r="E329" s="9" t="s">
        <v>35</v>
      </c>
      <c r="F329" s="9">
        <v>105000</v>
      </c>
      <c r="G329" s="9" t="s">
        <v>793</v>
      </c>
      <c r="H329" s="9">
        <f t="shared" si="11"/>
        <v>2019</v>
      </c>
      <c r="I329">
        <f t="shared" si="12"/>
        <v>12</v>
      </c>
      <c r="K329"/>
      <c r="L329"/>
    </row>
    <row r="330" spans="2:12" ht="16.5" x14ac:dyDescent="0.25">
      <c r="B330" s="9" t="s">
        <v>795</v>
      </c>
      <c r="C330" s="9" t="s">
        <v>34</v>
      </c>
      <c r="D330" s="9" t="s">
        <v>36</v>
      </c>
      <c r="E330" s="9" t="s">
        <v>35</v>
      </c>
      <c r="F330" s="9">
        <v>221000</v>
      </c>
      <c r="G330" s="9" t="s">
        <v>797</v>
      </c>
      <c r="H330" s="9">
        <f t="shared" si="11"/>
        <v>2019</v>
      </c>
      <c r="I330">
        <f t="shared" si="12"/>
        <v>12</v>
      </c>
      <c r="K330"/>
      <c r="L330"/>
    </row>
    <row r="331" spans="2:12" ht="16.5" x14ac:dyDescent="0.25">
      <c r="B331" s="9" t="s">
        <v>798</v>
      </c>
      <c r="C331" s="9" t="s">
        <v>34</v>
      </c>
      <c r="D331" s="9" t="s">
        <v>39</v>
      </c>
      <c r="E331" s="9" t="s">
        <v>35</v>
      </c>
      <c r="F331" s="9">
        <v>53000</v>
      </c>
      <c r="G331" s="9" t="s">
        <v>799</v>
      </c>
      <c r="H331" s="9">
        <f t="shared" si="11"/>
        <v>2019</v>
      </c>
      <c r="I331">
        <f t="shared" si="12"/>
        <v>12</v>
      </c>
      <c r="K331"/>
      <c r="L331"/>
    </row>
    <row r="332" spans="2:12" ht="16.5" x14ac:dyDescent="0.25">
      <c r="B332" s="9" t="s">
        <v>800</v>
      </c>
      <c r="C332" s="9" t="s">
        <v>38</v>
      </c>
      <c r="D332" s="9" t="s">
        <v>36</v>
      </c>
      <c r="E332" s="9" t="s">
        <v>38</v>
      </c>
      <c r="F332" s="9">
        <v>202000</v>
      </c>
      <c r="G332" s="9" t="s">
        <v>801</v>
      </c>
      <c r="H332" s="9">
        <f t="shared" si="11"/>
        <v>2019</v>
      </c>
      <c r="I332">
        <f t="shared" si="12"/>
        <v>12</v>
      </c>
      <c r="K332"/>
      <c r="L332"/>
    </row>
    <row r="333" spans="2:12" ht="16.5" x14ac:dyDescent="0.25">
      <c r="B333" s="9" t="s">
        <v>802</v>
      </c>
      <c r="C333" s="9" t="s">
        <v>40</v>
      </c>
      <c r="D333" s="9" t="s">
        <v>37</v>
      </c>
      <c r="E333" s="9" t="s">
        <v>38</v>
      </c>
      <c r="F333" s="9">
        <v>270000</v>
      </c>
      <c r="G333" s="9" t="s">
        <v>801</v>
      </c>
      <c r="H333" s="9">
        <f t="shared" si="11"/>
        <v>2019</v>
      </c>
      <c r="I333">
        <f t="shared" si="12"/>
        <v>12</v>
      </c>
      <c r="K333"/>
      <c r="L333"/>
    </row>
    <row r="334" spans="2:12" ht="16.5" x14ac:dyDescent="0.25">
      <c r="B334" s="9" t="s">
        <v>803</v>
      </c>
      <c r="C334" s="9" t="s">
        <v>37</v>
      </c>
      <c r="D334" s="9" t="s">
        <v>37</v>
      </c>
      <c r="E334" s="9" t="s">
        <v>39</v>
      </c>
      <c r="F334" s="9">
        <v>140000</v>
      </c>
      <c r="G334" s="9" t="s">
        <v>801</v>
      </c>
      <c r="H334" s="9">
        <f t="shared" si="11"/>
        <v>2019</v>
      </c>
      <c r="I334">
        <f t="shared" si="12"/>
        <v>12</v>
      </c>
      <c r="K334"/>
      <c r="L334"/>
    </row>
    <row r="335" spans="2:12" ht="16.5" x14ac:dyDescent="0.25">
      <c r="B335" s="9" t="s">
        <v>805</v>
      </c>
      <c r="C335" s="9" t="s">
        <v>40</v>
      </c>
      <c r="D335" s="9" t="s">
        <v>37</v>
      </c>
      <c r="E335" s="9" t="s">
        <v>34</v>
      </c>
      <c r="F335" s="9">
        <v>85000</v>
      </c>
      <c r="G335" s="9" t="s">
        <v>807</v>
      </c>
      <c r="H335" s="9">
        <f t="shared" si="11"/>
        <v>2019</v>
      </c>
      <c r="I335">
        <f t="shared" si="12"/>
        <v>12</v>
      </c>
      <c r="K335"/>
      <c r="L335"/>
    </row>
    <row r="336" spans="2:12" ht="16.5" x14ac:dyDescent="0.25">
      <c r="B336" s="9" t="s">
        <v>808</v>
      </c>
      <c r="C336" s="9" t="s">
        <v>34</v>
      </c>
      <c r="D336" s="9" t="s">
        <v>37</v>
      </c>
      <c r="E336" s="9" t="s">
        <v>39</v>
      </c>
      <c r="F336" s="9">
        <v>88000</v>
      </c>
      <c r="G336" s="9" t="s">
        <v>807</v>
      </c>
      <c r="H336" s="9">
        <f t="shared" si="11"/>
        <v>2019</v>
      </c>
      <c r="I336">
        <f t="shared" si="12"/>
        <v>12</v>
      </c>
      <c r="K336"/>
      <c r="L336"/>
    </row>
    <row r="337" spans="2:12" ht="16.5" x14ac:dyDescent="0.25">
      <c r="B337" s="9" t="s">
        <v>809</v>
      </c>
      <c r="C337" s="9" t="s">
        <v>59</v>
      </c>
      <c r="D337" s="9" t="s">
        <v>38</v>
      </c>
      <c r="E337" s="9" t="s">
        <v>34</v>
      </c>
      <c r="F337" s="9">
        <v>103000</v>
      </c>
      <c r="G337" s="9" t="s">
        <v>811</v>
      </c>
      <c r="H337" s="9">
        <f t="shared" si="11"/>
        <v>2019</v>
      </c>
      <c r="I337">
        <f t="shared" si="12"/>
        <v>12</v>
      </c>
      <c r="K337"/>
      <c r="L337"/>
    </row>
    <row r="338" spans="2:12" ht="16.5" x14ac:dyDescent="0.25">
      <c r="B338" s="9" t="s">
        <v>812</v>
      </c>
      <c r="C338" s="9" t="s">
        <v>36</v>
      </c>
      <c r="D338" s="9" t="s">
        <v>34</v>
      </c>
      <c r="E338" s="9" t="s">
        <v>34</v>
      </c>
      <c r="F338" s="9">
        <v>227000</v>
      </c>
      <c r="G338" s="9" t="s">
        <v>813</v>
      </c>
      <c r="H338" s="9">
        <f t="shared" si="11"/>
        <v>2019</v>
      </c>
      <c r="I338">
        <f t="shared" si="12"/>
        <v>12</v>
      </c>
      <c r="K338"/>
      <c r="L338"/>
    </row>
    <row r="339" spans="2:12" ht="16.5" x14ac:dyDescent="0.25">
      <c r="B339" s="9" t="s">
        <v>814</v>
      </c>
      <c r="C339" s="9" t="s">
        <v>37</v>
      </c>
      <c r="D339" s="9" t="s">
        <v>38</v>
      </c>
      <c r="E339" s="9" t="s">
        <v>35</v>
      </c>
      <c r="F339" s="9">
        <v>280000</v>
      </c>
      <c r="G339" s="9" t="s">
        <v>813</v>
      </c>
      <c r="H339" s="9">
        <f t="shared" si="11"/>
        <v>2019</v>
      </c>
      <c r="I339">
        <f t="shared" si="12"/>
        <v>12</v>
      </c>
      <c r="K339"/>
      <c r="L339"/>
    </row>
    <row r="340" spans="2:12" ht="16.5" x14ac:dyDescent="0.25">
      <c r="B340" s="9" t="s">
        <v>816</v>
      </c>
      <c r="C340" s="9" t="s">
        <v>37</v>
      </c>
      <c r="D340" s="9" t="s">
        <v>37</v>
      </c>
      <c r="E340" s="9" t="s">
        <v>34</v>
      </c>
      <c r="F340" s="9">
        <v>112000</v>
      </c>
      <c r="G340" s="9" t="s">
        <v>817</v>
      </c>
      <c r="H340" s="9">
        <f t="shared" si="11"/>
        <v>2019</v>
      </c>
      <c r="I340">
        <f t="shared" si="12"/>
        <v>12</v>
      </c>
      <c r="K340"/>
      <c r="L340"/>
    </row>
    <row r="341" spans="2:12" ht="16.5" x14ac:dyDescent="0.25">
      <c r="B341" s="9" t="s">
        <v>818</v>
      </c>
      <c r="C341" s="9" t="s">
        <v>59</v>
      </c>
      <c r="D341" s="9" t="s">
        <v>40</v>
      </c>
      <c r="E341" s="9" t="s">
        <v>39</v>
      </c>
      <c r="F341" s="9">
        <v>159000</v>
      </c>
      <c r="G341" s="9" t="s">
        <v>817</v>
      </c>
      <c r="H341" s="9">
        <f t="shared" si="11"/>
        <v>2019</v>
      </c>
      <c r="I341">
        <f t="shared" si="12"/>
        <v>12</v>
      </c>
      <c r="K341"/>
      <c r="L341"/>
    </row>
    <row r="342" spans="2:12" ht="16.5" x14ac:dyDescent="0.25">
      <c r="B342" s="9" t="s">
        <v>819</v>
      </c>
      <c r="C342" s="9" t="s">
        <v>36</v>
      </c>
      <c r="D342" s="9" t="s">
        <v>34</v>
      </c>
      <c r="E342" s="9" t="s">
        <v>37</v>
      </c>
      <c r="F342" s="9">
        <v>272000</v>
      </c>
      <c r="G342" s="9" t="s">
        <v>820</v>
      </c>
      <c r="H342" s="9">
        <f t="shared" si="11"/>
        <v>2019</v>
      </c>
      <c r="I342">
        <f t="shared" si="12"/>
        <v>12</v>
      </c>
      <c r="K342"/>
      <c r="L342"/>
    </row>
    <row r="343" spans="2:12" ht="16.5" x14ac:dyDescent="0.25">
      <c r="B343" s="9" t="s">
        <v>821</v>
      </c>
      <c r="C343" s="9" t="s">
        <v>40</v>
      </c>
      <c r="D343" s="9" t="s">
        <v>36</v>
      </c>
      <c r="E343" s="9" t="s">
        <v>36</v>
      </c>
      <c r="F343" s="9">
        <v>284000</v>
      </c>
      <c r="G343" s="9" t="s">
        <v>822</v>
      </c>
      <c r="H343" s="9">
        <f t="shared" si="11"/>
        <v>2019</v>
      </c>
      <c r="I343">
        <f t="shared" si="12"/>
        <v>12</v>
      </c>
      <c r="K343"/>
      <c r="L343"/>
    </row>
    <row r="344" spans="2:12" ht="16.5" x14ac:dyDescent="0.25">
      <c r="B344" s="9" t="s">
        <v>823</v>
      </c>
      <c r="C344" s="9" t="s">
        <v>35</v>
      </c>
      <c r="D344" s="9" t="s">
        <v>35</v>
      </c>
      <c r="E344" s="9" t="s">
        <v>36</v>
      </c>
      <c r="F344" s="9">
        <v>120000</v>
      </c>
      <c r="G344" s="9" t="s">
        <v>822</v>
      </c>
      <c r="H344" s="9">
        <f t="shared" si="11"/>
        <v>2019</v>
      </c>
      <c r="I344">
        <f t="shared" si="12"/>
        <v>12</v>
      </c>
      <c r="K344"/>
      <c r="L344"/>
    </row>
    <row r="345" spans="2:12" ht="16.5" x14ac:dyDescent="0.25">
      <c r="B345" s="9" t="s">
        <v>824</v>
      </c>
      <c r="C345" s="9" t="s">
        <v>37</v>
      </c>
      <c r="D345" s="9" t="s">
        <v>34</v>
      </c>
      <c r="E345" s="9" t="s">
        <v>37</v>
      </c>
      <c r="F345" s="9">
        <v>81000</v>
      </c>
      <c r="G345" s="9" t="s">
        <v>826</v>
      </c>
      <c r="H345" s="9">
        <f t="shared" si="11"/>
        <v>2019</v>
      </c>
      <c r="I345">
        <f t="shared" si="12"/>
        <v>12</v>
      </c>
      <c r="K345"/>
      <c r="L345"/>
    </row>
    <row r="346" spans="2:12" ht="16.5" x14ac:dyDescent="0.25">
      <c r="B346" s="9" t="s">
        <v>827</v>
      </c>
      <c r="C346" s="9" t="s">
        <v>40</v>
      </c>
      <c r="D346" s="9" t="s">
        <v>35</v>
      </c>
      <c r="E346" s="9" t="s">
        <v>39</v>
      </c>
      <c r="F346" s="9">
        <v>272000</v>
      </c>
      <c r="G346" s="9" t="s">
        <v>826</v>
      </c>
      <c r="H346" s="9">
        <f t="shared" si="11"/>
        <v>2019</v>
      </c>
      <c r="I346">
        <f t="shared" si="12"/>
        <v>12</v>
      </c>
      <c r="K346"/>
      <c r="L346"/>
    </row>
    <row r="347" spans="2:12" ht="16.5" x14ac:dyDescent="0.25">
      <c r="B347" s="9" t="s">
        <v>828</v>
      </c>
      <c r="C347" s="9" t="s">
        <v>39</v>
      </c>
      <c r="D347" s="9" t="s">
        <v>35</v>
      </c>
      <c r="E347" s="9" t="s">
        <v>34</v>
      </c>
      <c r="F347" s="9">
        <v>294000</v>
      </c>
      <c r="G347" s="9" t="s">
        <v>830</v>
      </c>
      <c r="H347" s="9">
        <f t="shared" si="11"/>
        <v>2020</v>
      </c>
      <c r="I347">
        <f t="shared" si="12"/>
        <v>1</v>
      </c>
      <c r="K347"/>
      <c r="L347"/>
    </row>
    <row r="348" spans="2:12" ht="16.5" x14ac:dyDescent="0.25">
      <c r="B348" s="9" t="s">
        <v>831</v>
      </c>
      <c r="C348" s="9" t="s">
        <v>34</v>
      </c>
      <c r="D348" s="9" t="s">
        <v>37</v>
      </c>
      <c r="E348" s="9" t="s">
        <v>37</v>
      </c>
      <c r="F348" s="9">
        <v>234000</v>
      </c>
      <c r="G348" s="9" t="s">
        <v>830</v>
      </c>
      <c r="H348" s="9">
        <f t="shared" si="11"/>
        <v>2020</v>
      </c>
      <c r="I348">
        <f t="shared" si="12"/>
        <v>1</v>
      </c>
      <c r="K348"/>
      <c r="L348"/>
    </row>
    <row r="349" spans="2:12" ht="16.5" x14ac:dyDescent="0.25">
      <c r="B349" s="9" t="s">
        <v>832</v>
      </c>
      <c r="C349" s="9" t="s">
        <v>36</v>
      </c>
      <c r="D349" s="9" t="s">
        <v>36</v>
      </c>
      <c r="E349" s="9" t="s">
        <v>34</v>
      </c>
      <c r="F349" s="9">
        <v>110000</v>
      </c>
      <c r="G349" s="9" t="s">
        <v>833</v>
      </c>
      <c r="H349" s="9">
        <f t="shared" si="11"/>
        <v>2020</v>
      </c>
      <c r="I349">
        <f t="shared" si="12"/>
        <v>1</v>
      </c>
      <c r="K349"/>
      <c r="L349"/>
    </row>
    <row r="350" spans="2:12" ht="16.5" x14ac:dyDescent="0.25">
      <c r="B350" s="9" t="s">
        <v>834</v>
      </c>
      <c r="C350" s="9" t="s">
        <v>34</v>
      </c>
      <c r="D350" s="9" t="s">
        <v>37</v>
      </c>
      <c r="E350" s="9" t="s">
        <v>39</v>
      </c>
      <c r="F350" s="9">
        <v>137000</v>
      </c>
      <c r="G350" s="9" t="s">
        <v>836</v>
      </c>
      <c r="H350" s="9">
        <f t="shared" si="11"/>
        <v>2020</v>
      </c>
      <c r="I350">
        <f t="shared" si="12"/>
        <v>1</v>
      </c>
      <c r="K350"/>
      <c r="L350"/>
    </row>
    <row r="351" spans="2:12" ht="16.5" x14ac:dyDescent="0.25">
      <c r="B351" s="9" t="s">
        <v>837</v>
      </c>
      <c r="C351" s="9" t="s">
        <v>56</v>
      </c>
      <c r="D351" s="9" t="s">
        <v>37</v>
      </c>
      <c r="E351" s="9" t="s">
        <v>38</v>
      </c>
      <c r="F351" s="9">
        <v>273000</v>
      </c>
      <c r="G351" s="9" t="s">
        <v>838</v>
      </c>
      <c r="H351" s="9">
        <f t="shared" si="11"/>
        <v>2020</v>
      </c>
      <c r="I351">
        <f t="shared" si="12"/>
        <v>1</v>
      </c>
      <c r="K351"/>
      <c r="L351"/>
    </row>
    <row r="352" spans="2:12" ht="16.5" x14ac:dyDescent="0.25">
      <c r="B352" s="9" t="s">
        <v>839</v>
      </c>
      <c r="C352" s="9" t="s">
        <v>34</v>
      </c>
      <c r="D352" s="9" t="s">
        <v>40</v>
      </c>
      <c r="E352" s="9" t="s">
        <v>35</v>
      </c>
      <c r="F352" s="9">
        <v>157000</v>
      </c>
      <c r="G352" s="9" t="s">
        <v>841</v>
      </c>
      <c r="H352" s="9">
        <f t="shared" si="11"/>
        <v>2020</v>
      </c>
      <c r="I352">
        <f t="shared" si="12"/>
        <v>1</v>
      </c>
      <c r="K352"/>
      <c r="L352"/>
    </row>
    <row r="353" spans="2:12" ht="16.5" x14ac:dyDescent="0.25">
      <c r="B353" s="9" t="s">
        <v>842</v>
      </c>
      <c r="C353" s="9" t="s">
        <v>38</v>
      </c>
      <c r="D353" s="9" t="s">
        <v>38</v>
      </c>
      <c r="E353" s="9" t="s">
        <v>36</v>
      </c>
      <c r="F353" s="9">
        <v>212000</v>
      </c>
      <c r="G353" s="9" t="s">
        <v>843</v>
      </c>
      <c r="H353" s="9">
        <f t="shared" si="11"/>
        <v>2020</v>
      </c>
      <c r="I353">
        <f t="shared" si="12"/>
        <v>1</v>
      </c>
      <c r="K353"/>
      <c r="L353"/>
    </row>
    <row r="354" spans="2:12" ht="16.5" x14ac:dyDescent="0.25">
      <c r="B354" s="9" t="s">
        <v>844</v>
      </c>
      <c r="C354" s="9" t="s">
        <v>38</v>
      </c>
      <c r="D354" s="9" t="s">
        <v>35</v>
      </c>
      <c r="E354" s="9" t="s">
        <v>38</v>
      </c>
      <c r="F354" s="9">
        <v>281000</v>
      </c>
      <c r="G354" s="9" t="s">
        <v>843</v>
      </c>
      <c r="H354" s="9">
        <f t="shared" si="11"/>
        <v>2020</v>
      </c>
      <c r="I354">
        <f t="shared" si="12"/>
        <v>1</v>
      </c>
      <c r="K354"/>
      <c r="L354"/>
    </row>
    <row r="355" spans="2:12" ht="16.5" x14ac:dyDescent="0.25">
      <c r="B355" s="9" t="s">
        <v>845</v>
      </c>
      <c r="C355" s="9" t="s">
        <v>34</v>
      </c>
      <c r="D355" s="9" t="s">
        <v>38</v>
      </c>
      <c r="E355" s="9" t="s">
        <v>35</v>
      </c>
      <c r="F355" s="9">
        <v>91000</v>
      </c>
      <c r="G355" s="9" t="s">
        <v>843</v>
      </c>
      <c r="H355" s="9">
        <f t="shared" si="11"/>
        <v>2020</v>
      </c>
      <c r="I355">
        <f t="shared" si="12"/>
        <v>1</v>
      </c>
      <c r="K355"/>
      <c r="L355"/>
    </row>
    <row r="356" spans="2:12" ht="16.5" x14ac:dyDescent="0.25">
      <c r="B356" s="9" t="s">
        <v>846</v>
      </c>
      <c r="C356" s="9" t="s">
        <v>37</v>
      </c>
      <c r="D356" s="9" t="s">
        <v>39</v>
      </c>
      <c r="E356" s="9" t="s">
        <v>34</v>
      </c>
      <c r="F356" s="9">
        <v>85000</v>
      </c>
      <c r="G356" s="9" t="s">
        <v>847</v>
      </c>
      <c r="H356" s="9">
        <f t="shared" si="11"/>
        <v>2020</v>
      </c>
      <c r="I356">
        <f t="shared" si="12"/>
        <v>1</v>
      </c>
      <c r="K356"/>
      <c r="L356"/>
    </row>
    <row r="357" spans="2:12" ht="16.5" x14ac:dyDescent="0.25">
      <c r="B357" s="9" t="s">
        <v>848</v>
      </c>
      <c r="C357" s="9" t="s">
        <v>35</v>
      </c>
      <c r="D357" s="9" t="s">
        <v>39</v>
      </c>
      <c r="E357" s="9" t="s">
        <v>36</v>
      </c>
      <c r="F357" s="9">
        <v>170000</v>
      </c>
      <c r="G357" s="9" t="s">
        <v>847</v>
      </c>
      <c r="H357" s="9">
        <f t="shared" si="11"/>
        <v>2020</v>
      </c>
      <c r="I357">
        <f t="shared" si="12"/>
        <v>1</v>
      </c>
      <c r="K357"/>
      <c r="L357"/>
    </row>
    <row r="358" spans="2:12" ht="16.5" x14ac:dyDescent="0.25">
      <c r="B358" s="9" t="s">
        <v>849</v>
      </c>
      <c r="C358" s="9" t="s">
        <v>40</v>
      </c>
      <c r="D358" s="9" t="s">
        <v>39</v>
      </c>
      <c r="E358" s="9" t="s">
        <v>35</v>
      </c>
      <c r="F358" s="9">
        <v>213000</v>
      </c>
      <c r="G358" s="9" t="s">
        <v>850</v>
      </c>
      <c r="H358" s="9">
        <f t="shared" si="11"/>
        <v>2020</v>
      </c>
      <c r="I358">
        <f t="shared" si="12"/>
        <v>1</v>
      </c>
      <c r="K358"/>
      <c r="L358"/>
    </row>
    <row r="359" spans="2:12" ht="16.5" x14ac:dyDescent="0.25">
      <c r="B359" s="9" t="s">
        <v>851</v>
      </c>
      <c r="C359" s="9" t="s">
        <v>40</v>
      </c>
      <c r="D359" s="9" t="s">
        <v>39</v>
      </c>
      <c r="E359" s="9" t="s">
        <v>34</v>
      </c>
      <c r="F359" s="9">
        <v>107000</v>
      </c>
      <c r="G359" s="9" t="s">
        <v>850</v>
      </c>
      <c r="H359" s="9">
        <f t="shared" si="11"/>
        <v>2020</v>
      </c>
      <c r="I359">
        <f t="shared" si="12"/>
        <v>1</v>
      </c>
      <c r="K359"/>
      <c r="L359"/>
    </row>
    <row r="360" spans="2:12" ht="16.5" x14ac:dyDescent="0.25">
      <c r="B360" s="9" t="s">
        <v>852</v>
      </c>
      <c r="C360" s="9" t="s">
        <v>40</v>
      </c>
      <c r="D360" s="9" t="s">
        <v>39</v>
      </c>
      <c r="E360" s="9" t="s">
        <v>39</v>
      </c>
      <c r="F360" s="9">
        <v>216000</v>
      </c>
      <c r="G360" s="9" t="s">
        <v>853</v>
      </c>
      <c r="H360" s="9">
        <f t="shared" si="11"/>
        <v>2020</v>
      </c>
      <c r="I360">
        <f t="shared" si="12"/>
        <v>1</v>
      </c>
      <c r="K360"/>
      <c r="L360"/>
    </row>
    <row r="361" spans="2:12" ht="16.5" x14ac:dyDescent="0.25">
      <c r="B361" s="9" t="s">
        <v>854</v>
      </c>
      <c r="C361" s="9" t="s">
        <v>34</v>
      </c>
      <c r="D361" s="9" t="s">
        <v>38</v>
      </c>
      <c r="E361" s="9" t="s">
        <v>39</v>
      </c>
      <c r="F361" s="9">
        <v>117000</v>
      </c>
      <c r="G361" s="9" t="s">
        <v>856</v>
      </c>
      <c r="H361" s="9">
        <f t="shared" si="11"/>
        <v>2020</v>
      </c>
      <c r="I361">
        <f t="shared" si="12"/>
        <v>1</v>
      </c>
      <c r="K361"/>
      <c r="L361"/>
    </row>
    <row r="362" spans="2:12" ht="16.5" x14ac:dyDescent="0.25">
      <c r="B362" s="9" t="s">
        <v>857</v>
      </c>
      <c r="C362" s="9" t="s">
        <v>56</v>
      </c>
      <c r="D362" s="9" t="s">
        <v>34</v>
      </c>
      <c r="E362" s="9" t="s">
        <v>34</v>
      </c>
      <c r="F362" s="9">
        <v>238000</v>
      </c>
      <c r="G362" s="9" t="s">
        <v>858</v>
      </c>
      <c r="H362" s="9">
        <f t="shared" si="11"/>
        <v>2020</v>
      </c>
      <c r="I362">
        <f t="shared" si="12"/>
        <v>1</v>
      </c>
      <c r="K362"/>
      <c r="L362"/>
    </row>
    <row r="363" spans="2:12" ht="16.5" x14ac:dyDescent="0.25">
      <c r="B363" s="9" t="s">
        <v>859</v>
      </c>
      <c r="C363" s="9" t="s">
        <v>34</v>
      </c>
      <c r="D363" s="9" t="s">
        <v>38</v>
      </c>
      <c r="E363" s="9" t="s">
        <v>38</v>
      </c>
      <c r="F363" s="9">
        <v>274000</v>
      </c>
      <c r="G363" s="9" t="s">
        <v>858</v>
      </c>
      <c r="H363" s="9">
        <f t="shared" si="11"/>
        <v>2020</v>
      </c>
      <c r="I363">
        <f t="shared" si="12"/>
        <v>1</v>
      </c>
      <c r="K363"/>
      <c r="L363"/>
    </row>
    <row r="364" spans="2:12" ht="16.5" x14ac:dyDescent="0.25">
      <c r="B364" s="9" t="s">
        <v>860</v>
      </c>
      <c r="C364" s="9" t="s">
        <v>37</v>
      </c>
      <c r="D364" s="9" t="s">
        <v>40</v>
      </c>
      <c r="E364" s="9" t="s">
        <v>35</v>
      </c>
      <c r="F364" s="9">
        <v>197000</v>
      </c>
      <c r="G364" s="9" t="s">
        <v>861</v>
      </c>
      <c r="H364" s="9">
        <f t="shared" si="11"/>
        <v>2020</v>
      </c>
      <c r="I364">
        <f t="shared" si="12"/>
        <v>1</v>
      </c>
      <c r="K364"/>
      <c r="L364"/>
    </row>
    <row r="365" spans="2:12" ht="16.5" x14ac:dyDescent="0.25">
      <c r="B365" s="9" t="s">
        <v>862</v>
      </c>
      <c r="C365" s="9" t="s">
        <v>40</v>
      </c>
      <c r="D365" s="9" t="s">
        <v>34</v>
      </c>
      <c r="E365" s="9" t="s">
        <v>35</v>
      </c>
      <c r="F365" s="9">
        <v>124000</v>
      </c>
      <c r="G365" s="9" t="s">
        <v>863</v>
      </c>
      <c r="H365" s="9">
        <f t="shared" si="11"/>
        <v>2020</v>
      </c>
      <c r="I365">
        <f t="shared" si="12"/>
        <v>1</v>
      </c>
      <c r="K365"/>
      <c r="L365"/>
    </row>
    <row r="366" spans="2:12" ht="16.5" x14ac:dyDescent="0.25">
      <c r="B366" s="9" t="s">
        <v>864</v>
      </c>
      <c r="C366" s="9" t="s">
        <v>40</v>
      </c>
      <c r="D366" s="9" t="s">
        <v>35</v>
      </c>
      <c r="E366" s="9" t="s">
        <v>35</v>
      </c>
      <c r="F366" s="9">
        <v>42000</v>
      </c>
      <c r="G366" s="9" t="s">
        <v>866</v>
      </c>
      <c r="H366" s="9">
        <f t="shared" si="11"/>
        <v>2020</v>
      </c>
      <c r="I366">
        <f t="shared" si="12"/>
        <v>1</v>
      </c>
      <c r="K366"/>
      <c r="L366"/>
    </row>
    <row r="367" spans="2:12" ht="16.5" x14ac:dyDescent="0.25">
      <c r="B367" s="9" t="s">
        <v>867</v>
      </c>
      <c r="C367" s="9" t="s">
        <v>59</v>
      </c>
      <c r="D367" s="9" t="s">
        <v>35</v>
      </c>
      <c r="E367" s="9" t="s">
        <v>36</v>
      </c>
      <c r="F367" s="9">
        <v>68000</v>
      </c>
      <c r="G367" s="9" t="s">
        <v>866</v>
      </c>
      <c r="H367" s="9">
        <f t="shared" si="11"/>
        <v>2020</v>
      </c>
      <c r="I367">
        <f t="shared" si="12"/>
        <v>1</v>
      </c>
      <c r="K367"/>
      <c r="L367"/>
    </row>
    <row r="368" spans="2:12" ht="16.5" x14ac:dyDescent="0.25">
      <c r="B368" s="9" t="s">
        <v>869</v>
      </c>
      <c r="C368" s="9" t="s">
        <v>39</v>
      </c>
      <c r="D368" s="9" t="s">
        <v>37</v>
      </c>
      <c r="E368" s="9" t="s">
        <v>38</v>
      </c>
      <c r="F368" s="9">
        <v>152000</v>
      </c>
      <c r="G368" s="9" t="s">
        <v>870</v>
      </c>
      <c r="H368" s="9">
        <f t="shared" si="11"/>
        <v>2020</v>
      </c>
      <c r="I368">
        <f t="shared" si="12"/>
        <v>1</v>
      </c>
      <c r="K368"/>
      <c r="L368"/>
    </row>
    <row r="369" spans="2:12" ht="16.5" x14ac:dyDescent="0.25">
      <c r="B369" s="9" t="s">
        <v>871</v>
      </c>
      <c r="C369" s="9" t="s">
        <v>34</v>
      </c>
      <c r="D369" s="9" t="s">
        <v>37</v>
      </c>
      <c r="E369" s="9" t="s">
        <v>38</v>
      </c>
      <c r="F369" s="9">
        <v>106000</v>
      </c>
      <c r="G369" s="9" t="s">
        <v>872</v>
      </c>
      <c r="H369" s="9">
        <f t="shared" si="11"/>
        <v>2020</v>
      </c>
      <c r="I369">
        <f t="shared" si="12"/>
        <v>1</v>
      </c>
      <c r="K369"/>
      <c r="L369"/>
    </row>
    <row r="370" spans="2:12" ht="16.5" x14ac:dyDescent="0.25">
      <c r="B370" s="9" t="s">
        <v>873</v>
      </c>
      <c r="C370" s="9" t="s">
        <v>35</v>
      </c>
      <c r="D370" s="9" t="s">
        <v>34</v>
      </c>
      <c r="E370" s="9" t="s">
        <v>39</v>
      </c>
      <c r="F370" s="9">
        <v>241000</v>
      </c>
      <c r="G370" s="9" t="s">
        <v>875</v>
      </c>
      <c r="H370" s="9">
        <f t="shared" si="11"/>
        <v>2020</v>
      </c>
      <c r="I370">
        <f t="shared" si="12"/>
        <v>1</v>
      </c>
      <c r="K370"/>
      <c r="L370"/>
    </row>
    <row r="371" spans="2:12" ht="16.5" x14ac:dyDescent="0.25">
      <c r="B371" s="9" t="s">
        <v>876</v>
      </c>
      <c r="C371" s="9" t="s">
        <v>38</v>
      </c>
      <c r="D371" s="9" t="s">
        <v>39</v>
      </c>
      <c r="E371" s="9" t="s">
        <v>38</v>
      </c>
      <c r="F371" s="9">
        <v>282000</v>
      </c>
      <c r="G371" s="9" t="s">
        <v>877</v>
      </c>
      <c r="H371" s="9">
        <f t="shared" si="11"/>
        <v>2020</v>
      </c>
      <c r="I371">
        <f t="shared" si="12"/>
        <v>1</v>
      </c>
      <c r="K371"/>
      <c r="L371"/>
    </row>
    <row r="372" spans="2:12" ht="16.5" x14ac:dyDescent="0.25">
      <c r="B372" s="9" t="s">
        <v>878</v>
      </c>
      <c r="C372" s="9" t="s">
        <v>40</v>
      </c>
      <c r="D372" s="9" t="s">
        <v>37</v>
      </c>
      <c r="E372" s="9" t="s">
        <v>38</v>
      </c>
      <c r="F372" s="9">
        <v>139000</v>
      </c>
      <c r="G372" s="9" t="s">
        <v>877</v>
      </c>
      <c r="H372" s="9">
        <f t="shared" si="11"/>
        <v>2020</v>
      </c>
      <c r="I372">
        <f t="shared" si="12"/>
        <v>1</v>
      </c>
      <c r="K372"/>
      <c r="L372"/>
    </row>
    <row r="373" spans="2:12" ht="16.5" x14ac:dyDescent="0.25">
      <c r="B373" s="9" t="s">
        <v>879</v>
      </c>
      <c r="C373" s="9" t="s">
        <v>56</v>
      </c>
      <c r="D373" s="9" t="s">
        <v>39</v>
      </c>
      <c r="E373" s="9" t="s">
        <v>39</v>
      </c>
      <c r="F373" s="9">
        <v>296000</v>
      </c>
      <c r="G373" s="9" t="s">
        <v>877</v>
      </c>
      <c r="H373" s="9">
        <f t="shared" si="11"/>
        <v>2020</v>
      </c>
      <c r="I373">
        <f t="shared" si="12"/>
        <v>1</v>
      </c>
      <c r="K373"/>
      <c r="L373"/>
    </row>
    <row r="374" spans="2:12" ht="16.5" x14ac:dyDescent="0.25">
      <c r="B374" s="9" t="s">
        <v>880</v>
      </c>
      <c r="C374" s="9" t="s">
        <v>56</v>
      </c>
      <c r="D374" s="9" t="s">
        <v>34</v>
      </c>
      <c r="E374" s="9" t="s">
        <v>34</v>
      </c>
      <c r="F374" s="9">
        <v>166000</v>
      </c>
      <c r="G374" s="9" t="s">
        <v>881</v>
      </c>
      <c r="H374" s="9">
        <f t="shared" si="11"/>
        <v>2020</v>
      </c>
      <c r="I374">
        <f t="shared" si="12"/>
        <v>1</v>
      </c>
      <c r="K374"/>
      <c r="L374"/>
    </row>
    <row r="375" spans="2:12" ht="16.5" x14ac:dyDescent="0.25">
      <c r="B375" s="9" t="s">
        <v>882</v>
      </c>
      <c r="C375" s="9" t="s">
        <v>38</v>
      </c>
      <c r="D375" s="9" t="s">
        <v>37</v>
      </c>
      <c r="E375" s="9" t="s">
        <v>37</v>
      </c>
      <c r="F375" s="9">
        <v>47000</v>
      </c>
      <c r="G375" s="9" t="s">
        <v>883</v>
      </c>
      <c r="H375" s="9">
        <f t="shared" si="11"/>
        <v>2020</v>
      </c>
      <c r="I375">
        <f t="shared" si="12"/>
        <v>2</v>
      </c>
      <c r="K375"/>
      <c r="L375"/>
    </row>
    <row r="376" spans="2:12" ht="16.5" x14ac:dyDescent="0.25">
      <c r="B376" s="9" t="s">
        <v>884</v>
      </c>
      <c r="C376" s="9" t="s">
        <v>37</v>
      </c>
      <c r="D376" s="9" t="s">
        <v>39</v>
      </c>
      <c r="E376" s="9" t="s">
        <v>36</v>
      </c>
      <c r="F376" s="9">
        <v>51000</v>
      </c>
      <c r="G376" s="9" t="s">
        <v>885</v>
      </c>
      <c r="H376" s="9">
        <f t="shared" si="11"/>
        <v>2020</v>
      </c>
      <c r="I376">
        <f t="shared" si="12"/>
        <v>2</v>
      </c>
      <c r="K376"/>
      <c r="L376"/>
    </row>
    <row r="377" spans="2:12" ht="16.5" x14ac:dyDescent="0.25">
      <c r="B377" s="9" t="s">
        <v>886</v>
      </c>
      <c r="C377" s="9" t="s">
        <v>39</v>
      </c>
      <c r="D377" s="9" t="s">
        <v>34</v>
      </c>
      <c r="E377" s="9" t="s">
        <v>38</v>
      </c>
      <c r="F377" s="9">
        <v>281000</v>
      </c>
      <c r="G377" s="9" t="s">
        <v>885</v>
      </c>
      <c r="H377" s="9">
        <f t="shared" si="11"/>
        <v>2020</v>
      </c>
      <c r="I377">
        <f t="shared" si="12"/>
        <v>2</v>
      </c>
      <c r="K377"/>
      <c r="L377"/>
    </row>
    <row r="378" spans="2:12" ht="16.5" x14ac:dyDescent="0.25">
      <c r="B378" s="9" t="s">
        <v>887</v>
      </c>
      <c r="C378" s="9" t="s">
        <v>56</v>
      </c>
      <c r="D378" s="9" t="s">
        <v>34</v>
      </c>
      <c r="E378" s="9" t="s">
        <v>39</v>
      </c>
      <c r="F378" s="9">
        <v>284000</v>
      </c>
      <c r="G378" s="9" t="s">
        <v>888</v>
      </c>
      <c r="H378" s="9">
        <f t="shared" si="11"/>
        <v>2020</v>
      </c>
      <c r="I378">
        <f t="shared" si="12"/>
        <v>2</v>
      </c>
      <c r="K378"/>
      <c r="L378"/>
    </row>
    <row r="379" spans="2:12" ht="16.5" x14ac:dyDescent="0.25">
      <c r="B379" s="9" t="s">
        <v>889</v>
      </c>
      <c r="C379" s="9" t="s">
        <v>36</v>
      </c>
      <c r="D379" s="9" t="s">
        <v>37</v>
      </c>
      <c r="E379" s="9" t="s">
        <v>37</v>
      </c>
      <c r="F379" s="9">
        <v>271000</v>
      </c>
      <c r="G379" s="9" t="s">
        <v>890</v>
      </c>
      <c r="H379" s="9">
        <f t="shared" si="11"/>
        <v>2020</v>
      </c>
      <c r="I379">
        <f t="shared" si="12"/>
        <v>2</v>
      </c>
      <c r="K379"/>
      <c r="L379"/>
    </row>
    <row r="380" spans="2:12" ht="16.5" x14ac:dyDescent="0.25">
      <c r="B380" s="9" t="s">
        <v>891</v>
      </c>
      <c r="C380" s="9" t="s">
        <v>37</v>
      </c>
      <c r="D380" s="9" t="s">
        <v>34</v>
      </c>
      <c r="E380" s="9" t="s">
        <v>38</v>
      </c>
      <c r="F380" s="9">
        <v>161000</v>
      </c>
      <c r="G380" s="9" t="s">
        <v>892</v>
      </c>
      <c r="H380" s="9">
        <f t="shared" si="11"/>
        <v>2020</v>
      </c>
      <c r="I380">
        <f t="shared" si="12"/>
        <v>2</v>
      </c>
      <c r="K380"/>
      <c r="L380"/>
    </row>
    <row r="381" spans="2:12" ht="16.5" x14ac:dyDescent="0.25">
      <c r="B381" s="9" t="s">
        <v>893</v>
      </c>
      <c r="C381" s="9" t="s">
        <v>59</v>
      </c>
      <c r="D381" s="9" t="s">
        <v>37</v>
      </c>
      <c r="E381" s="9" t="s">
        <v>35</v>
      </c>
      <c r="F381" s="9">
        <v>36000</v>
      </c>
      <c r="G381" s="9" t="s">
        <v>894</v>
      </c>
      <c r="H381" s="9">
        <f t="shared" si="11"/>
        <v>2020</v>
      </c>
      <c r="I381">
        <f t="shared" si="12"/>
        <v>2</v>
      </c>
      <c r="K381"/>
      <c r="L381"/>
    </row>
    <row r="382" spans="2:12" ht="16.5" x14ac:dyDescent="0.25">
      <c r="B382" s="9" t="s">
        <v>895</v>
      </c>
      <c r="C382" s="9" t="s">
        <v>38</v>
      </c>
      <c r="D382" s="9" t="s">
        <v>35</v>
      </c>
      <c r="E382" s="9" t="s">
        <v>38</v>
      </c>
      <c r="F382" s="9">
        <v>298000</v>
      </c>
      <c r="G382" s="9" t="s">
        <v>894</v>
      </c>
      <c r="H382" s="9">
        <f t="shared" si="11"/>
        <v>2020</v>
      </c>
      <c r="I382">
        <f t="shared" si="12"/>
        <v>2</v>
      </c>
      <c r="K382"/>
      <c r="L382"/>
    </row>
    <row r="383" spans="2:12" ht="16.5" x14ac:dyDescent="0.25">
      <c r="B383" s="9" t="s">
        <v>897</v>
      </c>
      <c r="C383" s="9" t="s">
        <v>56</v>
      </c>
      <c r="D383" s="9" t="s">
        <v>35</v>
      </c>
      <c r="E383" s="9" t="s">
        <v>39</v>
      </c>
      <c r="F383" s="9">
        <v>86000</v>
      </c>
      <c r="G383" s="9" t="s">
        <v>898</v>
      </c>
      <c r="H383" s="9">
        <f t="shared" si="11"/>
        <v>2020</v>
      </c>
      <c r="I383">
        <f t="shared" si="12"/>
        <v>2</v>
      </c>
      <c r="K383"/>
      <c r="L383"/>
    </row>
    <row r="384" spans="2:12" ht="16.5" x14ac:dyDescent="0.25">
      <c r="B384" s="9" t="s">
        <v>899</v>
      </c>
      <c r="C384" s="9" t="s">
        <v>35</v>
      </c>
      <c r="D384" s="9" t="s">
        <v>39</v>
      </c>
      <c r="E384" s="9" t="s">
        <v>34</v>
      </c>
      <c r="F384" s="9">
        <v>71000</v>
      </c>
      <c r="G384" s="9" t="s">
        <v>898</v>
      </c>
      <c r="H384" s="9">
        <f t="shared" si="11"/>
        <v>2020</v>
      </c>
      <c r="I384">
        <f t="shared" si="12"/>
        <v>2</v>
      </c>
      <c r="K384"/>
      <c r="L384"/>
    </row>
    <row r="385" spans="2:12" ht="16.5" x14ac:dyDescent="0.25">
      <c r="B385" s="9" t="s">
        <v>900</v>
      </c>
      <c r="C385" s="9" t="s">
        <v>34</v>
      </c>
      <c r="D385" s="9" t="s">
        <v>38</v>
      </c>
      <c r="E385" s="9" t="s">
        <v>35</v>
      </c>
      <c r="F385" s="9">
        <v>123000</v>
      </c>
      <c r="G385" s="9" t="s">
        <v>901</v>
      </c>
      <c r="H385" s="9">
        <f t="shared" si="11"/>
        <v>2020</v>
      </c>
      <c r="I385">
        <f t="shared" si="12"/>
        <v>2</v>
      </c>
      <c r="K385"/>
      <c r="L385"/>
    </row>
    <row r="386" spans="2:12" ht="16.5" x14ac:dyDescent="0.25">
      <c r="B386" s="9" t="s">
        <v>902</v>
      </c>
      <c r="C386" s="9" t="s">
        <v>40</v>
      </c>
      <c r="D386" s="9" t="s">
        <v>37</v>
      </c>
      <c r="E386" s="9" t="s">
        <v>38</v>
      </c>
      <c r="F386" s="9">
        <v>175000</v>
      </c>
      <c r="G386" s="9" t="s">
        <v>901</v>
      </c>
      <c r="H386" s="9">
        <f t="shared" si="11"/>
        <v>2020</v>
      </c>
      <c r="I386">
        <f t="shared" si="12"/>
        <v>2</v>
      </c>
      <c r="K386"/>
      <c r="L386"/>
    </row>
    <row r="387" spans="2:12" ht="16.5" x14ac:dyDescent="0.25">
      <c r="B387" s="9" t="s">
        <v>903</v>
      </c>
      <c r="C387" s="9" t="s">
        <v>56</v>
      </c>
      <c r="D387" s="9" t="s">
        <v>39</v>
      </c>
      <c r="E387" s="9" t="s">
        <v>38</v>
      </c>
      <c r="F387" s="9">
        <v>113000</v>
      </c>
      <c r="G387" s="9" t="s">
        <v>904</v>
      </c>
      <c r="H387" s="9">
        <f t="shared" ref="H387:H450" si="13">YEAR(G387)</f>
        <v>2020</v>
      </c>
      <c r="I387">
        <f t="shared" ref="I387:I450" si="14">MONTH(G387)</f>
        <v>2</v>
      </c>
      <c r="K387"/>
      <c r="L387"/>
    </row>
    <row r="388" spans="2:12" ht="16.5" x14ac:dyDescent="0.25">
      <c r="B388" s="9" t="s">
        <v>905</v>
      </c>
      <c r="C388" s="9" t="s">
        <v>37</v>
      </c>
      <c r="D388" s="9" t="s">
        <v>36</v>
      </c>
      <c r="E388" s="9" t="s">
        <v>39</v>
      </c>
      <c r="F388" s="9">
        <v>270000</v>
      </c>
      <c r="G388" s="9" t="s">
        <v>906</v>
      </c>
      <c r="H388" s="9">
        <f t="shared" si="13"/>
        <v>2020</v>
      </c>
      <c r="I388">
        <f t="shared" si="14"/>
        <v>2</v>
      </c>
      <c r="K388"/>
      <c r="L388"/>
    </row>
    <row r="389" spans="2:12" ht="16.5" x14ac:dyDescent="0.25">
      <c r="B389" s="9" t="s">
        <v>907</v>
      </c>
      <c r="C389" s="9" t="s">
        <v>35</v>
      </c>
      <c r="D389" s="9" t="s">
        <v>40</v>
      </c>
      <c r="E389" s="9" t="s">
        <v>37</v>
      </c>
      <c r="F389" s="9">
        <v>191000</v>
      </c>
      <c r="G389" s="9" t="s">
        <v>908</v>
      </c>
      <c r="H389" s="9">
        <f t="shared" si="13"/>
        <v>2020</v>
      </c>
      <c r="I389">
        <f t="shared" si="14"/>
        <v>2</v>
      </c>
      <c r="K389"/>
      <c r="L389"/>
    </row>
    <row r="390" spans="2:12" ht="16.5" x14ac:dyDescent="0.25">
      <c r="B390" s="9" t="s">
        <v>909</v>
      </c>
      <c r="C390" s="9" t="s">
        <v>59</v>
      </c>
      <c r="D390" s="9" t="s">
        <v>38</v>
      </c>
      <c r="E390" s="9" t="s">
        <v>35</v>
      </c>
      <c r="F390" s="9">
        <v>46000</v>
      </c>
      <c r="G390" s="9" t="s">
        <v>910</v>
      </c>
      <c r="H390" s="9">
        <f t="shared" si="13"/>
        <v>2020</v>
      </c>
      <c r="I390">
        <f t="shared" si="14"/>
        <v>2</v>
      </c>
      <c r="K390"/>
      <c r="L390"/>
    </row>
    <row r="391" spans="2:12" ht="16.5" x14ac:dyDescent="0.25">
      <c r="B391" s="9" t="s">
        <v>911</v>
      </c>
      <c r="C391" s="9" t="s">
        <v>38</v>
      </c>
      <c r="D391" s="9" t="s">
        <v>37</v>
      </c>
      <c r="E391" s="9" t="s">
        <v>36</v>
      </c>
      <c r="F391" s="9">
        <v>261000</v>
      </c>
      <c r="G391" s="9" t="s">
        <v>912</v>
      </c>
      <c r="H391" s="9">
        <f t="shared" si="13"/>
        <v>2020</v>
      </c>
      <c r="I391">
        <f t="shared" si="14"/>
        <v>2</v>
      </c>
      <c r="K391"/>
      <c r="L391"/>
    </row>
    <row r="392" spans="2:12" ht="16.5" x14ac:dyDescent="0.25">
      <c r="B392" s="9" t="s">
        <v>913</v>
      </c>
      <c r="C392" s="9" t="s">
        <v>36</v>
      </c>
      <c r="D392" s="9" t="s">
        <v>35</v>
      </c>
      <c r="E392" s="9" t="s">
        <v>34</v>
      </c>
      <c r="F392" s="9">
        <v>35000</v>
      </c>
      <c r="G392" s="9" t="s">
        <v>915</v>
      </c>
      <c r="H392" s="9">
        <f t="shared" si="13"/>
        <v>2020</v>
      </c>
      <c r="I392">
        <f t="shared" si="14"/>
        <v>2</v>
      </c>
      <c r="K392"/>
      <c r="L392"/>
    </row>
    <row r="393" spans="2:12" ht="16.5" x14ac:dyDescent="0.25">
      <c r="B393" s="9" t="s">
        <v>916</v>
      </c>
      <c r="C393" s="9" t="s">
        <v>59</v>
      </c>
      <c r="D393" s="9" t="s">
        <v>36</v>
      </c>
      <c r="E393" s="9" t="s">
        <v>39</v>
      </c>
      <c r="F393" s="9">
        <v>264000</v>
      </c>
      <c r="G393" s="9" t="s">
        <v>915</v>
      </c>
      <c r="H393" s="9">
        <f t="shared" si="13"/>
        <v>2020</v>
      </c>
      <c r="I393">
        <f t="shared" si="14"/>
        <v>2</v>
      </c>
      <c r="K393"/>
      <c r="L393"/>
    </row>
    <row r="394" spans="2:12" ht="16.5" x14ac:dyDescent="0.25">
      <c r="B394" s="9" t="s">
        <v>917</v>
      </c>
      <c r="C394" s="9" t="s">
        <v>35</v>
      </c>
      <c r="D394" s="9" t="s">
        <v>40</v>
      </c>
      <c r="E394" s="9" t="s">
        <v>38</v>
      </c>
      <c r="F394" s="9">
        <v>63000</v>
      </c>
      <c r="G394" s="9" t="s">
        <v>918</v>
      </c>
      <c r="H394" s="9">
        <f t="shared" si="13"/>
        <v>2020</v>
      </c>
      <c r="I394">
        <f t="shared" si="14"/>
        <v>2</v>
      </c>
      <c r="K394"/>
      <c r="L394"/>
    </row>
    <row r="395" spans="2:12" ht="16.5" x14ac:dyDescent="0.25">
      <c r="B395" s="9" t="s">
        <v>919</v>
      </c>
      <c r="C395" s="9" t="s">
        <v>39</v>
      </c>
      <c r="D395" s="9" t="s">
        <v>39</v>
      </c>
      <c r="E395" s="9" t="s">
        <v>36</v>
      </c>
      <c r="F395" s="9">
        <v>134000</v>
      </c>
      <c r="G395" s="9" t="s">
        <v>918</v>
      </c>
      <c r="H395" s="9">
        <f t="shared" si="13"/>
        <v>2020</v>
      </c>
      <c r="I395">
        <f t="shared" si="14"/>
        <v>2</v>
      </c>
      <c r="K395"/>
      <c r="L395"/>
    </row>
    <row r="396" spans="2:12" ht="16.5" x14ac:dyDescent="0.25">
      <c r="B396" s="9" t="s">
        <v>921</v>
      </c>
      <c r="C396" s="9" t="s">
        <v>36</v>
      </c>
      <c r="D396" s="9" t="s">
        <v>34</v>
      </c>
      <c r="E396" s="9" t="s">
        <v>34</v>
      </c>
      <c r="F396" s="9">
        <v>253000</v>
      </c>
      <c r="G396" s="9" t="s">
        <v>923</v>
      </c>
      <c r="H396" s="9">
        <f t="shared" si="13"/>
        <v>2020</v>
      </c>
      <c r="I396">
        <f t="shared" si="14"/>
        <v>2</v>
      </c>
      <c r="K396"/>
      <c r="L396"/>
    </row>
    <row r="397" spans="2:12" ht="16.5" x14ac:dyDescent="0.25">
      <c r="B397" s="9" t="s">
        <v>924</v>
      </c>
      <c r="C397" s="9" t="s">
        <v>34</v>
      </c>
      <c r="D397" s="9" t="s">
        <v>40</v>
      </c>
      <c r="E397" s="9" t="s">
        <v>38</v>
      </c>
      <c r="F397" s="9">
        <v>87000</v>
      </c>
      <c r="G397" s="9" t="s">
        <v>926</v>
      </c>
      <c r="H397" s="9">
        <f t="shared" si="13"/>
        <v>2020</v>
      </c>
      <c r="I397">
        <f t="shared" si="14"/>
        <v>2</v>
      </c>
      <c r="K397"/>
      <c r="L397"/>
    </row>
    <row r="398" spans="2:12" ht="16.5" x14ac:dyDescent="0.25">
      <c r="B398" s="9" t="s">
        <v>927</v>
      </c>
      <c r="C398" s="9" t="s">
        <v>38</v>
      </c>
      <c r="D398" s="9" t="s">
        <v>38</v>
      </c>
      <c r="E398" s="9" t="s">
        <v>35</v>
      </c>
      <c r="F398" s="9">
        <v>253000</v>
      </c>
      <c r="G398" s="9" t="s">
        <v>926</v>
      </c>
      <c r="H398" s="9">
        <f t="shared" si="13"/>
        <v>2020</v>
      </c>
      <c r="I398">
        <f t="shared" si="14"/>
        <v>2</v>
      </c>
      <c r="K398"/>
      <c r="L398"/>
    </row>
    <row r="399" spans="2:12" ht="16.5" x14ac:dyDescent="0.25">
      <c r="B399" s="9" t="s">
        <v>928</v>
      </c>
      <c r="C399" s="9" t="s">
        <v>59</v>
      </c>
      <c r="D399" s="9" t="s">
        <v>37</v>
      </c>
      <c r="E399" s="9" t="s">
        <v>34</v>
      </c>
      <c r="F399" s="9">
        <v>237000</v>
      </c>
      <c r="G399" s="9" t="s">
        <v>929</v>
      </c>
      <c r="H399" s="9">
        <f t="shared" si="13"/>
        <v>2020</v>
      </c>
      <c r="I399">
        <f t="shared" si="14"/>
        <v>3</v>
      </c>
      <c r="K399"/>
      <c r="L399"/>
    </row>
    <row r="400" spans="2:12" ht="16.5" x14ac:dyDescent="0.25">
      <c r="B400" s="9" t="s">
        <v>930</v>
      </c>
      <c r="C400" s="9" t="s">
        <v>56</v>
      </c>
      <c r="D400" s="9" t="s">
        <v>36</v>
      </c>
      <c r="E400" s="9" t="s">
        <v>36</v>
      </c>
      <c r="F400" s="9">
        <v>129000</v>
      </c>
      <c r="G400" s="9" t="s">
        <v>932</v>
      </c>
      <c r="H400" s="9">
        <f t="shared" si="13"/>
        <v>2020</v>
      </c>
      <c r="I400">
        <f t="shared" si="14"/>
        <v>3</v>
      </c>
      <c r="K400"/>
      <c r="L400"/>
    </row>
    <row r="401" spans="2:12" ht="16.5" x14ac:dyDescent="0.25">
      <c r="B401" s="9" t="s">
        <v>933</v>
      </c>
      <c r="C401" s="9" t="s">
        <v>40</v>
      </c>
      <c r="D401" s="9" t="s">
        <v>38</v>
      </c>
      <c r="E401" s="9" t="s">
        <v>37</v>
      </c>
      <c r="F401" s="9">
        <v>168000</v>
      </c>
      <c r="G401" s="9" t="s">
        <v>934</v>
      </c>
      <c r="H401" s="9">
        <f t="shared" si="13"/>
        <v>2020</v>
      </c>
      <c r="I401">
        <f t="shared" si="14"/>
        <v>3</v>
      </c>
      <c r="K401"/>
      <c r="L401"/>
    </row>
    <row r="402" spans="2:12" ht="16.5" x14ac:dyDescent="0.25">
      <c r="B402" s="9" t="s">
        <v>935</v>
      </c>
      <c r="C402" s="9" t="s">
        <v>56</v>
      </c>
      <c r="D402" s="9" t="s">
        <v>34</v>
      </c>
      <c r="E402" s="9" t="s">
        <v>39</v>
      </c>
      <c r="F402" s="9">
        <v>174000</v>
      </c>
      <c r="G402" s="9" t="s">
        <v>936</v>
      </c>
      <c r="H402" s="9">
        <f t="shared" si="13"/>
        <v>2020</v>
      </c>
      <c r="I402">
        <f t="shared" si="14"/>
        <v>3</v>
      </c>
      <c r="K402"/>
      <c r="L402"/>
    </row>
    <row r="403" spans="2:12" ht="16.5" x14ac:dyDescent="0.25">
      <c r="B403" s="9" t="s">
        <v>937</v>
      </c>
      <c r="C403" s="9" t="s">
        <v>59</v>
      </c>
      <c r="D403" s="9" t="s">
        <v>34</v>
      </c>
      <c r="E403" s="9" t="s">
        <v>38</v>
      </c>
      <c r="F403" s="9">
        <v>210000</v>
      </c>
      <c r="G403" s="9" t="s">
        <v>938</v>
      </c>
      <c r="H403" s="9">
        <f t="shared" si="13"/>
        <v>2020</v>
      </c>
      <c r="I403">
        <f t="shared" si="14"/>
        <v>3</v>
      </c>
      <c r="K403"/>
      <c r="L403"/>
    </row>
    <row r="404" spans="2:12" ht="16.5" x14ac:dyDescent="0.25">
      <c r="B404" s="9" t="s">
        <v>939</v>
      </c>
      <c r="C404" s="9" t="s">
        <v>56</v>
      </c>
      <c r="D404" s="9" t="s">
        <v>34</v>
      </c>
      <c r="E404" s="9" t="s">
        <v>39</v>
      </c>
      <c r="F404" s="9">
        <v>94000</v>
      </c>
      <c r="G404" s="9" t="s">
        <v>940</v>
      </c>
      <c r="H404" s="9">
        <f t="shared" si="13"/>
        <v>2020</v>
      </c>
      <c r="I404">
        <f t="shared" si="14"/>
        <v>3</v>
      </c>
      <c r="K404"/>
      <c r="L404"/>
    </row>
    <row r="405" spans="2:12" ht="16.5" x14ac:dyDescent="0.25">
      <c r="B405" s="9" t="s">
        <v>941</v>
      </c>
      <c r="C405" s="9" t="s">
        <v>35</v>
      </c>
      <c r="D405" s="9" t="s">
        <v>37</v>
      </c>
      <c r="E405" s="9" t="s">
        <v>38</v>
      </c>
      <c r="F405" s="9">
        <v>71000</v>
      </c>
      <c r="G405" s="9" t="s">
        <v>942</v>
      </c>
      <c r="H405" s="9">
        <f t="shared" si="13"/>
        <v>2020</v>
      </c>
      <c r="I405">
        <f t="shared" si="14"/>
        <v>3</v>
      </c>
      <c r="K405"/>
      <c r="L405"/>
    </row>
    <row r="406" spans="2:12" ht="16.5" x14ac:dyDescent="0.25">
      <c r="B406" s="9" t="s">
        <v>943</v>
      </c>
      <c r="C406" s="9" t="s">
        <v>37</v>
      </c>
      <c r="D406" s="9" t="s">
        <v>38</v>
      </c>
      <c r="E406" s="9" t="s">
        <v>38</v>
      </c>
      <c r="F406" s="9">
        <v>255000</v>
      </c>
      <c r="G406" s="9" t="s">
        <v>942</v>
      </c>
      <c r="H406" s="9">
        <f t="shared" si="13"/>
        <v>2020</v>
      </c>
      <c r="I406">
        <f t="shared" si="14"/>
        <v>3</v>
      </c>
      <c r="K406"/>
      <c r="L406"/>
    </row>
    <row r="407" spans="2:12" ht="16.5" x14ac:dyDescent="0.25">
      <c r="B407" s="9" t="s">
        <v>944</v>
      </c>
      <c r="C407" s="9" t="s">
        <v>38</v>
      </c>
      <c r="D407" s="9" t="s">
        <v>40</v>
      </c>
      <c r="E407" s="9" t="s">
        <v>37</v>
      </c>
      <c r="F407" s="9">
        <v>80000</v>
      </c>
      <c r="G407" s="9" t="s">
        <v>945</v>
      </c>
      <c r="H407" s="9">
        <f t="shared" si="13"/>
        <v>2020</v>
      </c>
      <c r="I407">
        <f t="shared" si="14"/>
        <v>3</v>
      </c>
      <c r="K407"/>
      <c r="L407"/>
    </row>
    <row r="408" spans="2:12" ht="16.5" x14ac:dyDescent="0.25">
      <c r="B408" s="9" t="s">
        <v>946</v>
      </c>
      <c r="C408" s="9" t="s">
        <v>37</v>
      </c>
      <c r="D408" s="9" t="s">
        <v>40</v>
      </c>
      <c r="E408" s="9" t="s">
        <v>37</v>
      </c>
      <c r="F408" s="9">
        <v>87000</v>
      </c>
      <c r="G408" s="9" t="s">
        <v>947</v>
      </c>
      <c r="H408" s="9">
        <f t="shared" si="13"/>
        <v>2020</v>
      </c>
      <c r="I408">
        <f t="shared" si="14"/>
        <v>3</v>
      </c>
      <c r="K408"/>
      <c r="L408"/>
    </row>
    <row r="409" spans="2:12" ht="16.5" x14ac:dyDescent="0.25">
      <c r="B409" s="9" t="s">
        <v>948</v>
      </c>
      <c r="C409" s="9" t="s">
        <v>56</v>
      </c>
      <c r="D409" s="9" t="s">
        <v>36</v>
      </c>
      <c r="E409" s="9" t="s">
        <v>35</v>
      </c>
      <c r="F409" s="9">
        <v>141000</v>
      </c>
      <c r="G409" s="9" t="s">
        <v>949</v>
      </c>
      <c r="H409" s="9">
        <f t="shared" si="13"/>
        <v>2020</v>
      </c>
      <c r="I409">
        <f t="shared" si="14"/>
        <v>3</v>
      </c>
      <c r="K409"/>
      <c r="L409"/>
    </row>
    <row r="410" spans="2:12" ht="16.5" x14ac:dyDescent="0.25">
      <c r="B410" s="9" t="s">
        <v>950</v>
      </c>
      <c r="C410" s="9" t="s">
        <v>39</v>
      </c>
      <c r="D410" s="9" t="s">
        <v>34</v>
      </c>
      <c r="E410" s="9" t="s">
        <v>34</v>
      </c>
      <c r="F410" s="9">
        <v>70000</v>
      </c>
      <c r="G410" s="9" t="s">
        <v>951</v>
      </c>
      <c r="H410" s="9">
        <f t="shared" si="13"/>
        <v>2020</v>
      </c>
      <c r="I410">
        <f t="shared" si="14"/>
        <v>3</v>
      </c>
      <c r="K410"/>
      <c r="L410"/>
    </row>
    <row r="411" spans="2:12" ht="16.5" x14ac:dyDescent="0.25">
      <c r="B411" s="9" t="s">
        <v>952</v>
      </c>
      <c r="C411" s="9" t="s">
        <v>34</v>
      </c>
      <c r="D411" s="9" t="s">
        <v>34</v>
      </c>
      <c r="E411" s="9" t="s">
        <v>38</v>
      </c>
      <c r="F411" s="9">
        <v>266000</v>
      </c>
      <c r="G411" s="9" t="s">
        <v>951</v>
      </c>
      <c r="H411" s="9">
        <f t="shared" si="13"/>
        <v>2020</v>
      </c>
      <c r="I411">
        <f t="shared" si="14"/>
        <v>3</v>
      </c>
      <c r="K411"/>
      <c r="L411"/>
    </row>
    <row r="412" spans="2:12" ht="16.5" x14ac:dyDescent="0.25">
      <c r="B412" s="9" t="s">
        <v>953</v>
      </c>
      <c r="C412" s="9" t="s">
        <v>34</v>
      </c>
      <c r="D412" s="9" t="s">
        <v>39</v>
      </c>
      <c r="E412" s="9" t="s">
        <v>36</v>
      </c>
      <c r="F412" s="9">
        <v>41000</v>
      </c>
      <c r="G412" s="9" t="s">
        <v>951</v>
      </c>
      <c r="H412" s="9">
        <f t="shared" si="13"/>
        <v>2020</v>
      </c>
      <c r="I412">
        <f t="shared" si="14"/>
        <v>3</v>
      </c>
      <c r="K412"/>
      <c r="L412"/>
    </row>
    <row r="413" spans="2:12" ht="16.5" x14ac:dyDescent="0.25">
      <c r="B413" s="9" t="s">
        <v>954</v>
      </c>
      <c r="C413" s="9" t="s">
        <v>56</v>
      </c>
      <c r="D413" s="9" t="s">
        <v>40</v>
      </c>
      <c r="E413" s="9" t="s">
        <v>38</v>
      </c>
      <c r="F413" s="9">
        <v>238000</v>
      </c>
      <c r="G413" s="9" t="s">
        <v>951</v>
      </c>
      <c r="H413" s="9">
        <f t="shared" si="13"/>
        <v>2020</v>
      </c>
      <c r="I413">
        <f t="shared" si="14"/>
        <v>3</v>
      </c>
      <c r="K413"/>
      <c r="L413"/>
    </row>
    <row r="414" spans="2:12" ht="16.5" x14ac:dyDescent="0.25">
      <c r="B414" s="9" t="s">
        <v>955</v>
      </c>
      <c r="C414" s="9" t="s">
        <v>36</v>
      </c>
      <c r="D414" s="9" t="s">
        <v>35</v>
      </c>
      <c r="E414" s="9" t="s">
        <v>39</v>
      </c>
      <c r="F414" s="9">
        <v>55000</v>
      </c>
      <c r="G414" s="9" t="s">
        <v>956</v>
      </c>
      <c r="H414" s="9">
        <f t="shared" si="13"/>
        <v>2020</v>
      </c>
      <c r="I414">
        <f t="shared" si="14"/>
        <v>3</v>
      </c>
      <c r="K414"/>
      <c r="L414"/>
    </row>
    <row r="415" spans="2:12" ht="16.5" x14ac:dyDescent="0.25">
      <c r="B415" s="9" t="s">
        <v>957</v>
      </c>
      <c r="C415" s="9" t="s">
        <v>56</v>
      </c>
      <c r="D415" s="9" t="s">
        <v>40</v>
      </c>
      <c r="E415" s="9" t="s">
        <v>39</v>
      </c>
      <c r="F415" s="9">
        <v>146000</v>
      </c>
      <c r="G415" s="9" t="s">
        <v>959</v>
      </c>
      <c r="H415" s="9">
        <f t="shared" si="13"/>
        <v>2020</v>
      </c>
      <c r="I415">
        <f t="shared" si="14"/>
        <v>3</v>
      </c>
      <c r="K415"/>
      <c r="L415"/>
    </row>
    <row r="416" spans="2:12" ht="16.5" x14ac:dyDescent="0.25">
      <c r="B416" s="9" t="s">
        <v>960</v>
      </c>
      <c r="C416" s="9" t="s">
        <v>35</v>
      </c>
      <c r="D416" s="9" t="s">
        <v>39</v>
      </c>
      <c r="E416" s="9" t="s">
        <v>35</v>
      </c>
      <c r="F416" s="9">
        <v>95000</v>
      </c>
      <c r="G416" s="9" t="s">
        <v>962</v>
      </c>
      <c r="H416" s="9">
        <f t="shared" si="13"/>
        <v>2020</v>
      </c>
      <c r="I416">
        <f t="shared" si="14"/>
        <v>3</v>
      </c>
      <c r="K416"/>
      <c r="L416"/>
    </row>
    <row r="417" spans="2:12" ht="16.5" x14ac:dyDescent="0.25">
      <c r="B417" s="9" t="s">
        <v>963</v>
      </c>
      <c r="C417" s="9" t="s">
        <v>34</v>
      </c>
      <c r="D417" s="9" t="s">
        <v>35</v>
      </c>
      <c r="E417" s="9" t="s">
        <v>39</v>
      </c>
      <c r="F417" s="9">
        <v>248000</v>
      </c>
      <c r="G417" s="9" t="s">
        <v>965</v>
      </c>
      <c r="H417" s="9">
        <f t="shared" si="13"/>
        <v>2020</v>
      </c>
      <c r="I417">
        <f t="shared" si="14"/>
        <v>3</v>
      </c>
      <c r="K417"/>
      <c r="L417"/>
    </row>
    <row r="418" spans="2:12" ht="16.5" x14ac:dyDescent="0.25">
      <c r="B418" s="9" t="s">
        <v>966</v>
      </c>
      <c r="C418" s="9" t="s">
        <v>34</v>
      </c>
      <c r="D418" s="9" t="s">
        <v>34</v>
      </c>
      <c r="E418" s="9" t="s">
        <v>39</v>
      </c>
      <c r="F418" s="9">
        <v>204000</v>
      </c>
      <c r="G418" s="9" t="s">
        <v>967</v>
      </c>
      <c r="H418" s="9">
        <f t="shared" si="13"/>
        <v>2020</v>
      </c>
      <c r="I418">
        <f t="shared" si="14"/>
        <v>3</v>
      </c>
      <c r="K418"/>
      <c r="L418"/>
    </row>
    <row r="419" spans="2:12" ht="16.5" x14ac:dyDescent="0.25">
      <c r="B419" s="9" t="s">
        <v>968</v>
      </c>
      <c r="C419" s="9" t="s">
        <v>40</v>
      </c>
      <c r="D419" s="9" t="s">
        <v>36</v>
      </c>
      <c r="E419" s="9" t="s">
        <v>35</v>
      </c>
      <c r="F419" s="9">
        <v>139000</v>
      </c>
      <c r="G419" s="9" t="s">
        <v>969</v>
      </c>
      <c r="H419" s="9">
        <f t="shared" si="13"/>
        <v>2020</v>
      </c>
      <c r="I419">
        <f t="shared" si="14"/>
        <v>3</v>
      </c>
      <c r="K419"/>
      <c r="L419"/>
    </row>
    <row r="420" spans="2:12" ht="16.5" x14ac:dyDescent="0.25">
      <c r="B420" s="9" t="s">
        <v>970</v>
      </c>
      <c r="C420" s="9" t="s">
        <v>35</v>
      </c>
      <c r="D420" s="9" t="s">
        <v>34</v>
      </c>
      <c r="E420" s="9" t="s">
        <v>37</v>
      </c>
      <c r="F420" s="9">
        <v>196000</v>
      </c>
      <c r="G420" s="9" t="s">
        <v>971</v>
      </c>
      <c r="H420" s="9">
        <f t="shared" si="13"/>
        <v>2020</v>
      </c>
      <c r="I420">
        <f t="shared" si="14"/>
        <v>3</v>
      </c>
      <c r="K420"/>
      <c r="L420"/>
    </row>
    <row r="421" spans="2:12" ht="16.5" x14ac:dyDescent="0.25">
      <c r="B421" s="9" t="s">
        <v>972</v>
      </c>
      <c r="C421" s="9" t="s">
        <v>39</v>
      </c>
      <c r="D421" s="9" t="s">
        <v>34</v>
      </c>
      <c r="E421" s="9" t="s">
        <v>39</v>
      </c>
      <c r="F421" s="9">
        <v>273000</v>
      </c>
      <c r="G421" s="9" t="s">
        <v>973</v>
      </c>
      <c r="H421" s="9">
        <f t="shared" si="13"/>
        <v>2020</v>
      </c>
      <c r="I421">
        <f t="shared" si="14"/>
        <v>3</v>
      </c>
      <c r="K421"/>
      <c r="L421"/>
    </row>
    <row r="422" spans="2:12" ht="16.5" x14ac:dyDescent="0.25">
      <c r="B422" s="9" t="s">
        <v>974</v>
      </c>
      <c r="C422" s="9" t="s">
        <v>35</v>
      </c>
      <c r="D422" s="9" t="s">
        <v>38</v>
      </c>
      <c r="E422" s="9" t="s">
        <v>38</v>
      </c>
      <c r="F422" s="9">
        <v>107000</v>
      </c>
      <c r="G422" s="9" t="s">
        <v>975</v>
      </c>
      <c r="H422" s="9">
        <f t="shared" si="13"/>
        <v>2020</v>
      </c>
      <c r="I422">
        <f t="shared" si="14"/>
        <v>3</v>
      </c>
      <c r="K422"/>
      <c r="L422"/>
    </row>
    <row r="423" spans="2:12" ht="16.5" x14ac:dyDescent="0.25">
      <c r="B423" s="9" t="s">
        <v>976</v>
      </c>
      <c r="C423" s="9" t="s">
        <v>56</v>
      </c>
      <c r="D423" s="9" t="s">
        <v>40</v>
      </c>
      <c r="E423" s="9" t="s">
        <v>35</v>
      </c>
      <c r="F423" s="9">
        <v>147000</v>
      </c>
      <c r="G423" s="9" t="s">
        <v>975</v>
      </c>
      <c r="H423" s="9">
        <f t="shared" si="13"/>
        <v>2020</v>
      </c>
      <c r="I423">
        <f t="shared" si="14"/>
        <v>3</v>
      </c>
      <c r="K423"/>
      <c r="L423"/>
    </row>
    <row r="424" spans="2:12" ht="16.5" x14ac:dyDescent="0.25">
      <c r="B424" s="9" t="s">
        <v>977</v>
      </c>
      <c r="C424" s="9" t="s">
        <v>59</v>
      </c>
      <c r="D424" s="9" t="s">
        <v>38</v>
      </c>
      <c r="E424" s="9" t="s">
        <v>38</v>
      </c>
      <c r="F424" s="9">
        <v>261000</v>
      </c>
      <c r="G424" s="9" t="s">
        <v>975</v>
      </c>
      <c r="H424" s="9">
        <f t="shared" si="13"/>
        <v>2020</v>
      </c>
      <c r="I424">
        <f t="shared" si="14"/>
        <v>3</v>
      </c>
      <c r="K424"/>
      <c r="L424"/>
    </row>
    <row r="425" spans="2:12" ht="16.5" x14ac:dyDescent="0.25">
      <c r="B425" s="9" t="s">
        <v>978</v>
      </c>
      <c r="C425" s="9" t="s">
        <v>37</v>
      </c>
      <c r="D425" s="9" t="s">
        <v>36</v>
      </c>
      <c r="E425" s="9" t="s">
        <v>39</v>
      </c>
      <c r="F425" s="9">
        <v>83000</v>
      </c>
      <c r="G425" s="9" t="s">
        <v>975</v>
      </c>
      <c r="H425" s="9">
        <f t="shared" si="13"/>
        <v>2020</v>
      </c>
      <c r="I425">
        <f t="shared" si="14"/>
        <v>3</v>
      </c>
      <c r="K425"/>
      <c r="L425"/>
    </row>
    <row r="426" spans="2:12" ht="16.5" x14ac:dyDescent="0.25">
      <c r="B426" s="9" t="s">
        <v>980</v>
      </c>
      <c r="C426" s="9" t="s">
        <v>34</v>
      </c>
      <c r="D426" s="9" t="s">
        <v>40</v>
      </c>
      <c r="E426" s="9" t="s">
        <v>38</v>
      </c>
      <c r="F426" s="9">
        <v>165000</v>
      </c>
      <c r="G426" s="9" t="s">
        <v>982</v>
      </c>
      <c r="H426" s="9">
        <f t="shared" si="13"/>
        <v>2020</v>
      </c>
      <c r="I426">
        <f t="shared" si="14"/>
        <v>3</v>
      </c>
      <c r="K426"/>
      <c r="L426"/>
    </row>
    <row r="427" spans="2:12" ht="16.5" x14ac:dyDescent="0.25">
      <c r="B427" s="9" t="s">
        <v>983</v>
      </c>
      <c r="C427" s="9" t="s">
        <v>37</v>
      </c>
      <c r="D427" s="9" t="s">
        <v>36</v>
      </c>
      <c r="E427" s="9" t="s">
        <v>36</v>
      </c>
      <c r="F427" s="9">
        <v>214000</v>
      </c>
      <c r="G427" s="9" t="s">
        <v>982</v>
      </c>
      <c r="H427" s="9">
        <f t="shared" si="13"/>
        <v>2020</v>
      </c>
      <c r="I427">
        <f t="shared" si="14"/>
        <v>3</v>
      </c>
      <c r="K427"/>
      <c r="L427"/>
    </row>
    <row r="428" spans="2:12" ht="16.5" x14ac:dyDescent="0.25">
      <c r="B428" s="9" t="s">
        <v>984</v>
      </c>
      <c r="C428" s="9" t="s">
        <v>39</v>
      </c>
      <c r="D428" s="9" t="s">
        <v>34</v>
      </c>
      <c r="E428" s="9" t="s">
        <v>38</v>
      </c>
      <c r="F428" s="9">
        <v>241000</v>
      </c>
      <c r="G428" s="9" t="s">
        <v>982</v>
      </c>
      <c r="H428" s="9">
        <f t="shared" si="13"/>
        <v>2020</v>
      </c>
      <c r="I428">
        <f t="shared" si="14"/>
        <v>3</v>
      </c>
      <c r="K428"/>
      <c r="L428"/>
    </row>
    <row r="429" spans="2:12" ht="16.5" x14ac:dyDescent="0.25">
      <c r="B429" s="9" t="s">
        <v>985</v>
      </c>
      <c r="C429" s="9" t="s">
        <v>38</v>
      </c>
      <c r="D429" s="9" t="s">
        <v>35</v>
      </c>
      <c r="E429" s="9" t="s">
        <v>36</v>
      </c>
      <c r="F429" s="9">
        <v>265000</v>
      </c>
      <c r="G429" s="9" t="s">
        <v>987</v>
      </c>
      <c r="H429" s="9">
        <f t="shared" si="13"/>
        <v>2020</v>
      </c>
      <c r="I429">
        <f t="shared" si="14"/>
        <v>4</v>
      </c>
      <c r="K429"/>
      <c r="L429"/>
    </row>
    <row r="430" spans="2:12" ht="16.5" x14ac:dyDescent="0.25">
      <c r="B430" s="9" t="s">
        <v>988</v>
      </c>
      <c r="C430" s="9" t="s">
        <v>56</v>
      </c>
      <c r="D430" s="9" t="s">
        <v>35</v>
      </c>
      <c r="E430" s="9" t="s">
        <v>34</v>
      </c>
      <c r="F430" s="9">
        <v>184000</v>
      </c>
      <c r="G430" s="9" t="s">
        <v>990</v>
      </c>
      <c r="H430" s="9">
        <f t="shared" si="13"/>
        <v>2020</v>
      </c>
      <c r="I430">
        <f t="shared" si="14"/>
        <v>4</v>
      </c>
      <c r="K430"/>
      <c r="L430"/>
    </row>
    <row r="431" spans="2:12" ht="16.5" x14ac:dyDescent="0.25">
      <c r="B431" s="9" t="s">
        <v>991</v>
      </c>
      <c r="C431" s="9" t="s">
        <v>59</v>
      </c>
      <c r="D431" s="9" t="s">
        <v>37</v>
      </c>
      <c r="E431" s="9" t="s">
        <v>36</v>
      </c>
      <c r="F431" s="9">
        <v>179000</v>
      </c>
      <c r="G431" s="9" t="s">
        <v>992</v>
      </c>
      <c r="H431" s="9">
        <f t="shared" si="13"/>
        <v>2020</v>
      </c>
      <c r="I431">
        <f t="shared" si="14"/>
        <v>4</v>
      </c>
      <c r="K431"/>
      <c r="L431"/>
    </row>
    <row r="432" spans="2:12" ht="16.5" x14ac:dyDescent="0.25">
      <c r="B432" s="9" t="s">
        <v>993</v>
      </c>
      <c r="C432" s="9" t="s">
        <v>56</v>
      </c>
      <c r="D432" s="9" t="s">
        <v>36</v>
      </c>
      <c r="E432" s="9" t="s">
        <v>36</v>
      </c>
      <c r="F432" s="9">
        <v>159000</v>
      </c>
      <c r="G432" s="9" t="s">
        <v>994</v>
      </c>
      <c r="H432" s="9">
        <f t="shared" si="13"/>
        <v>2020</v>
      </c>
      <c r="I432">
        <f t="shared" si="14"/>
        <v>4</v>
      </c>
      <c r="K432"/>
      <c r="L432"/>
    </row>
    <row r="433" spans="2:12" ht="16.5" x14ac:dyDescent="0.25">
      <c r="B433" s="9" t="s">
        <v>995</v>
      </c>
      <c r="C433" s="9" t="s">
        <v>40</v>
      </c>
      <c r="D433" s="9" t="s">
        <v>38</v>
      </c>
      <c r="E433" s="9" t="s">
        <v>34</v>
      </c>
      <c r="F433" s="9">
        <v>170000</v>
      </c>
      <c r="G433" s="9" t="s">
        <v>996</v>
      </c>
      <c r="H433" s="9">
        <f t="shared" si="13"/>
        <v>2020</v>
      </c>
      <c r="I433">
        <f t="shared" si="14"/>
        <v>4</v>
      </c>
      <c r="K433"/>
      <c r="L433"/>
    </row>
    <row r="434" spans="2:12" ht="16.5" x14ac:dyDescent="0.25">
      <c r="B434" s="9" t="s">
        <v>997</v>
      </c>
      <c r="C434" s="9" t="s">
        <v>59</v>
      </c>
      <c r="D434" s="9" t="s">
        <v>36</v>
      </c>
      <c r="E434" s="9" t="s">
        <v>39</v>
      </c>
      <c r="F434" s="9">
        <v>182000</v>
      </c>
      <c r="G434" s="9" t="s">
        <v>998</v>
      </c>
      <c r="H434" s="9">
        <f t="shared" si="13"/>
        <v>2020</v>
      </c>
      <c r="I434">
        <f t="shared" si="14"/>
        <v>4</v>
      </c>
      <c r="K434"/>
      <c r="L434"/>
    </row>
    <row r="435" spans="2:12" ht="16.5" x14ac:dyDescent="0.25">
      <c r="B435" s="9" t="s">
        <v>999</v>
      </c>
      <c r="C435" s="9" t="s">
        <v>37</v>
      </c>
      <c r="D435" s="9" t="s">
        <v>35</v>
      </c>
      <c r="E435" s="9" t="s">
        <v>38</v>
      </c>
      <c r="F435" s="9">
        <v>58000</v>
      </c>
      <c r="G435" s="9" t="s">
        <v>1000</v>
      </c>
      <c r="H435" s="9">
        <f t="shared" si="13"/>
        <v>2020</v>
      </c>
      <c r="I435">
        <f t="shared" si="14"/>
        <v>4</v>
      </c>
      <c r="K435"/>
      <c r="L435"/>
    </row>
    <row r="436" spans="2:12" ht="16.5" x14ac:dyDescent="0.25">
      <c r="B436" s="9" t="s">
        <v>1001</v>
      </c>
      <c r="C436" s="9" t="s">
        <v>40</v>
      </c>
      <c r="D436" s="9" t="s">
        <v>36</v>
      </c>
      <c r="E436" s="9" t="s">
        <v>39</v>
      </c>
      <c r="F436" s="9">
        <v>46000</v>
      </c>
      <c r="G436" s="9" t="s">
        <v>1000</v>
      </c>
      <c r="H436" s="9">
        <f t="shared" si="13"/>
        <v>2020</v>
      </c>
      <c r="I436">
        <f t="shared" si="14"/>
        <v>4</v>
      </c>
      <c r="K436"/>
      <c r="L436"/>
    </row>
    <row r="437" spans="2:12" ht="16.5" x14ac:dyDescent="0.25">
      <c r="B437" s="9" t="s">
        <v>1002</v>
      </c>
      <c r="C437" s="9" t="s">
        <v>36</v>
      </c>
      <c r="D437" s="9" t="s">
        <v>35</v>
      </c>
      <c r="E437" s="9" t="s">
        <v>36</v>
      </c>
      <c r="F437" s="9">
        <v>93000</v>
      </c>
      <c r="G437" s="9" t="s">
        <v>1000</v>
      </c>
      <c r="H437" s="9">
        <f t="shared" si="13"/>
        <v>2020</v>
      </c>
      <c r="I437">
        <f t="shared" si="14"/>
        <v>4</v>
      </c>
      <c r="K437"/>
      <c r="L437"/>
    </row>
    <row r="438" spans="2:12" ht="16.5" x14ac:dyDescent="0.25">
      <c r="B438" s="9" t="s">
        <v>1003</v>
      </c>
      <c r="C438" s="9" t="s">
        <v>38</v>
      </c>
      <c r="D438" s="9" t="s">
        <v>36</v>
      </c>
      <c r="E438" s="9" t="s">
        <v>38</v>
      </c>
      <c r="F438" s="9">
        <v>108000</v>
      </c>
      <c r="G438" s="9" t="s">
        <v>1004</v>
      </c>
      <c r="H438" s="9">
        <f t="shared" si="13"/>
        <v>2020</v>
      </c>
      <c r="I438">
        <f t="shared" si="14"/>
        <v>4</v>
      </c>
      <c r="K438"/>
      <c r="L438"/>
    </row>
    <row r="439" spans="2:12" ht="16.5" x14ac:dyDescent="0.25">
      <c r="B439" s="9" t="s">
        <v>1005</v>
      </c>
      <c r="C439" s="9" t="s">
        <v>34</v>
      </c>
      <c r="D439" s="9" t="s">
        <v>35</v>
      </c>
      <c r="E439" s="9" t="s">
        <v>34</v>
      </c>
      <c r="F439" s="9">
        <v>202000</v>
      </c>
      <c r="G439" s="9" t="s">
        <v>1006</v>
      </c>
      <c r="H439" s="9">
        <f t="shared" si="13"/>
        <v>2020</v>
      </c>
      <c r="I439">
        <f t="shared" si="14"/>
        <v>4</v>
      </c>
      <c r="K439"/>
      <c r="L439"/>
    </row>
    <row r="440" spans="2:12" ht="16.5" x14ac:dyDescent="0.25">
      <c r="B440" s="9" t="s">
        <v>1007</v>
      </c>
      <c r="C440" s="9" t="s">
        <v>59</v>
      </c>
      <c r="D440" s="9" t="s">
        <v>38</v>
      </c>
      <c r="E440" s="9" t="s">
        <v>37</v>
      </c>
      <c r="F440" s="9">
        <v>154000</v>
      </c>
      <c r="G440" s="9" t="s">
        <v>1008</v>
      </c>
      <c r="H440" s="9">
        <f t="shared" si="13"/>
        <v>2020</v>
      </c>
      <c r="I440">
        <f t="shared" si="14"/>
        <v>4</v>
      </c>
      <c r="K440"/>
      <c r="L440"/>
    </row>
    <row r="441" spans="2:12" ht="16.5" x14ac:dyDescent="0.25">
      <c r="B441" s="9" t="s">
        <v>1009</v>
      </c>
      <c r="C441" s="9" t="s">
        <v>38</v>
      </c>
      <c r="D441" s="9" t="s">
        <v>36</v>
      </c>
      <c r="E441" s="9" t="s">
        <v>35</v>
      </c>
      <c r="F441" s="9">
        <v>118000</v>
      </c>
      <c r="G441" s="9" t="s">
        <v>1008</v>
      </c>
      <c r="H441" s="9">
        <f t="shared" si="13"/>
        <v>2020</v>
      </c>
      <c r="I441">
        <f t="shared" si="14"/>
        <v>4</v>
      </c>
      <c r="K441"/>
      <c r="L441"/>
    </row>
    <row r="442" spans="2:12" ht="16.5" x14ac:dyDescent="0.25">
      <c r="B442" s="9" t="s">
        <v>1010</v>
      </c>
      <c r="C442" s="9" t="s">
        <v>38</v>
      </c>
      <c r="D442" s="9" t="s">
        <v>39</v>
      </c>
      <c r="E442" s="9" t="s">
        <v>35</v>
      </c>
      <c r="F442" s="9">
        <v>268000</v>
      </c>
      <c r="G442" s="9" t="s">
        <v>1011</v>
      </c>
      <c r="H442" s="9">
        <f t="shared" si="13"/>
        <v>2020</v>
      </c>
      <c r="I442">
        <f t="shared" si="14"/>
        <v>4</v>
      </c>
      <c r="K442"/>
      <c r="L442"/>
    </row>
    <row r="443" spans="2:12" ht="16.5" x14ac:dyDescent="0.25">
      <c r="B443" s="9" t="s">
        <v>1012</v>
      </c>
      <c r="C443" s="9" t="s">
        <v>56</v>
      </c>
      <c r="D443" s="9" t="s">
        <v>38</v>
      </c>
      <c r="E443" s="9" t="s">
        <v>35</v>
      </c>
      <c r="F443" s="9">
        <v>82000</v>
      </c>
      <c r="G443" s="9" t="s">
        <v>1011</v>
      </c>
      <c r="H443" s="9">
        <f t="shared" si="13"/>
        <v>2020</v>
      </c>
      <c r="I443">
        <f t="shared" si="14"/>
        <v>4</v>
      </c>
      <c r="K443"/>
      <c r="L443"/>
    </row>
    <row r="444" spans="2:12" ht="16.5" x14ac:dyDescent="0.25">
      <c r="B444" s="9" t="s">
        <v>1013</v>
      </c>
      <c r="C444" s="9" t="s">
        <v>39</v>
      </c>
      <c r="D444" s="9" t="s">
        <v>34</v>
      </c>
      <c r="E444" s="9" t="s">
        <v>37</v>
      </c>
      <c r="F444" s="9">
        <v>200000</v>
      </c>
      <c r="G444" s="9" t="s">
        <v>1014</v>
      </c>
      <c r="H444" s="9">
        <f t="shared" si="13"/>
        <v>2020</v>
      </c>
      <c r="I444">
        <f t="shared" si="14"/>
        <v>4</v>
      </c>
      <c r="K444"/>
      <c r="L444"/>
    </row>
    <row r="445" spans="2:12" ht="16.5" x14ac:dyDescent="0.25">
      <c r="B445" s="9" t="s">
        <v>1015</v>
      </c>
      <c r="C445" s="9" t="s">
        <v>34</v>
      </c>
      <c r="D445" s="9" t="s">
        <v>36</v>
      </c>
      <c r="E445" s="9" t="s">
        <v>37</v>
      </c>
      <c r="F445" s="9">
        <v>94000</v>
      </c>
      <c r="G445" s="9" t="s">
        <v>1016</v>
      </c>
      <c r="H445" s="9">
        <f t="shared" si="13"/>
        <v>2020</v>
      </c>
      <c r="I445">
        <f t="shared" si="14"/>
        <v>4</v>
      </c>
      <c r="K445"/>
      <c r="L445"/>
    </row>
    <row r="446" spans="2:12" ht="16.5" x14ac:dyDescent="0.25">
      <c r="B446" s="9" t="s">
        <v>1017</v>
      </c>
      <c r="C446" s="9" t="s">
        <v>35</v>
      </c>
      <c r="D446" s="9" t="s">
        <v>39</v>
      </c>
      <c r="E446" s="9" t="s">
        <v>35</v>
      </c>
      <c r="F446" s="9">
        <v>215000</v>
      </c>
      <c r="G446" s="9" t="s">
        <v>1018</v>
      </c>
      <c r="H446" s="9">
        <f t="shared" si="13"/>
        <v>2020</v>
      </c>
      <c r="I446">
        <f t="shared" si="14"/>
        <v>4</v>
      </c>
      <c r="K446"/>
      <c r="L446"/>
    </row>
    <row r="447" spans="2:12" ht="16.5" x14ac:dyDescent="0.25">
      <c r="B447" s="9" t="s">
        <v>1019</v>
      </c>
      <c r="C447" s="9" t="s">
        <v>59</v>
      </c>
      <c r="D447" s="9" t="s">
        <v>36</v>
      </c>
      <c r="E447" s="9" t="s">
        <v>35</v>
      </c>
      <c r="F447" s="9">
        <v>69000</v>
      </c>
      <c r="G447" s="9" t="s">
        <v>1020</v>
      </c>
      <c r="H447" s="9">
        <f t="shared" si="13"/>
        <v>2020</v>
      </c>
      <c r="I447">
        <f t="shared" si="14"/>
        <v>4</v>
      </c>
      <c r="K447"/>
      <c r="L447"/>
    </row>
    <row r="448" spans="2:12" ht="16.5" x14ac:dyDescent="0.25">
      <c r="B448" s="9" t="s">
        <v>1021</v>
      </c>
      <c r="C448" s="9" t="s">
        <v>34</v>
      </c>
      <c r="D448" s="9" t="s">
        <v>39</v>
      </c>
      <c r="E448" s="9" t="s">
        <v>37</v>
      </c>
      <c r="F448" s="9">
        <v>38000</v>
      </c>
      <c r="G448" s="9" t="s">
        <v>1023</v>
      </c>
      <c r="H448" s="9">
        <f t="shared" si="13"/>
        <v>2020</v>
      </c>
      <c r="I448">
        <f t="shared" si="14"/>
        <v>4</v>
      </c>
      <c r="K448"/>
      <c r="L448"/>
    </row>
    <row r="449" spans="2:12" ht="16.5" x14ac:dyDescent="0.25">
      <c r="B449" s="9" t="s">
        <v>1024</v>
      </c>
      <c r="C449" s="9" t="s">
        <v>40</v>
      </c>
      <c r="D449" s="9" t="s">
        <v>38</v>
      </c>
      <c r="E449" s="9" t="s">
        <v>37</v>
      </c>
      <c r="F449" s="9">
        <v>272000</v>
      </c>
      <c r="G449" s="9" t="s">
        <v>1025</v>
      </c>
      <c r="H449" s="9">
        <f t="shared" si="13"/>
        <v>2020</v>
      </c>
      <c r="I449">
        <f t="shared" si="14"/>
        <v>4</v>
      </c>
      <c r="K449"/>
      <c r="L449"/>
    </row>
    <row r="450" spans="2:12" ht="16.5" x14ac:dyDescent="0.25">
      <c r="B450" s="9" t="s">
        <v>1026</v>
      </c>
      <c r="C450" s="9" t="s">
        <v>40</v>
      </c>
      <c r="D450" s="9" t="s">
        <v>36</v>
      </c>
      <c r="E450" s="9" t="s">
        <v>37</v>
      </c>
      <c r="F450" s="9">
        <v>90000</v>
      </c>
      <c r="G450" s="9" t="s">
        <v>1028</v>
      </c>
      <c r="H450" s="9">
        <f t="shared" si="13"/>
        <v>2020</v>
      </c>
      <c r="I450">
        <f t="shared" si="14"/>
        <v>5</v>
      </c>
      <c r="K450"/>
      <c r="L450"/>
    </row>
    <row r="451" spans="2:12" ht="16.5" x14ac:dyDescent="0.25">
      <c r="B451" s="9" t="s">
        <v>1029</v>
      </c>
      <c r="C451" s="9" t="s">
        <v>35</v>
      </c>
      <c r="D451" s="9" t="s">
        <v>36</v>
      </c>
      <c r="E451" s="9" t="s">
        <v>34</v>
      </c>
      <c r="F451" s="9">
        <v>215000</v>
      </c>
      <c r="G451" s="9" t="s">
        <v>1030</v>
      </c>
      <c r="H451" s="9">
        <f t="shared" ref="H451:H514" si="15">YEAR(G451)</f>
        <v>2020</v>
      </c>
      <c r="I451">
        <f t="shared" ref="I451:I514" si="16">MONTH(G451)</f>
        <v>5</v>
      </c>
      <c r="K451"/>
      <c r="L451"/>
    </row>
    <row r="452" spans="2:12" ht="16.5" x14ac:dyDescent="0.25">
      <c r="B452" s="9" t="s">
        <v>1031</v>
      </c>
      <c r="C452" s="9" t="s">
        <v>37</v>
      </c>
      <c r="D452" s="9" t="s">
        <v>37</v>
      </c>
      <c r="E452" s="9" t="s">
        <v>39</v>
      </c>
      <c r="F452" s="9">
        <v>171000</v>
      </c>
      <c r="G452" s="9" t="s">
        <v>1030</v>
      </c>
      <c r="H452" s="9">
        <f t="shared" si="15"/>
        <v>2020</v>
      </c>
      <c r="I452">
        <f t="shared" si="16"/>
        <v>5</v>
      </c>
      <c r="K452"/>
      <c r="L452"/>
    </row>
    <row r="453" spans="2:12" ht="16.5" x14ac:dyDescent="0.25">
      <c r="B453" s="9" t="s">
        <v>1033</v>
      </c>
      <c r="C453" s="9" t="s">
        <v>39</v>
      </c>
      <c r="D453" s="9" t="s">
        <v>39</v>
      </c>
      <c r="E453" s="9" t="s">
        <v>34</v>
      </c>
      <c r="F453" s="9">
        <v>150000</v>
      </c>
      <c r="G453" s="9" t="s">
        <v>1035</v>
      </c>
      <c r="H453" s="9">
        <f t="shared" si="15"/>
        <v>2020</v>
      </c>
      <c r="I453">
        <f t="shared" si="16"/>
        <v>5</v>
      </c>
      <c r="K453"/>
      <c r="L453"/>
    </row>
    <row r="454" spans="2:12" ht="16.5" x14ac:dyDescent="0.25">
      <c r="B454" s="9" t="s">
        <v>1036</v>
      </c>
      <c r="C454" s="9" t="s">
        <v>56</v>
      </c>
      <c r="D454" s="9" t="s">
        <v>36</v>
      </c>
      <c r="E454" s="9" t="s">
        <v>37</v>
      </c>
      <c r="F454" s="9">
        <v>156000</v>
      </c>
      <c r="G454" s="9" t="s">
        <v>1037</v>
      </c>
      <c r="H454" s="9">
        <f t="shared" si="15"/>
        <v>2020</v>
      </c>
      <c r="I454">
        <f t="shared" si="16"/>
        <v>5</v>
      </c>
      <c r="K454"/>
      <c r="L454"/>
    </row>
    <row r="455" spans="2:12" ht="16.5" x14ac:dyDescent="0.25">
      <c r="B455" s="9" t="s">
        <v>1038</v>
      </c>
      <c r="C455" s="9" t="s">
        <v>36</v>
      </c>
      <c r="D455" s="9" t="s">
        <v>35</v>
      </c>
      <c r="E455" s="9" t="s">
        <v>37</v>
      </c>
      <c r="F455" s="9">
        <v>114000</v>
      </c>
      <c r="G455" s="9" t="s">
        <v>1037</v>
      </c>
      <c r="H455" s="9">
        <f t="shared" si="15"/>
        <v>2020</v>
      </c>
      <c r="I455">
        <f t="shared" si="16"/>
        <v>5</v>
      </c>
      <c r="K455"/>
      <c r="L455"/>
    </row>
    <row r="456" spans="2:12" ht="16.5" x14ac:dyDescent="0.25">
      <c r="B456" s="9" t="s">
        <v>1039</v>
      </c>
      <c r="C456" s="9" t="s">
        <v>40</v>
      </c>
      <c r="D456" s="9" t="s">
        <v>38</v>
      </c>
      <c r="E456" s="9" t="s">
        <v>39</v>
      </c>
      <c r="F456" s="9">
        <v>53000</v>
      </c>
      <c r="G456" s="9" t="s">
        <v>1040</v>
      </c>
      <c r="H456" s="9">
        <f t="shared" si="15"/>
        <v>2020</v>
      </c>
      <c r="I456">
        <f t="shared" si="16"/>
        <v>5</v>
      </c>
      <c r="K456"/>
      <c r="L456"/>
    </row>
    <row r="457" spans="2:12" ht="16.5" x14ac:dyDescent="0.25">
      <c r="B457" s="9" t="s">
        <v>1041</v>
      </c>
      <c r="C457" s="9" t="s">
        <v>59</v>
      </c>
      <c r="D457" s="9" t="s">
        <v>39</v>
      </c>
      <c r="E457" s="9" t="s">
        <v>34</v>
      </c>
      <c r="F457" s="9">
        <v>99000</v>
      </c>
      <c r="G457" s="9" t="s">
        <v>1042</v>
      </c>
      <c r="H457" s="9">
        <f t="shared" si="15"/>
        <v>2020</v>
      </c>
      <c r="I457">
        <f t="shared" si="16"/>
        <v>5</v>
      </c>
      <c r="K457"/>
      <c r="L457"/>
    </row>
    <row r="458" spans="2:12" ht="16.5" x14ac:dyDescent="0.25">
      <c r="B458" s="9" t="s">
        <v>1043</v>
      </c>
      <c r="C458" s="9" t="s">
        <v>34</v>
      </c>
      <c r="D458" s="9" t="s">
        <v>35</v>
      </c>
      <c r="E458" s="9" t="s">
        <v>35</v>
      </c>
      <c r="F458" s="9">
        <v>75000</v>
      </c>
      <c r="G458" s="9" t="s">
        <v>1044</v>
      </c>
      <c r="H458" s="9">
        <f t="shared" si="15"/>
        <v>2020</v>
      </c>
      <c r="I458">
        <f t="shared" si="16"/>
        <v>5</v>
      </c>
      <c r="K458"/>
      <c r="L458"/>
    </row>
    <row r="459" spans="2:12" ht="16.5" x14ac:dyDescent="0.25">
      <c r="B459" s="9" t="s">
        <v>1045</v>
      </c>
      <c r="C459" s="9" t="s">
        <v>36</v>
      </c>
      <c r="D459" s="9" t="s">
        <v>36</v>
      </c>
      <c r="E459" s="9" t="s">
        <v>38</v>
      </c>
      <c r="F459" s="9">
        <v>182000</v>
      </c>
      <c r="G459" s="9" t="s">
        <v>1046</v>
      </c>
      <c r="H459" s="9">
        <f t="shared" si="15"/>
        <v>2020</v>
      </c>
      <c r="I459">
        <f t="shared" si="16"/>
        <v>5</v>
      </c>
      <c r="K459"/>
      <c r="L459"/>
    </row>
    <row r="460" spans="2:12" ht="16.5" x14ac:dyDescent="0.25">
      <c r="B460" s="9" t="s">
        <v>1047</v>
      </c>
      <c r="C460" s="9" t="s">
        <v>56</v>
      </c>
      <c r="D460" s="9" t="s">
        <v>35</v>
      </c>
      <c r="E460" s="9" t="s">
        <v>35</v>
      </c>
      <c r="F460" s="9">
        <v>299000</v>
      </c>
      <c r="G460" s="9" t="s">
        <v>1049</v>
      </c>
      <c r="H460" s="9">
        <f t="shared" si="15"/>
        <v>2020</v>
      </c>
      <c r="I460">
        <f t="shared" si="16"/>
        <v>5</v>
      </c>
      <c r="K460"/>
      <c r="L460"/>
    </row>
    <row r="461" spans="2:12" ht="16.5" x14ac:dyDescent="0.25">
      <c r="B461" s="9" t="s">
        <v>1050</v>
      </c>
      <c r="C461" s="9" t="s">
        <v>37</v>
      </c>
      <c r="D461" s="9" t="s">
        <v>40</v>
      </c>
      <c r="E461" s="9" t="s">
        <v>39</v>
      </c>
      <c r="F461" s="9">
        <v>217000</v>
      </c>
      <c r="G461" s="9" t="s">
        <v>1051</v>
      </c>
      <c r="H461" s="9">
        <f t="shared" si="15"/>
        <v>2020</v>
      </c>
      <c r="I461">
        <f t="shared" si="16"/>
        <v>5</v>
      </c>
      <c r="K461"/>
      <c r="L461"/>
    </row>
    <row r="462" spans="2:12" ht="16.5" x14ac:dyDescent="0.25">
      <c r="B462" s="9" t="s">
        <v>1052</v>
      </c>
      <c r="C462" s="9" t="s">
        <v>37</v>
      </c>
      <c r="D462" s="9" t="s">
        <v>35</v>
      </c>
      <c r="E462" s="9" t="s">
        <v>37</v>
      </c>
      <c r="F462" s="9">
        <v>158000</v>
      </c>
      <c r="G462" s="9" t="s">
        <v>1051</v>
      </c>
      <c r="H462" s="9">
        <f t="shared" si="15"/>
        <v>2020</v>
      </c>
      <c r="I462">
        <f t="shared" si="16"/>
        <v>5</v>
      </c>
      <c r="K462"/>
      <c r="L462"/>
    </row>
    <row r="463" spans="2:12" ht="16.5" x14ac:dyDescent="0.25">
      <c r="B463" s="9" t="s">
        <v>1054</v>
      </c>
      <c r="C463" s="9" t="s">
        <v>56</v>
      </c>
      <c r="D463" s="9" t="s">
        <v>39</v>
      </c>
      <c r="E463" s="9" t="s">
        <v>38</v>
      </c>
      <c r="F463" s="9">
        <v>235000</v>
      </c>
      <c r="G463" s="9" t="s">
        <v>1056</v>
      </c>
      <c r="H463" s="9">
        <f t="shared" si="15"/>
        <v>2020</v>
      </c>
      <c r="I463">
        <f t="shared" si="16"/>
        <v>5</v>
      </c>
      <c r="K463"/>
      <c r="L463"/>
    </row>
    <row r="464" spans="2:12" ht="16.5" x14ac:dyDescent="0.25">
      <c r="B464" s="9" t="s">
        <v>1057</v>
      </c>
      <c r="C464" s="9" t="s">
        <v>35</v>
      </c>
      <c r="D464" s="9" t="s">
        <v>36</v>
      </c>
      <c r="E464" s="9" t="s">
        <v>39</v>
      </c>
      <c r="F464" s="9">
        <v>267000</v>
      </c>
      <c r="G464" s="9" t="s">
        <v>1059</v>
      </c>
      <c r="H464" s="9">
        <f t="shared" si="15"/>
        <v>2020</v>
      </c>
      <c r="I464">
        <f t="shared" si="16"/>
        <v>5</v>
      </c>
      <c r="K464"/>
      <c r="L464"/>
    </row>
    <row r="465" spans="2:12" ht="16.5" x14ac:dyDescent="0.25">
      <c r="B465" s="9" t="s">
        <v>1060</v>
      </c>
      <c r="C465" s="9" t="s">
        <v>35</v>
      </c>
      <c r="D465" s="9" t="s">
        <v>35</v>
      </c>
      <c r="E465" s="9" t="s">
        <v>34</v>
      </c>
      <c r="F465" s="9">
        <v>290000</v>
      </c>
      <c r="G465" s="9" t="s">
        <v>1061</v>
      </c>
      <c r="H465" s="9">
        <f t="shared" si="15"/>
        <v>2020</v>
      </c>
      <c r="I465">
        <f t="shared" si="16"/>
        <v>5</v>
      </c>
      <c r="K465"/>
      <c r="L465"/>
    </row>
    <row r="466" spans="2:12" ht="16.5" x14ac:dyDescent="0.25">
      <c r="B466" s="9" t="s">
        <v>1062</v>
      </c>
      <c r="C466" s="9" t="s">
        <v>36</v>
      </c>
      <c r="D466" s="9" t="s">
        <v>35</v>
      </c>
      <c r="E466" s="9" t="s">
        <v>39</v>
      </c>
      <c r="F466" s="9">
        <v>245000</v>
      </c>
      <c r="G466" s="9" t="s">
        <v>1061</v>
      </c>
      <c r="H466" s="9">
        <f t="shared" si="15"/>
        <v>2020</v>
      </c>
      <c r="I466">
        <f t="shared" si="16"/>
        <v>5</v>
      </c>
      <c r="K466"/>
      <c r="L466"/>
    </row>
    <row r="467" spans="2:12" ht="16.5" x14ac:dyDescent="0.25">
      <c r="B467" s="9" t="s">
        <v>1063</v>
      </c>
      <c r="C467" s="9" t="s">
        <v>35</v>
      </c>
      <c r="D467" s="9" t="s">
        <v>40</v>
      </c>
      <c r="E467" s="9" t="s">
        <v>35</v>
      </c>
      <c r="F467" s="9">
        <v>232000</v>
      </c>
      <c r="G467" s="9" t="s">
        <v>1061</v>
      </c>
      <c r="H467" s="9">
        <f t="shared" si="15"/>
        <v>2020</v>
      </c>
      <c r="I467">
        <f t="shared" si="16"/>
        <v>5</v>
      </c>
      <c r="K467"/>
      <c r="L467"/>
    </row>
    <row r="468" spans="2:12" ht="16.5" x14ac:dyDescent="0.25">
      <c r="B468" s="9" t="s">
        <v>1064</v>
      </c>
      <c r="C468" s="9" t="s">
        <v>59</v>
      </c>
      <c r="D468" s="9" t="s">
        <v>38</v>
      </c>
      <c r="E468" s="9" t="s">
        <v>35</v>
      </c>
      <c r="F468" s="9">
        <v>252000</v>
      </c>
      <c r="G468" s="9" t="s">
        <v>1065</v>
      </c>
      <c r="H468" s="9">
        <f t="shared" si="15"/>
        <v>2020</v>
      </c>
      <c r="I468">
        <f t="shared" si="16"/>
        <v>5</v>
      </c>
      <c r="K468"/>
      <c r="L468"/>
    </row>
    <row r="469" spans="2:12" ht="16.5" x14ac:dyDescent="0.25">
      <c r="B469" s="9" t="s">
        <v>1066</v>
      </c>
      <c r="C469" s="9" t="s">
        <v>39</v>
      </c>
      <c r="D469" s="9" t="s">
        <v>38</v>
      </c>
      <c r="E469" s="9" t="s">
        <v>34</v>
      </c>
      <c r="F469" s="9">
        <v>280000</v>
      </c>
      <c r="G469" s="9" t="s">
        <v>1067</v>
      </c>
      <c r="H469" s="9">
        <f t="shared" si="15"/>
        <v>2020</v>
      </c>
      <c r="I469">
        <f t="shared" si="16"/>
        <v>5</v>
      </c>
      <c r="K469"/>
      <c r="L469"/>
    </row>
    <row r="470" spans="2:12" ht="16.5" x14ac:dyDescent="0.25">
      <c r="B470" s="9" t="s">
        <v>1068</v>
      </c>
      <c r="C470" s="9" t="s">
        <v>39</v>
      </c>
      <c r="D470" s="9" t="s">
        <v>39</v>
      </c>
      <c r="E470" s="9" t="s">
        <v>38</v>
      </c>
      <c r="F470" s="9">
        <v>217000</v>
      </c>
      <c r="G470" s="9" t="s">
        <v>1069</v>
      </c>
      <c r="H470" s="9">
        <f t="shared" si="15"/>
        <v>2020</v>
      </c>
      <c r="I470">
        <f t="shared" si="16"/>
        <v>5</v>
      </c>
      <c r="K470"/>
      <c r="L470"/>
    </row>
    <row r="471" spans="2:12" ht="16.5" x14ac:dyDescent="0.25">
      <c r="B471" s="9" t="s">
        <v>1070</v>
      </c>
      <c r="C471" s="9" t="s">
        <v>59</v>
      </c>
      <c r="D471" s="9" t="s">
        <v>37</v>
      </c>
      <c r="E471" s="9" t="s">
        <v>37</v>
      </c>
      <c r="F471" s="9">
        <v>198000</v>
      </c>
      <c r="G471" s="9" t="s">
        <v>1071</v>
      </c>
      <c r="H471" s="9">
        <f t="shared" si="15"/>
        <v>2020</v>
      </c>
      <c r="I471">
        <f t="shared" si="16"/>
        <v>5</v>
      </c>
      <c r="K471"/>
      <c r="L471"/>
    </row>
    <row r="472" spans="2:12" ht="16.5" x14ac:dyDescent="0.25">
      <c r="B472" s="9" t="s">
        <v>1072</v>
      </c>
      <c r="C472" s="9" t="s">
        <v>37</v>
      </c>
      <c r="D472" s="9" t="s">
        <v>40</v>
      </c>
      <c r="E472" s="9" t="s">
        <v>34</v>
      </c>
      <c r="F472" s="9">
        <v>278000</v>
      </c>
      <c r="G472" s="9" t="s">
        <v>1071</v>
      </c>
      <c r="H472" s="9">
        <f t="shared" si="15"/>
        <v>2020</v>
      </c>
      <c r="I472">
        <f t="shared" si="16"/>
        <v>5</v>
      </c>
      <c r="K472"/>
      <c r="L472"/>
    </row>
    <row r="473" spans="2:12" ht="16.5" x14ac:dyDescent="0.25">
      <c r="B473" s="9" t="s">
        <v>1074</v>
      </c>
      <c r="C473" s="9" t="s">
        <v>35</v>
      </c>
      <c r="D473" s="9" t="s">
        <v>38</v>
      </c>
      <c r="E473" s="9" t="s">
        <v>37</v>
      </c>
      <c r="F473" s="9">
        <v>100000</v>
      </c>
      <c r="G473" s="9" t="s">
        <v>1075</v>
      </c>
      <c r="H473" s="9">
        <f t="shared" si="15"/>
        <v>2020</v>
      </c>
      <c r="I473">
        <f t="shared" si="16"/>
        <v>5</v>
      </c>
      <c r="K473"/>
      <c r="L473"/>
    </row>
    <row r="474" spans="2:12" ht="16.5" x14ac:dyDescent="0.25">
      <c r="B474" s="9" t="s">
        <v>1076</v>
      </c>
      <c r="C474" s="9" t="s">
        <v>36</v>
      </c>
      <c r="D474" s="9" t="s">
        <v>37</v>
      </c>
      <c r="E474" s="9" t="s">
        <v>36</v>
      </c>
      <c r="F474" s="9">
        <v>34000</v>
      </c>
      <c r="G474" s="9" t="s">
        <v>1075</v>
      </c>
      <c r="H474" s="9">
        <f t="shared" si="15"/>
        <v>2020</v>
      </c>
      <c r="I474">
        <f t="shared" si="16"/>
        <v>5</v>
      </c>
      <c r="K474"/>
      <c r="L474"/>
    </row>
    <row r="475" spans="2:12" ht="16.5" x14ac:dyDescent="0.25">
      <c r="B475" s="9" t="s">
        <v>1078</v>
      </c>
      <c r="C475" s="9" t="s">
        <v>39</v>
      </c>
      <c r="D475" s="9" t="s">
        <v>35</v>
      </c>
      <c r="E475" s="9" t="s">
        <v>35</v>
      </c>
      <c r="F475" s="9">
        <v>85000</v>
      </c>
      <c r="G475" s="9" t="s">
        <v>1079</v>
      </c>
      <c r="H475" s="9">
        <f t="shared" si="15"/>
        <v>2020</v>
      </c>
      <c r="I475">
        <f t="shared" si="16"/>
        <v>5</v>
      </c>
      <c r="K475"/>
      <c r="L475"/>
    </row>
    <row r="476" spans="2:12" ht="16.5" x14ac:dyDescent="0.25">
      <c r="B476" s="9" t="s">
        <v>1080</v>
      </c>
      <c r="C476" s="9" t="s">
        <v>34</v>
      </c>
      <c r="D476" s="9" t="s">
        <v>36</v>
      </c>
      <c r="E476" s="9" t="s">
        <v>36</v>
      </c>
      <c r="F476" s="9">
        <v>247000</v>
      </c>
      <c r="G476" s="9" t="s">
        <v>1079</v>
      </c>
      <c r="H476" s="9">
        <f t="shared" si="15"/>
        <v>2020</v>
      </c>
      <c r="I476">
        <f t="shared" si="16"/>
        <v>5</v>
      </c>
      <c r="K476"/>
      <c r="L476"/>
    </row>
    <row r="477" spans="2:12" ht="16.5" x14ac:dyDescent="0.25">
      <c r="B477" s="9" t="s">
        <v>1081</v>
      </c>
      <c r="C477" s="9" t="s">
        <v>38</v>
      </c>
      <c r="D477" s="9" t="s">
        <v>37</v>
      </c>
      <c r="E477" s="9" t="s">
        <v>38</v>
      </c>
      <c r="F477" s="9">
        <v>233000</v>
      </c>
      <c r="G477" s="9" t="s">
        <v>1079</v>
      </c>
      <c r="H477" s="9">
        <f t="shared" si="15"/>
        <v>2020</v>
      </c>
      <c r="I477">
        <f t="shared" si="16"/>
        <v>5</v>
      </c>
      <c r="K477"/>
      <c r="L477"/>
    </row>
    <row r="478" spans="2:12" ht="16.5" x14ac:dyDescent="0.25">
      <c r="B478" s="9" t="s">
        <v>1082</v>
      </c>
      <c r="C478" s="9" t="s">
        <v>37</v>
      </c>
      <c r="D478" s="9" t="s">
        <v>37</v>
      </c>
      <c r="E478" s="9" t="s">
        <v>37</v>
      </c>
      <c r="F478" s="9">
        <v>122000</v>
      </c>
      <c r="G478" s="9" t="s">
        <v>1084</v>
      </c>
      <c r="H478" s="9">
        <f t="shared" si="15"/>
        <v>2020</v>
      </c>
      <c r="I478">
        <f t="shared" si="16"/>
        <v>5</v>
      </c>
      <c r="K478"/>
      <c r="L478"/>
    </row>
    <row r="479" spans="2:12" ht="16.5" x14ac:dyDescent="0.25">
      <c r="B479" s="9" t="s">
        <v>1085</v>
      </c>
      <c r="C479" s="9" t="s">
        <v>40</v>
      </c>
      <c r="D479" s="9" t="s">
        <v>37</v>
      </c>
      <c r="E479" s="9" t="s">
        <v>35</v>
      </c>
      <c r="F479" s="9">
        <v>88000</v>
      </c>
      <c r="G479" s="9" t="s">
        <v>1086</v>
      </c>
      <c r="H479" s="9">
        <f t="shared" si="15"/>
        <v>2020</v>
      </c>
      <c r="I479">
        <f t="shared" si="16"/>
        <v>5</v>
      </c>
      <c r="K479"/>
      <c r="L479"/>
    </row>
    <row r="480" spans="2:12" ht="16.5" x14ac:dyDescent="0.25">
      <c r="B480" s="9" t="s">
        <v>1087</v>
      </c>
      <c r="C480" s="9" t="s">
        <v>36</v>
      </c>
      <c r="D480" s="9" t="s">
        <v>37</v>
      </c>
      <c r="E480" s="9" t="s">
        <v>36</v>
      </c>
      <c r="F480" s="9">
        <v>137000</v>
      </c>
      <c r="G480" s="9" t="s">
        <v>1088</v>
      </c>
      <c r="H480" s="9">
        <f t="shared" si="15"/>
        <v>2020</v>
      </c>
      <c r="I480">
        <f t="shared" si="16"/>
        <v>5</v>
      </c>
      <c r="K480"/>
      <c r="L480"/>
    </row>
    <row r="481" spans="2:12" ht="16.5" x14ac:dyDescent="0.25">
      <c r="B481" s="9" t="s">
        <v>1089</v>
      </c>
      <c r="C481" s="9" t="s">
        <v>59</v>
      </c>
      <c r="D481" s="9" t="s">
        <v>36</v>
      </c>
      <c r="E481" s="9" t="s">
        <v>38</v>
      </c>
      <c r="F481" s="9">
        <v>109000</v>
      </c>
      <c r="G481" s="9" t="s">
        <v>1091</v>
      </c>
      <c r="H481" s="9">
        <f t="shared" si="15"/>
        <v>2020</v>
      </c>
      <c r="I481">
        <f t="shared" si="16"/>
        <v>5</v>
      </c>
      <c r="K481"/>
      <c r="L481"/>
    </row>
    <row r="482" spans="2:12" ht="16.5" x14ac:dyDescent="0.25">
      <c r="B482" s="9" t="s">
        <v>1092</v>
      </c>
      <c r="C482" s="9" t="s">
        <v>56</v>
      </c>
      <c r="D482" s="9" t="s">
        <v>35</v>
      </c>
      <c r="E482" s="9" t="s">
        <v>35</v>
      </c>
      <c r="F482" s="9">
        <v>241000</v>
      </c>
      <c r="G482" s="9" t="s">
        <v>1091</v>
      </c>
      <c r="H482" s="9">
        <f t="shared" si="15"/>
        <v>2020</v>
      </c>
      <c r="I482">
        <f t="shared" si="16"/>
        <v>5</v>
      </c>
      <c r="K482"/>
      <c r="L482"/>
    </row>
    <row r="483" spans="2:12" ht="16.5" x14ac:dyDescent="0.25">
      <c r="B483" s="9" t="s">
        <v>1093</v>
      </c>
      <c r="C483" s="9" t="s">
        <v>40</v>
      </c>
      <c r="D483" s="9" t="s">
        <v>39</v>
      </c>
      <c r="E483" s="9" t="s">
        <v>36</v>
      </c>
      <c r="F483" s="9">
        <v>286000</v>
      </c>
      <c r="G483" s="9" t="s">
        <v>1094</v>
      </c>
      <c r="H483" s="9">
        <f t="shared" si="15"/>
        <v>2020</v>
      </c>
      <c r="I483">
        <f t="shared" si="16"/>
        <v>5</v>
      </c>
      <c r="K483"/>
      <c r="L483"/>
    </row>
    <row r="484" spans="2:12" ht="16.5" x14ac:dyDescent="0.25">
      <c r="B484" s="9" t="s">
        <v>1095</v>
      </c>
      <c r="C484" s="9" t="s">
        <v>36</v>
      </c>
      <c r="D484" s="9" t="s">
        <v>40</v>
      </c>
      <c r="E484" s="9" t="s">
        <v>39</v>
      </c>
      <c r="F484" s="9">
        <v>276000</v>
      </c>
      <c r="G484" s="9" t="s">
        <v>1094</v>
      </c>
      <c r="H484" s="9">
        <f t="shared" si="15"/>
        <v>2020</v>
      </c>
      <c r="I484">
        <f t="shared" si="16"/>
        <v>5</v>
      </c>
      <c r="K484"/>
      <c r="L484"/>
    </row>
    <row r="485" spans="2:12" ht="16.5" x14ac:dyDescent="0.25">
      <c r="B485" s="9" t="s">
        <v>1096</v>
      </c>
      <c r="C485" s="9" t="s">
        <v>34</v>
      </c>
      <c r="D485" s="9" t="s">
        <v>34</v>
      </c>
      <c r="E485" s="9" t="s">
        <v>37</v>
      </c>
      <c r="F485" s="9">
        <v>267000</v>
      </c>
      <c r="G485" s="9" t="s">
        <v>1097</v>
      </c>
      <c r="H485" s="9">
        <f t="shared" si="15"/>
        <v>2020</v>
      </c>
      <c r="I485">
        <f t="shared" si="16"/>
        <v>5</v>
      </c>
      <c r="K485"/>
      <c r="L485"/>
    </row>
    <row r="486" spans="2:12" ht="16.5" x14ac:dyDescent="0.25">
      <c r="B486" s="9" t="s">
        <v>1098</v>
      </c>
      <c r="C486" s="9" t="s">
        <v>59</v>
      </c>
      <c r="D486" s="9" t="s">
        <v>35</v>
      </c>
      <c r="E486" s="9" t="s">
        <v>39</v>
      </c>
      <c r="F486" s="9">
        <v>144000</v>
      </c>
      <c r="G486" s="9" t="s">
        <v>1099</v>
      </c>
      <c r="H486" s="9">
        <f t="shared" si="15"/>
        <v>2020</v>
      </c>
      <c r="I486">
        <f t="shared" si="16"/>
        <v>6</v>
      </c>
      <c r="K486"/>
      <c r="L486"/>
    </row>
    <row r="487" spans="2:12" ht="16.5" x14ac:dyDescent="0.25">
      <c r="B487" s="9" t="s">
        <v>1100</v>
      </c>
      <c r="C487" s="9" t="s">
        <v>34</v>
      </c>
      <c r="D487" s="9" t="s">
        <v>34</v>
      </c>
      <c r="E487" s="9" t="s">
        <v>35</v>
      </c>
      <c r="F487" s="9">
        <v>145000</v>
      </c>
      <c r="G487" s="9" t="s">
        <v>1101</v>
      </c>
      <c r="H487" s="9">
        <f t="shared" si="15"/>
        <v>2020</v>
      </c>
      <c r="I487">
        <f t="shared" si="16"/>
        <v>6</v>
      </c>
      <c r="K487"/>
      <c r="L487"/>
    </row>
    <row r="488" spans="2:12" ht="16.5" x14ac:dyDescent="0.25">
      <c r="B488" s="9" t="s">
        <v>1102</v>
      </c>
      <c r="C488" s="9" t="s">
        <v>40</v>
      </c>
      <c r="D488" s="9" t="s">
        <v>35</v>
      </c>
      <c r="E488" s="9" t="s">
        <v>37</v>
      </c>
      <c r="F488" s="9">
        <v>148000</v>
      </c>
      <c r="G488" s="9" t="s">
        <v>1103</v>
      </c>
      <c r="H488" s="9">
        <f t="shared" si="15"/>
        <v>2020</v>
      </c>
      <c r="I488">
        <f t="shared" si="16"/>
        <v>6</v>
      </c>
      <c r="K488"/>
      <c r="L488"/>
    </row>
    <row r="489" spans="2:12" ht="16.5" x14ac:dyDescent="0.25">
      <c r="B489" s="9" t="s">
        <v>1104</v>
      </c>
      <c r="C489" s="9" t="s">
        <v>56</v>
      </c>
      <c r="D489" s="9" t="s">
        <v>34</v>
      </c>
      <c r="E489" s="9" t="s">
        <v>34</v>
      </c>
      <c r="F489" s="9">
        <v>78000</v>
      </c>
      <c r="G489" s="9" t="s">
        <v>1105</v>
      </c>
      <c r="H489" s="9">
        <f t="shared" si="15"/>
        <v>2020</v>
      </c>
      <c r="I489">
        <f t="shared" si="16"/>
        <v>6</v>
      </c>
      <c r="K489"/>
      <c r="L489"/>
    </row>
    <row r="490" spans="2:12" ht="16.5" x14ac:dyDescent="0.25">
      <c r="B490" s="9" t="s">
        <v>1106</v>
      </c>
      <c r="C490" s="9" t="s">
        <v>40</v>
      </c>
      <c r="D490" s="9" t="s">
        <v>40</v>
      </c>
      <c r="E490" s="9" t="s">
        <v>34</v>
      </c>
      <c r="F490" s="9">
        <v>135000</v>
      </c>
      <c r="G490" s="9" t="s">
        <v>1108</v>
      </c>
      <c r="H490" s="9">
        <f t="shared" si="15"/>
        <v>2020</v>
      </c>
      <c r="I490">
        <f t="shared" si="16"/>
        <v>6</v>
      </c>
      <c r="K490"/>
      <c r="L490"/>
    </row>
    <row r="491" spans="2:12" ht="16.5" x14ac:dyDescent="0.25">
      <c r="B491" s="9" t="s">
        <v>1109</v>
      </c>
      <c r="C491" s="9" t="s">
        <v>36</v>
      </c>
      <c r="D491" s="9" t="s">
        <v>40</v>
      </c>
      <c r="E491" s="9" t="s">
        <v>37</v>
      </c>
      <c r="F491" s="9">
        <v>253000</v>
      </c>
      <c r="G491" s="9" t="s">
        <v>1110</v>
      </c>
      <c r="H491" s="9">
        <f t="shared" si="15"/>
        <v>2020</v>
      </c>
      <c r="I491">
        <f t="shared" si="16"/>
        <v>6</v>
      </c>
      <c r="K491"/>
      <c r="L491"/>
    </row>
    <row r="492" spans="2:12" ht="16.5" x14ac:dyDescent="0.25">
      <c r="B492" s="9" t="s">
        <v>1111</v>
      </c>
      <c r="C492" s="9" t="s">
        <v>39</v>
      </c>
      <c r="D492" s="9" t="s">
        <v>40</v>
      </c>
      <c r="E492" s="9" t="s">
        <v>37</v>
      </c>
      <c r="F492" s="9">
        <v>78000</v>
      </c>
      <c r="G492" s="9" t="s">
        <v>1112</v>
      </c>
      <c r="H492" s="9">
        <f t="shared" si="15"/>
        <v>2020</v>
      </c>
      <c r="I492">
        <f t="shared" si="16"/>
        <v>6</v>
      </c>
      <c r="K492"/>
      <c r="L492"/>
    </row>
    <row r="493" spans="2:12" ht="16.5" x14ac:dyDescent="0.25">
      <c r="B493" s="9" t="s">
        <v>1113</v>
      </c>
      <c r="C493" s="9" t="s">
        <v>36</v>
      </c>
      <c r="D493" s="9" t="s">
        <v>35</v>
      </c>
      <c r="E493" s="9" t="s">
        <v>34</v>
      </c>
      <c r="F493" s="9">
        <v>33000</v>
      </c>
      <c r="G493" s="9" t="s">
        <v>1114</v>
      </c>
      <c r="H493" s="9">
        <f t="shared" si="15"/>
        <v>2020</v>
      </c>
      <c r="I493">
        <f t="shared" si="16"/>
        <v>6</v>
      </c>
      <c r="K493"/>
      <c r="L493"/>
    </row>
    <row r="494" spans="2:12" ht="16.5" x14ac:dyDescent="0.25">
      <c r="B494" s="9" t="s">
        <v>1115</v>
      </c>
      <c r="C494" s="9" t="s">
        <v>37</v>
      </c>
      <c r="D494" s="9" t="s">
        <v>38</v>
      </c>
      <c r="E494" s="9" t="s">
        <v>37</v>
      </c>
      <c r="F494" s="9">
        <v>208000</v>
      </c>
      <c r="G494" s="9" t="s">
        <v>1116</v>
      </c>
      <c r="H494" s="9">
        <f t="shared" si="15"/>
        <v>2020</v>
      </c>
      <c r="I494">
        <f t="shared" si="16"/>
        <v>6</v>
      </c>
      <c r="K494"/>
      <c r="L494"/>
    </row>
    <row r="495" spans="2:12" ht="16.5" x14ac:dyDescent="0.25">
      <c r="B495" s="9" t="s">
        <v>1117</v>
      </c>
      <c r="C495" s="9" t="s">
        <v>35</v>
      </c>
      <c r="D495" s="9" t="s">
        <v>40</v>
      </c>
      <c r="E495" s="9" t="s">
        <v>36</v>
      </c>
      <c r="F495" s="9">
        <v>152000</v>
      </c>
      <c r="G495" s="9" t="s">
        <v>1116</v>
      </c>
      <c r="H495" s="9">
        <f t="shared" si="15"/>
        <v>2020</v>
      </c>
      <c r="I495">
        <f t="shared" si="16"/>
        <v>6</v>
      </c>
      <c r="K495"/>
      <c r="L495"/>
    </row>
    <row r="496" spans="2:12" ht="16.5" x14ac:dyDescent="0.25">
      <c r="B496" s="9" t="s">
        <v>1118</v>
      </c>
      <c r="C496" s="9" t="s">
        <v>38</v>
      </c>
      <c r="D496" s="9" t="s">
        <v>37</v>
      </c>
      <c r="E496" s="9" t="s">
        <v>37</v>
      </c>
      <c r="F496" s="9">
        <v>235000</v>
      </c>
      <c r="G496" s="9" t="s">
        <v>1119</v>
      </c>
      <c r="H496" s="9">
        <f t="shared" si="15"/>
        <v>2020</v>
      </c>
      <c r="I496">
        <f t="shared" si="16"/>
        <v>6</v>
      </c>
      <c r="K496"/>
      <c r="L496"/>
    </row>
    <row r="497" spans="2:12" ht="16.5" x14ac:dyDescent="0.25">
      <c r="B497" s="9" t="s">
        <v>1120</v>
      </c>
      <c r="C497" s="9" t="s">
        <v>38</v>
      </c>
      <c r="D497" s="9" t="s">
        <v>34</v>
      </c>
      <c r="E497" s="9" t="s">
        <v>34</v>
      </c>
      <c r="F497" s="9">
        <v>42000</v>
      </c>
      <c r="G497" s="9" t="s">
        <v>1121</v>
      </c>
      <c r="H497" s="9">
        <f t="shared" si="15"/>
        <v>2020</v>
      </c>
      <c r="I497">
        <f t="shared" si="16"/>
        <v>6</v>
      </c>
      <c r="K497"/>
      <c r="L497"/>
    </row>
    <row r="498" spans="2:12" ht="16.5" x14ac:dyDescent="0.25">
      <c r="B498" s="9" t="s">
        <v>1122</v>
      </c>
      <c r="C498" s="9" t="s">
        <v>39</v>
      </c>
      <c r="D498" s="9" t="s">
        <v>34</v>
      </c>
      <c r="E498" s="9" t="s">
        <v>34</v>
      </c>
      <c r="F498" s="9">
        <v>31000</v>
      </c>
      <c r="G498" s="9" t="s">
        <v>1123</v>
      </c>
      <c r="H498" s="9">
        <f t="shared" si="15"/>
        <v>2020</v>
      </c>
      <c r="I498">
        <f t="shared" si="16"/>
        <v>6</v>
      </c>
      <c r="K498"/>
      <c r="L498"/>
    </row>
    <row r="499" spans="2:12" ht="16.5" x14ac:dyDescent="0.25">
      <c r="B499" s="9" t="s">
        <v>1124</v>
      </c>
      <c r="C499" s="9" t="s">
        <v>36</v>
      </c>
      <c r="D499" s="9" t="s">
        <v>39</v>
      </c>
      <c r="E499" s="9" t="s">
        <v>38</v>
      </c>
      <c r="F499" s="9">
        <v>240000</v>
      </c>
      <c r="G499" s="9" t="s">
        <v>1126</v>
      </c>
      <c r="H499" s="9">
        <f t="shared" si="15"/>
        <v>2020</v>
      </c>
      <c r="I499">
        <f t="shared" si="16"/>
        <v>6</v>
      </c>
      <c r="K499"/>
      <c r="L499"/>
    </row>
    <row r="500" spans="2:12" ht="16.5" x14ac:dyDescent="0.25">
      <c r="B500" s="9" t="s">
        <v>1127</v>
      </c>
      <c r="C500" s="9" t="s">
        <v>36</v>
      </c>
      <c r="D500" s="9" t="s">
        <v>37</v>
      </c>
      <c r="E500" s="9" t="s">
        <v>38</v>
      </c>
      <c r="F500" s="9">
        <v>295000</v>
      </c>
      <c r="G500" s="9" t="s">
        <v>1129</v>
      </c>
      <c r="H500" s="9">
        <f t="shared" si="15"/>
        <v>2020</v>
      </c>
      <c r="I500">
        <f t="shared" si="16"/>
        <v>6</v>
      </c>
      <c r="K500"/>
      <c r="L500"/>
    </row>
    <row r="501" spans="2:12" ht="16.5" x14ac:dyDescent="0.25">
      <c r="B501" s="9" t="s">
        <v>1130</v>
      </c>
      <c r="C501" s="9" t="s">
        <v>38</v>
      </c>
      <c r="D501" s="9" t="s">
        <v>35</v>
      </c>
      <c r="E501" s="9" t="s">
        <v>39</v>
      </c>
      <c r="F501" s="9">
        <v>31000</v>
      </c>
      <c r="G501" s="9" t="s">
        <v>1129</v>
      </c>
      <c r="H501" s="9">
        <f t="shared" si="15"/>
        <v>2020</v>
      </c>
      <c r="I501">
        <f t="shared" si="16"/>
        <v>6</v>
      </c>
      <c r="K501"/>
      <c r="L501"/>
    </row>
    <row r="502" spans="2:12" ht="16.5" x14ac:dyDescent="0.25">
      <c r="B502" s="9" t="s">
        <v>1131</v>
      </c>
      <c r="C502" s="9" t="s">
        <v>59</v>
      </c>
      <c r="D502" s="9" t="s">
        <v>40</v>
      </c>
      <c r="E502" s="9" t="s">
        <v>39</v>
      </c>
      <c r="F502" s="9">
        <v>278000</v>
      </c>
      <c r="G502" s="9" t="s">
        <v>1132</v>
      </c>
      <c r="H502" s="9">
        <f t="shared" si="15"/>
        <v>2020</v>
      </c>
      <c r="I502">
        <f t="shared" si="16"/>
        <v>6</v>
      </c>
      <c r="K502"/>
      <c r="L502"/>
    </row>
    <row r="503" spans="2:12" ht="16.5" x14ac:dyDescent="0.25">
      <c r="B503" s="9" t="s">
        <v>1133</v>
      </c>
      <c r="C503" s="9" t="s">
        <v>37</v>
      </c>
      <c r="D503" s="9" t="s">
        <v>34</v>
      </c>
      <c r="E503" s="9" t="s">
        <v>34</v>
      </c>
      <c r="F503" s="9">
        <v>218000</v>
      </c>
      <c r="G503" s="9" t="s">
        <v>1132</v>
      </c>
      <c r="H503" s="9">
        <f t="shared" si="15"/>
        <v>2020</v>
      </c>
      <c r="I503">
        <f t="shared" si="16"/>
        <v>6</v>
      </c>
      <c r="K503"/>
      <c r="L503"/>
    </row>
    <row r="504" spans="2:12" ht="16.5" x14ac:dyDescent="0.25">
      <c r="B504" s="9" t="s">
        <v>1134</v>
      </c>
      <c r="C504" s="9" t="s">
        <v>38</v>
      </c>
      <c r="D504" s="9" t="s">
        <v>37</v>
      </c>
      <c r="E504" s="9" t="s">
        <v>38</v>
      </c>
      <c r="F504" s="9">
        <v>297000</v>
      </c>
      <c r="G504" s="9" t="s">
        <v>1132</v>
      </c>
      <c r="H504" s="9">
        <f t="shared" si="15"/>
        <v>2020</v>
      </c>
      <c r="I504">
        <f t="shared" si="16"/>
        <v>6</v>
      </c>
      <c r="K504"/>
      <c r="L504"/>
    </row>
    <row r="505" spans="2:12" ht="16.5" x14ac:dyDescent="0.25">
      <c r="B505" s="9" t="s">
        <v>1135</v>
      </c>
      <c r="C505" s="9" t="s">
        <v>39</v>
      </c>
      <c r="D505" s="9" t="s">
        <v>39</v>
      </c>
      <c r="E505" s="9" t="s">
        <v>39</v>
      </c>
      <c r="F505" s="9">
        <v>241000</v>
      </c>
      <c r="G505" s="9" t="s">
        <v>1132</v>
      </c>
      <c r="H505" s="9">
        <f t="shared" si="15"/>
        <v>2020</v>
      </c>
      <c r="I505">
        <f t="shared" si="16"/>
        <v>6</v>
      </c>
      <c r="K505"/>
      <c r="L505"/>
    </row>
    <row r="506" spans="2:12" ht="16.5" x14ac:dyDescent="0.25">
      <c r="B506" s="9" t="s">
        <v>1136</v>
      </c>
      <c r="C506" s="9" t="s">
        <v>38</v>
      </c>
      <c r="D506" s="9" t="s">
        <v>39</v>
      </c>
      <c r="E506" s="9" t="s">
        <v>37</v>
      </c>
      <c r="F506" s="9">
        <v>108000</v>
      </c>
      <c r="G506" s="9" t="s">
        <v>1137</v>
      </c>
      <c r="H506" s="9">
        <f t="shared" si="15"/>
        <v>2020</v>
      </c>
      <c r="I506">
        <f t="shared" si="16"/>
        <v>6</v>
      </c>
      <c r="K506"/>
      <c r="L506"/>
    </row>
    <row r="507" spans="2:12" ht="16.5" x14ac:dyDescent="0.25">
      <c r="B507" s="9" t="s">
        <v>1138</v>
      </c>
      <c r="C507" s="9" t="s">
        <v>38</v>
      </c>
      <c r="D507" s="9" t="s">
        <v>40</v>
      </c>
      <c r="E507" s="9" t="s">
        <v>39</v>
      </c>
      <c r="F507" s="9">
        <v>108000</v>
      </c>
      <c r="G507" s="9" t="s">
        <v>1139</v>
      </c>
      <c r="H507" s="9">
        <f t="shared" si="15"/>
        <v>2020</v>
      </c>
      <c r="I507">
        <f t="shared" si="16"/>
        <v>6</v>
      </c>
      <c r="K507"/>
      <c r="L507"/>
    </row>
    <row r="508" spans="2:12" ht="16.5" x14ac:dyDescent="0.25">
      <c r="B508" s="9" t="s">
        <v>1140</v>
      </c>
      <c r="C508" s="9" t="s">
        <v>39</v>
      </c>
      <c r="D508" s="9" t="s">
        <v>37</v>
      </c>
      <c r="E508" s="9" t="s">
        <v>35</v>
      </c>
      <c r="F508" s="9">
        <v>170000</v>
      </c>
      <c r="G508" s="9" t="s">
        <v>1141</v>
      </c>
      <c r="H508" s="9">
        <f t="shared" si="15"/>
        <v>2020</v>
      </c>
      <c r="I508">
        <f t="shared" si="16"/>
        <v>6</v>
      </c>
      <c r="K508"/>
      <c r="L508"/>
    </row>
    <row r="509" spans="2:12" ht="16.5" x14ac:dyDescent="0.25">
      <c r="B509" s="9" t="s">
        <v>1142</v>
      </c>
      <c r="C509" s="9" t="s">
        <v>56</v>
      </c>
      <c r="D509" s="9" t="s">
        <v>38</v>
      </c>
      <c r="E509" s="9" t="s">
        <v>37</v>
      </c>
      <c r="F509" s="9">
        <v>211000</v>
      </c>
      <c r="G509" s="9" t="s">
        <v>1143</v>
      </c>
      <c r="H509" s="9">
        <f t="shared" si="15"/>
        <v>2020</v>
      </c>
      <c r="I509">
        <f t="shared" si="16"/>
        <v>7</v>
      </c>
      <c r="K509"/>
      <c r="L509"/>
    </row>
    <row r="510" spans="2:12" ht="16.5" x14ac:dyDescent="0.25">
      <c r="B510" s="9" t="s">
        <v>1144</v>
      </c>
      <c r="C510" s="9" t="s">
        <v>37</v>
      </c>
      <c r="D510" s="9" t="s">
        <v>37</v>
      </c>
      <c r="E510" s="9" t="s">
        <v>38</v>
      </c>
      <c r="F510" s="9">
        <v>110000</v>
      </c>
      <c r="G510" s="9" t="s">
        <v>1145</v>
      </c>
      <c r="H510" s="9">
        <f t="shared" si="15"/>
        <v>2020</v>
      </c>
      <c r="I510">
        <f t="shared" si="16"/>
        <v>7</v>
      </c>
      <c r="K510"/>
      <c r="L510"/>
    </row>
    <row r="511" spans="2:12" ht="16.5" x14ac:dyDescent="0.25">
      <c r="B511" s="9" t="s">
        <v>1146</v>
      </c>
      <c r="C511" s="9" t="s">
        <v>37</v>
      </c>
      <c r="D511" s="9" t="s">
        <v>35</v>
      </c>
      <c r="E511" s="9" t="s">
        <v>34</v>
      </c>
      <c r="F511" s="9">
        <v>254000</v>
      </c>
      <c r="G511" s="9" t="s">
        <v>1148</v>
      </c>
      <c r="H511" s="9">
        <f t="shared" si="15"/>
        <v>2020</v>
      </c>
      <c r="I511">
        <f t="shared" si="16"/>
        <v>7</v>
      </c>
      <c r="K511"/>
      <c r="L511"/>
    </row>
    <row r="512" spans="2:12" ht="16.5" x14ac:dyDescent="0.25">
      <c r="B512" s="9" t="s">
        <v>1149</v>
      </c>
      <c r="C512" s="9" t="s">
        <v>59</v>
      </c>
      <c r="D512" s="9" t="s">
        <v>39</v>
      </c>
      <c r="E512" s="9" t="s">
        <v>34</v>
      </c>
      <c r="F512" s="9">
        <v>64000</v>
      </c>
      <c r="G512" s="9" t="s">
        <v>1148</v>
      </c>
      <c r="H512" s="9">
        <f t="shared" si="15"/>
        <v>2020</v>
      </c>
      <c r="I512">
        <f t="shared" si="16"/>
        <v>7</v>
      </c>
      <c r="K512"/>
      <c r="L512"/>
    </row>
    <row r="513" spans="2:12" ht="16.5" x14ac:dyDescent="0.25">
      <c r="B513" s="9" t="s">
        <v>1150</v>
      </c>
      <c r="C513" s="9" t="s">
        <v>38</v>
      </c>
      <c r="D513" s="9" t="s">
        <v>36</v>
      </c>
      <c r="E513" s="9" t="s">
        <v>35</v>
      </c>
      <c r="F513" s="9">
        <v>133000</v>
      </c>
      <c r="G513" s="9" t="s">
        <v>1148</v>
      </c>
      <c r="H513" s="9">
        <f t="shared" si="15"/>
        <v>2020</v>
      </c>
      <c r="I513">
        <f t="shared" si="16"/>
        <v>7</v>
      </c>
      <c r="K513"/>
      <c r="L513"/>
    </row>
    <row r="514" spans="2:12" ht="16.5" x14ac:dyDescent="0.25">
      <c r="B514" s="9" t="s">
        <v>1152</v>
      </c>
      <c r="C514" s="9" t="s">
        <v>37</v>
      </c>
      <c r="D514" s="9" t="s">
        <v>34</v>
      </c>
      <c r="E514" s="9" t="s">
        <v>34</v>
      </c>
      <c r="F514" s="9">
        <v>194000</v>
      </c>
      <c r="G514" s="9" t="s">
        <v>1154</v>
      </c>
      <c r="H514" s="9">
        <f t="shared" si="15"/>
        <v>2020</v>
      </c>
      <c r="I514">
        <f t="shared" si="16"/>
        <v>7</v>
      </c>
      <c r="K514"/>
      <c r="L514"/>
    </row>
    <row r="515" spans="2:12" ht="16.5" x14ac:dyDescent="0.25">
      <c r="B515" s="9" t="s">
        <v>1155</v>
      </c>
      <c r="C515" s="9" t="s">
        <v>38</v>
      </c>
      <c r="D515" s="9" t="s">
        <v>37</v>
      </c>
      <c r="E515" s="9" t="s">
        <v>39</v>
      </c>
      <c r="F515" s="9">
        <v>108000</v>
      </c>
      <c r="G515" s="9" t="s">
        <v>1156</v>
      </c>
      <c r="H515" s="9">
        <f t="shared" ref="H515:H578" si="17">YEAR(G515)</f>
        <v>2020</v>
      </c>
      <c r="I515">
        <f t="shared" ref="I515:I578" si="18">MONTH(G515)</f>
        <v>7</v>
      </c>
      <c r="K515"/>
      <c r="L515"/>
    </row>
    <row r="516" spans="2:12" ht="16.5" x14ac:dyDescent="0.25">
      <c r="B516" s="9" t="s">
        <v>1157</v>
      </c>
      <c r="C516" s="9" t="s">
        <v>35</v>
      </c>
      <c r="D516" s="9" t="s">
        <v>39</v>
      </c>
      <c r="E516" s="9" t="s">
        <v>34</v>
      </c>
      <c r="F516" s="9">
        <v>135000</v>
      </c>
      <c r="G516" s="9" t="s">
        <v>1158</v>
      </c>
      <c r="H516" s="9">
        <f t="shared" si="17"/>
        <v>2020</v>
      </c>
      <c r="I516">
        <f t="shared" si="18"/>
        <v>7</v>
      </c>
      <c r="K516"/>
      <c r="L516"/>
    </row>
    <row r="517" spans="2:12" ht="16.5" x14ac:dyDescent="0.25">
      <c r="B517" s="9" t="s">
        <v>1159</v>
      </c>
      <c r="C517" s="9" t="s">
        <v>36</v>
      </c>
      <c r="D517" s="9" t="s">
        <v>34</v>
      </c>
      <c r="E517" s="9" t="s">
        <v>38</v>
      </c>
      <c r="F517" s="9">
        <v>129000</v>
      </c>
      <c r="G517" s="9" t="s">
        <v>1160</v>
      </c>
      <c r="H517" s="9">
        <f t="shared" si="17"/>
        <v>2020</v>
      </c>
      <c r="I517">
        <f t="shared" si="18"/>
        <v>7</v>
      </c>
      <c r="K517"/>
      <c r="L517"/>
    </row>
    <row r="518" spans="2:12" ht="16.5" x14ac:dyDescent="0.25">
      <c r="B518" s="9" t="s">
        <v>1161</v>
      </c>
      <c r="C518" s="9" t="s">
        <v>38</v>
      </c>
      <c r="D518" s="9" t="s">
        <v>34</v>
      </c>
      <c r="E518" s="9" t="s">
        <v>39</v>
      </c>
      <c r="F518" s="9">
        <v>142000</v>
      </c>
      <c r="G518" s="9" t="s">
        <v>1162</v>
      </c>
      <c r="H518" s="9">
        <f t="shared" si="17"/>
        <v>2020</v>
      </c>
      <c r="I518">
        <f t="shared" si="18"/>
        <v>7</v>
      </c>
      <c r="K518"/>
      <c r="L518"/>
    </row>
    <row r="519" spans="2:12" ht="16.5" x14ac:dyDescent="0.25">
      <c r="B519" s="9" t="s">
        <v>1163</v>
      </c>
      <c r="C519" s="9" t="s">
        <v>40</v>
      </c>
      <c r="D519" s="9" t="s">
        <v>37</v>
      </c>
      <c r="E519" s="9" t="s">
        <v>38</v>
      </c>
      <c r="F519" s="9">
        <v>253000</v>
      </c>
      <c r="G519" s="9" t="s">
        <v>1164</v>
      </c>
      <c r="H519" s="9">
        <f t="shared" si="17"/>
        <v>2020</v>
      </c>
      <c r="I519">
        <f t="shared" si="18"/>
        <v>7</v>
      </c>
      <c r="K519"/>
      <c r="L519"/>
    </row>
    <row r="520" spans="2:12" ht="16.5" x14ac:dyDescent="0.25">
      <c r="B520" s="9" t="s">
        <v>1165</v>
      </c>
      <c r="C520" s="9" t="s">
        <v>56</v>
      </c>
      <c r="D520" s="9" t="s">
        <v>37</v>
      </c>
      <c r="E520" s="9" t="s">
        <v>34</v>
      </c>
      <c r="F520" s="9">
        <v>187000</v>
      </c>
      <c r="G520" s="9" t="s">
        <v>1166</v>
      </c>
      <c r="H520" s="9">
        <f t="shared" si="17"/>
        <v>2020</v>
      </c>
      <c r="I520">
        <f t="shared" si="18"/>
        <v>7</v>
      </c>
      <c r="K520"/>
      <c r="L520"/>
    </row>
    <row r="521" spans="2:12" ht="16.5" x14ac:dyDescent="0.25">
      <c r="B521" s="9" t="s">
        <v>1167</v>
      </c>
      <c r="C521" s="9" t="s">
        <v>39</v>
      </c>
      <c r="D521" s="9" t="s">
        <v>40</v>
      </c>
      <c r="E521" s="9" t="s">
        <v>34</v>
      </c>
      <c r="F521" s="9">
        <v>243000</v>
      </c>
      <c r="G521" s="9" t="s">
        <v>1168</v>
      </c>
      <c r="H521" s="9">
        <f t="shared" si="17"/>
        <v>2020</v>
      </c>
      <c r="I521">
        <f t="shared" si="18"/>
        <v>7</v>
      </c>
      <c r="K521"/>
      <c r="L521"/>
    </row>
    <row r="522" spans="2:12" ht="16.5" x14ac:dyDescent="0.25">
      <c r="B522" s="9" t="s">
        <v>1169</v>
      </c>
      <c r="C522" s="9" t="s">
        <v>35</v>
      </c>
      <c r="D522" s="9" t="s">
        <v>37</v>
      </c>
      <c r="E522" s="9" t="s">
        <v>38</v>
      </c>
      <c r="F522" s="9">
        <v>268000</v>
      </c>
      <c r="G522" s="9" t="s">
        <v>1168</v>
      </c>
      <c r="H522" s="9">
        <f t="shared" si="17"/>
        <v>2020</v>
      </c>
      <c r="I522">
        <f t="shared" si="18"/>
        <v>7</v>
      </c>
      <c r="K522"/>
      <c r="L522"/>
    </row>
    <row r="523" spans="2:12" ht="16.5" x14ac:dyDescent="0.25">
      <c r="B523" s="9" t="s">
        <v>1170</v>
      </c>
      <c r="C523" s="9" t="s">
        <v>36</v>
      </c>
      <c r="D523" s="9" t="s">
        <v>36</v>
      </c>
      <c r="E523" s="9" t="s">
        <v>34</v>
      </c>
      <c r="F523" s="9">
        <v>68000</v>
      </c>
      <c r="G523" s="9" t="s">
        <v>1171</v>
      </c>
      <c r="H523" s="9">
        <f t="shared" si="17"/>
        <v>2020</v>
      </c>
      <c r="I523">
        <f t="shared" si="18"/>
        <v>7</v>
      </c>
      <c r="K523"/>
      <c r="L523"/>
    </row>
    <row r="524" spans="2:12" ht="16.5" x14ac:dyDescent="0.25">
      <c r="B524" s="9" t="s">
        <v>1172</v>
      </c>
      <c r="C524" s="9" t="s">
        <v>34</v>
      </c>
      <c r="D524" s="9" t="s">
        <v>39</v>
      </c>
      <c r="E524" s="9" t="s">
        <v>39</v>
      </c>
      <c r="F524" s="9">
        <v>278000</v>
      </c>
      <c r="G524" s="9" t="s">
        <v>1173</v>
      </c>
      <c r="H524" s="9">
        <f t="shared" si="17"/>
        <v>2020</v>
      </c>
      <c r="I524">
        <f t="shared" si="18"/>
        <v>7</v>
      </c>
      <c r="K524"/>
      <c r="L524"/>
    </row>
    <row r="525" spans="2:12" ht="16.5" x14ac:dyDescent="0.25">
      <c r="B525" s="9" t="s">
        <v>1174</v>
      </c>
      <c r="C525" s="9" t="s">
        <v>38</v>
      </c>
      <c r="D525" s="9" t="s">
        <v>39</v>
      </c>
      <c r="E525" s="9" t="s">
        <v>36</v>
      </c>
      <c r="F525" s="9">
        <v>198000</v>
      </c>
      <c r="G525" s="9" t="s">
        <v>1173</v>
      </c>
      <c r="H525" s="9">
        <f t="shared" si="17"/>
        <v>2020</v>
      </c>
      <c r="I525">
        <f t="shared" si="18"/>
        <v>7</v>
      </c>
      <c r="K525"/>
      <c r="L525"/>
    </row>
    <row r="526" spans="2:12" ht="16.5" x14ac:dyDescent="0.25">
      <c r="B526" s="9" t="s">
        <v>1175</v>
      </c>
      <c r="C526" s="9" t="s">
        <v>36</v>
      </c>
      <c r="D526" s="9" t="s">
        <v>36</v>
      </c>
      <c r="E526" s="9" t="s">
        <v>35</v>
      </c>
      <c r="F526" s="9">
        <v>83000</v>
      </c>
      <c r="G526" s="9" t="s">
        <v>1176</v>
      </c>
      <c r="H526" s="9">
        <f t="shared" si="17"/>
        <v>2020</v>
      </c>
      <c r="I526">
        <f t="shared" si="18"/>
        <v>7</v>
      </c>
      <c r="K526"/>
      <c r="L526"/>
    </row>
    <row r="527" spans="2:12" ht="16.5" x14ac:dyDescent="0.25">
      <c r="B527" s="9" t="s">
        <v>1177</v>
      </c>
      <c r="C527" s="9" t="s">
        <v>37</v>
      </c>
      <c r="D527" s="9" t="s">
        <v>40</v>
      </c>
      <c r="E527" s="9" t="s">
        <v>38</v>
      </c>
      <c r="F527" s="9">
        <v>92000</v>
      </c>
      <c r="G527" s="9" t="s">
        <v>1178</v>
      </c>
      <c r="H527" s="9">
        <f t="shared" si="17"/>
        <v>2020</v>
      </c>
      <c r="I527">
        <f t="shared" si="18"/>
        <v>7</v>
      </c>
      <c r="K527"/>
      <c r="L527"/>
    </row>
    <row r="528" spans="2:12" ht="16.5" x14ac:dyDescent="0.25">
      <c r="B528" s="9" t="s">
        <v>1179</v>
      </c>
      <c r="C528" s="9" t="s">
        <v>38</v>
      </c>
      <c r="D528" s="9" t="s">
        <v>35</v>
      </c>
      <c r="E528" s="9" t="s">
        <v>39</v>
      </c>
      <c r="F528" s="9">
        <v>145000</v>
      </c>
      <c r="G528" s="9" t="s">
        <v>1178</v>
      </c>
      <c r="H528" s="9">
        <f t="shared" si="17"/>
        <v>2020</v>
      </c>
      <c r="I528">
        <f t="shared" si="18"/>
        <v>7</v>
      </c>
      <c r="K528"/>
      <c r="L528"/>
    </row>
    <row r="529" spans="2:12" ht="16.5" x14ac:dyDescent="0.25">
      <c r="B529" s="9" t="s">
        <v>1180</v>
      </c>
      <c r="C529" s="9" t="s">
        <v>56</v>
      </c>
      <c r="D529" s="9" t="s">
        <v>39</v>
      </c>
      <c r="E529" s="9" t="s">
        <v>37</v>
      </c>
      <c r="F529" s="9">
        <v>218000</v>
      </c>
      <c r="G529" s="9" t="s">
        <v>1181</v>
      </c>
      <c r="H529" s="9">
        <f t="shared" si="17"/>
        <v>2020</v>
      </c>
      <c r="I529">
        <f t="shared" si="18"/>
        <v>7</v>
      </c>
      <c r="K529"/>
      <c r="L529"/>
    </row>
    <row r="530" spans="2:12" ht="16.5" x14ac:dyDescent="0.25">
      <c r="B530" s="9" t="s">
        <v>1182</v>
      </c>
      <c r="C530" s="9" t="s">
        <v>40</v>
      </c>
      <c r="D530" s="9" t="s">
        <v>36</v>
      </c>
      <c r="E530" s="9" t="s">
        <v>34</v>
      </c>
      <c r="F530" s="9">
        <v>224000</v>
      </c>
      <c r="G530" s="9" t="s">
        <v>1181</v>
      </c>
      <c r="H530" s="9">
        <f t="shared" si="17"/>
        <v>2020</v>
      </c>
      <c r="I530">
        <f t="shared" si="18"/>
        <v>7</v>
      </c>
      <c r="K530"/>
      <c r="L530"/>
    </row>
    <row r="531" spans="2:12" ht="16.5" x14ac:dyDescent="0.25">
      <c r="B531" s="9" t="s">
        <v>1184</v>
      </c>
      <c r="C531" s="9" t="s">
        <v>37</v>
      </c>
      <c r="D531" s="9" t="s">
        <v>34</v>
      </c>
      <c r="E531" s="9" t="s">
        <v>34</v>
      </c>
      <c r="F531" s="9">
        <v>179000</v>
      </c>
      <c r="G531" s="9" t="s">
        <v>1185</v>
      </c>
      <c r="H531" s="9">
        <f t="shared" si="17"/>
        <v>2020</v>
      </c>
      <c r="I531">
        <f t="shared" si="18"/>
        <v>7</v>
      </c>
      <c r="K531"/>
      <c r="L531"/>
    </row>
    <row r="532" spans="2:12" ht="16.5" x14ac:dyDescent="0.25">
      <c r="B532" s="9" t="s">
        <v>1186</v>
      </c>
      <c r="C532" s="9" t="s">
        <v>37</v>
      </c>
      <c r="D532" s="9" t="s">
        <v>38</v>
      </c>
      <c r="E532" s="9" t="s">
        <v>36</v>
      </c>
      <c r="F532" s="9">
        <v>278000</v>
      </c>
      <c r="G532" s="9" t="s">
        <v>1185</v>
      </c>
      <c r="H532" s="9">
        <f t="shared" si="17"/>
        <v>2020</v>
      </c>
      <c r="I532">
        <f t="shared" si="18"/>
        <v>7</v>
      </c>
      <c r="K532"/>
      <c r="L532"/>
    </row>
    <row r="533" spans="2:12" ht="16.5" x14ac:dyDescent="0.25">
      <c r="B533" s="9" t="s">
        <v>1187</v>
      </c>
      <c r="C533" s="9" t="s">
        <v>56</v>
      </c>
      <c r="D533" s="9" t="s">
        <v>34</v>
      </c>
      <c r="E533" s="9" t="s">
        <v>34</v>
      </c>
      <c r="F533" s="9">
        <v>224000</v>
      </c>
      <c r="G533" s="9" t="s">
        <v>1188</v>
      </c>
      <c r="H533" s="9">
        <f t="shared" si="17"/>
        <v>2020</v>
      </c>
      <c r="I533">
        <f t="shared" si="18"/>
        <v>7</v>
      </c>
      <c r="K533"/>
      <c r="L533"/>
    </row>
    <row r="534" spans="2:12" ht="16.5" x14ac:dyDescent="0.25">
      <c r="B534" s="9" t="s">
        <v>1189</v>
      </c>
      <c r="C534" s="9" t="s">
        <v>40</v>
      </c>
      <c r="D534" s="9" t="s">
        <v>40</v>
      </c>
      <c r="E534" s="9" t="s">
        <v>35</v>
      </c>
      <c r="F534" s="9">
        <v>213000</v>
      </c>
      <c r="G534" s="9" t="s">
        <v>1188</v>
      </c>
      <c r="H534" s="9">
        <f t="shared" si="17"/>
        <v>2020</v>
      </c>
      <c r="I534">
        <f t="shared" si="18"/>
        <v>7</v>
      </c>
      <c r="K534"/>
      <c r="L534"/>
    </row>
    <row r="535" spans="2:12" ht="16.5" x14ac:dyDescent="0.25">
      <c r="B535" s="9" t="s">
        <v>1190</v>
      </c>
      <c r="C535" s="9" t="s">
        <v>38</v>
      </c>
      <c r="D535" s="9" t="s">
        <v>38</v>
      </c>
      <c r="E535" s="9" t="s">
        <v>35</v>
      </c>
      <c r="F535" s="9">
        <v>80000</v>
      </c>
      <c r="G535" s="9" t="s">
        <v>1188</v>
      </c>
      <c r="H535" s="9">
        <f t="shared" si="17"/>
        <v>2020</v>
      </c>
      <c r="I535">
        <f t="shared" si="18"/>
        <v>7</v>
      </c>
      <c r="K535"/>
      <c r="L535"/>
    </row>
    <row r="536" spans="2:12" ht="16.5" x14ac:dyDescent="0.25">
      <c r="B536" s="9" t="s">
        <v>1191</v>
      </c>
      <c r="C536" s="9" t="s">
        <v>37</v>
      </c>
      <c r="D536" s="9" t="s">
        <v>40</v>
      </c>
      <c r="E536" s="9" t="s">
        <v>35</v>
      </c>
      <c r="F536" s="9">
        <v>31000</v>
      </c>
      <c r="G536" s="9" t="s">
        <v>1192</v>
      </c>
      <c r="H536" s="9">
        <f t="shared" si="17"/>
        <v>2020</v>
      </c>
      <c r="I536">
        <f t="shared" si="18"/>
        <v>7</v>
      </c>
      <c r="K536"/>
      <c r="L536"/>
    </row>
    <row r="537" spans="2:12" ht="16.5" x14ac:dyDescent="0.25">
      <c r="B537" s="9" t="s">
        <v>1193</v>
      </c>
      <c r="C537" s="9" t="s">
        <v>38</v>
      </c>
      <c r="D537" s="9" t="s">
        <v>36</v>
      </c>
      <c r="E537" s="9" t="s">
        <v>34</v>
      </c>
      <c r="F537" s="9">
        <v>212000</v>
      </c>
      <c r="G537" s="9" t="s">
        <v>1192</v>
      </c>
      <c r="H537" s="9">
        <f t="shared" si="17"/>
        <v>2020</v>
      </c>
      <c r="I537">
        <f t="shared" si="18"/>
        <v>7</v>
      </c>
      <c r="K537"/>
      <c r="L537"/>
    </row>
    <row r="538" spans="2:12" ht="16.5" x14ac:dyDescent="0.25">
      <c r="B538" s="9" t="s">
        <v>1194</v>
      </c>
      <c r="C538" s="9" t="s">
        <v>36</v>
      </c>
      <c r="D538" s="9" t="s">
        <v>35</v>
      </c>
      <c r="E538" s="9" t="s">
        <v>37</v>
      </c>
      <c r="F538" s="9">
        <v>109000</v>
      </c>
      <c r="G538" s="9" t="s">
        <v>1195</v>
      </c>
      <c r="H538" s="9">
        <f t="shared" si="17"/>
        <v>2020</v>
      </c>
      <c r="I538">
        <f t="shared" si="18"/>
        <v>7</v>
      </c>
      <c r="K538"/>
      <c r="L538"/>
    </row>
    <row r="539" spans="2:12" ht="16.5" x14ac:dyDescent="0.25">
      <c r="B539" s="9" t="s">
        <v>1196</v>
      </c>
      <c r="C539" s="9" t="s">
        <v>39</v>
      </c>
      <c r="D539" s="9" t="s">
        <v>38</v>
      </c>
      <c r="E539" s="9" t="s">
        <v>34</v>
      </c>
      <c r="F539" s="9">
        <v>233000</v>
      </c>
      <c r="G539" s="9" t="s">
        <v>1197</v>
      </c>
      <c r="H539" s="9">
        <f t="shared" si="17"/>
        <v>2020</v>
      </c>
      <c r="I539">
        <f t="shared" si="18"/>
        <v>7</v>
      </c>
      <c r="K539"/>
      <c r="L539"/>
    </row>
    <row r="540" spans="2:12" ht="16.5" x14ac:dyDescent="0.25">
      <c r="B540" s="9" t="s">
        <v>1198</v>
      </c>
      <c r="C540" s="9" t="s">
        <v>38</v>
      </c>
      <c r="D540" s="9" t="s">
        <v>40</v>
      </c>
      <c r="E540" s="9" t="s">
        <v>39</v>
      </c>
      <c r="F540" s="9">
        <v>77000</v>
      </c>
      <c r="G540" s="9" t="s">
        <v>1197</v>
      </c>
      <c r="H540" s="9">
        <f t="shared" si="17"/>
        <v>2020</v>
      </c>
      <c r="I540">
        <f t="shared" si="18"/>
        <v>7</v>
      </c>
      <c r="K540"/>
      <c r="L540"/>
    </row>
    <row r="541" spans="2:12" ht="16.5" x14ac:dyDescent="0.25">
      <c r="B541" s="9" t="s">
        <v>1199</v>
      </c>
      <c r="C541" s="9" t="s">
        <v>35</v>
      </c>
      <c r="D541" s="9" t="s">
        <v>37</v>
      </c>
      <c r="E541" s="9" t="s">
        <v>36</v>
      </c>
      <c r="F541" s="9">
        <v>267000</v>
      </c>
      <c r="G541" s="9" t="s">
        <v>1197</v>
      </c>
      <c r="H541" s="9">
        <f t="shared" si="17"/>
        <v>2020</v>
      </c>
      <c r="I541">
        <f t="shared" si="18"/>
        <v>7</v>
      </c>
      <c r="K541"/>
      <c r="L541"/>
    </row>
    <row r="542" spans="2:12" ht="16.5" x14ac:dyDescent="0.25">
      <c r="B542" s="9" t="s">
        <v>1200</v>
      </c>
      <c r="C542" s="9" t="s">
        <v>36</v>
      </c>
      <c r="D542" s="9" t="s">
        <v>34</v>
      </c>
      <c r="E542" s="9" t="s">
        <v>34</v>
      </c>
      <c r="F542" s="9">
        <v>183000</v>
      </c>
      <c r="G542" s="9" t="s">
        <v>1201</v>
      </c>
      <c r="H542" s="9">
        <f t="shared" si="17"/>
        <v>2020</v>
      </c>
      <c r="I542">
        <f t="shared" si="18"/>
        <v>7</v>
      </c>
      <c r="K542"/>
      <c r="L542"/>
    </row>
    <row r="543" spans="2:12" ht="16.5" x14ac:dyDescent="0.25">
      <c r="B543" s="9" t="s">
        <v>1202</v>
      </c>
      <c r="C543" s="9" t="s">
        <v>37</v>
      </c>
      <c r="D543" s="9" t="s">
        <v>39</v>
      </c>
      <c r="E543" s="9" t="s">
        <v>37</v>
      </c>
      <c r="F543" s="9">
        <v>184000</v>
      </c>
      <c r="G543" s="9" t="s">
        <v>1203</v>
      </c>
      <c r="H543" s="9">
        <f t="shared" si="17"/>
        <v>2020</v>
      </c>
      <c r="I543">
        <f t="shared" si="18"/>
        <v>7</v>
      </c>
      <c r="K543"/>
      <c r="L543"/>
    </row>
    <row r="544" spans="2:12" ht="16.5" x14ac:dyDescent="0.25">
      <c r="B544" s="9" t="s">
        <v>1204</v>
      </c>
      <c r="C544" s="9" t="s">
        <v>37</v>
      </c>
      <c r="D544" s="9" t="s">
        <v>37</v>
      </c>
      <c r="E544" s="9" t="s">
        <v>38</v>
      </c>
      <c r="F544" s="9">
        <v>33000</v>
      </c>
      <c r="G544" s="9" t="s">
        <v>1205</v>
      </c>
      <c r="H544" s="9">
        <f t="shared" si="17"/>
        <v>2020</v>
      </c>
      <c r="I544">
        <f t="shared" si="18"/>
        <v>8</v>
      </c>
      <c r="K544"/>
      <c r="L544"/>
    </row>
    <row r="545" spans="2:12" ht="16.5" x14ac:dyDescent="0.25">
      <c r="B545" s="9" t="s">
        <v>1206</v>
      </c>
      <c r="C545" s="9" t="s">
        <v>56</v>
      </c>
      <c r="D545" s="9" t="s">
        <v>39</v>
      </c>
      <c r="E545" s="9" t="s">
        <v>37</v>
      </c>
      <c r="F545" s="9">
        <v>198000</v>
      </c>
      <c r="G545" s="9" t="s">
        <v>1205</v>
      </c>
      <c r="H545" s="9">
        <f t="shared" si="17"/>
        <v>2020</v>
      </c>
      <c r="I545">
        <f t="shared" si="18"/>
        <v>8</v>
      </c>
      <c r="K545"/>
      <c r="L545"/>
    </row>
    <row r="546" spans="2:12" ht="16.5" x14ac:dyDescent="0.25">
      <c r="B546" s="9" t="s">
        <v>1207</v>
      </c>
      <c r="C546" s="9" t="s">
        <v>38</v>
      </c>
      <c r="D546" s="9" t="s">
        <v>36</v>
      </c>
      <c r="E546" s="9" t="s">
        <v>35</v>
      </c>
      <c r="F546" s="9">
        <v>132000</v>
      </c>
      <c r="G546" s="9" t="s">
        <v>1208</v>
      </c>
      <c r="H546" s="9">
        <f t="shared" si="17"/>
        <v>2020</v>
      </c>
      <c r="I546">
        <f t="shared" si="18"/>
        <v>8</v>
      </c>
      <c r="K546"/>
      <c r="L546"/>
    </row>
    <row r="547" spans="2:12" ht="16.5" x14ac:dyDescent="0.25">
      <c r="B547" s="9" t="s">
        <v>1209</v>
      </c>
      <c r="C547" s="9" t="s">
        <v>40</v>
      </c>
      <c r="D547" s="9" t="s">
        <v>36</v>
      </c>
      <c r="E547" s="9" t="s">
        <v>37</v>
      </c>
      <c r="F547" s="9">
        <v>40000</v>
      </c>
      <c r="G547" s="9" t="s">
        <v>1210</v>
      </c>
      <c r="H547" s="9">
        <f t="shared" si="17"/>
        <v>2020</v>
      </c>
      <c r="I547">
        <f t="shared" si="18"/>
        <v>8</v>
      </c>
      <c r="K547"/>
      <c r="L547"/>
    </row>
    <row r="548" spans="2:12" ht="16.5" x14ac:dyDescent="0.25">
      <c r="B548" s="9" t="s">
        <v>1211</v>
      </c>
      <c r="C548" s="9" t="s">
        <v>37</v>
      </c>
      <c r="D548" s="9" t="s">
        <v>34</v>
      </c>
      <c r="E548" s="9" t="s">
        <v>35</v>
      </c>
      <c r="F548" s="9">
        <v>40000</v>
      </c>
      <c r="G548" s="9" t="s">
        <v>1210</v>
      </c>
      <c r="H548" s="9">
        <f t="shared" si="17"/>
        <v>2020</v>
      </c>
      <c r="I548">
        <f t="shared" si="18"/>
        <v>8</v>
      </c>
      <c r="K548"/>
      <c r="L548"/>
    </row>
    <row r="549" spans="2:12" ht="16.5" x14ac:dyDescent="0.25">
      <c r="B549" s="9" t="s">
        <v>1212</v>
      </c>
      <c r="C549" s="9" t="s">
        <v>35</v>
      </c>
      <c r="D549" s="9" t="s">
        <v>36</v>
      </c>
      <c r="E549" s="9" t="s">
        <v>37</v>
      </c>
      <c r="F549" s="9">
        <v>160000</v>
      </c>
      <c r="G549" s="9" t="s">
        <v>1210</v>
      </c>
      <c r="H549" s="9">
        <f t="shared" si="17"/>
        <v>2020</v>
      </c>
      <c r="I549">
        <f t="shared" si="18"/>
        <v>8</v>
      </c>
      <c r="K549"/>
      <c r="L549"/>
    </row>
    <row r="550" spans="2:12" ht="16.5" x14ac:dyDescent="0.25">
      <c r="B550" s="9" t="s">
        <v>1213</v>
      </c>
      <c r="C550" s="9" t="s">
        <v>35</v>
      </c>
      <c r="D550" s="9" t="s">
        <v>37</v>
      </c>
      <c r="E550" s="9" t="s">
        <v>35</v>
      </c>
      <c r="F550" s="9">
        <v>290000</v>
      </c>
      <c r="G550" s="9" t="s">
        <v>1214</v>
      </c>
      <c r="H550" s="9">
        <f t="shared" si="17"/>
        <v>2020</v>
      </c>
      <c r="I550">
        <f t="shared" si="18"/>
        <v>8</v>
      </c>
      <c r="K550"/>
      <c r="L550"/>
    </row>
    <row r="551" spans="2:12" ht="16.5" x14ac:dyDescent="0.25">
      <c r="B551" s="9" t="s">
        <v>1215</v>
      </c>
      <c r="C551" s="9" t="s">
        <v>34</v>
      </c>
      <c r="D551" s="9" t="s">
        <v>35</v>
      </c>
      <c r="E551" s="9" t="s">
        <v>37</v>
      </c>
      <c r="F551" s="9">
        <v>99000</v>
      </c>
      <c r="G551" s="9" t="s">
        <v>1214</v>
      </c>
      <c r="H551" s="9">
        <f t="shared" si="17"/>
        <v>2020</v>
      </c>
      <c r="I551">
        <f t="shared" si="18"/>
        <v>8</v>
      </c>
      <c r="K551"/>
      <c r="L551"/>
    </row>
    <row r="552" spans="2:12" ht="16.5" x14ac:dyDescent="0.25">
      <c r="B552" s="9" t="s">
        <v>1216</v>
      </c>
      <c r="C552" s="9" t="s">
        <v>38</v>
      </c>
      <c r="D552" s="9" t="s">
        <v>35</v>
      </c>
      <c r="E552" s="9" t="s">
        <v>36</v>
      </c>
      <c r="F552" s="9">
        <v>161000</v>
      </c>
      <c r="G552" s="9" t="s">
        <v>1217</v>
      </c>
      <c r="H552" s="9">
        <f t="shared" si="17"/>
        <v>2020</v>
      </c>
      <c r="I552">
        <f t="shared" si="18"/>
        <v>8</v>
      </c>
      <c r="K552"/>
      <c r="L552"/>
    </row>
    <row r="553" spans="2:12" ht="16.5" x14ac:dyDescent="0.25">
      <c r="B553" s="9" t="s">
        <v>1218</v>
      </c>
      <c r="C553" s="9" t="s">
        <v>36</v>
      </c>
      <c r="D553" s="9" t="s">
        <v>35</v>
      </c>
      <c r="E553" s="9" t="s">
        <v>34</v>
      </c>
      <c r="F553" s="9">
        <v>281000</v>
      </c>
      <c r="G553" s="9" t="s">
        <v>1219</v>
      </c>
      <c r="H553" s="9">
        <f t="shared" si="17"/>
        <v>2020</v>
      </c>
      <c r="I553">
        <f t="shared" si="18"/>
        <v>8</v>
      </c>
      <c r="K553"/>
      <c r="L553"/>
    </row>
    <row r="554" spans="2:12" ht="16.5" x14ac:dyDescent="0.25">
      <c r="B554" s="9" t="s">
        <v>1220</v>
      </c>
      <c r="C554" s="9" t="s">
        <v>39</v>
      </c>
      <c r="D554" s="9" t="s">
        <v>36</v>
      </c>
      <c r="E554" s="9" t="s">
        <v>39</v>
      </c>
      <c r="F554" s="9">
        <v>253000</v>
      </c>
      <c r="G554" s="9" t="s">
        <v>1221</v>
      </c>
      <c r="H554" s="9">
        <f t="shared" si="17"/>
        <v>2020</v>
      </c>
      <c r="I554">
        <f t="shared" si="18"/>
        <v>8</v>
      </c>
      <c r="K554"/>
      <c r="L554"/>
    </row>
    <row r="555" spans="2:12" ht="16.5" x14ac:dyDescent="0.25">
      <c r="B555" s="9" t="s">
        <v>1222</v>
      </c>
      <c r="C555" s="9" t="s">
        <v>37</v>
      </c>
      <c r="D555" s="9" t="s">
        <v>35</v>
      </c>
      <c r="E555" s="9" t="s">
        <v>36</v>
      </c>
      <c r="F555" s="9">
        <v>225000</v>
      </c>
      <c r="G555" s="9" t="s">
        <v>1221</v>
      </c>
      <c r="H555" s="9">
        <f t="shared" si="17"/>
        <v>2020</v>
      </c>
      <c r="I555">
        <f t="shared" si="18"/>
        <v>8</v>
      </c>
      <c r="K555"/>
      <c r="L555"/>
    </row>
    <row r="556" spans="2:12" ht="16.5" x14ac:dyDescent="0.25">
      <c r="B556" s="9" t="s">
        <v>1223</v>
      </c>
      <c r="C556" s="9" t="s">
        <v>38</v>
      </c>
      <c r="D556" s="9" t="s">
        <v>34</v>
      </c>
      <c r="E556" s="9" t="s">
        <v>36</v>
      </c>
      <c r="F556" s="9">
        <v>86000</v>
      </c>
      <c r="G556" s="9" t="s">
        <v>1224</v>
      </c>
      <c r="H556" s="9">
        <f t="shared" si="17"/>
        <v>2020</v>
      </c>
      <c r="I556">
        <f t="shared" si="18"/>
        <v>8</v>
      </c>
      <c r="K556"/>
      <c r="L556"/>
    </row>
    <row r="557" spans="2:12" ht="16.5" x14ac:dyDescent="0.25">
      <c r="B557" s="9" t="s">
        <v>1225</v>
      </c>
      <c r="C557" s="9" t="s">
        <v>56</v>
      </c>
      <c r="D557" s="9" t="s">
        <v>37</v>
      </c>
      <c r="E557" s="9" t="s">
        <v>39</v>
      </c>
      <c r="F557" s="9">
        <v>214000</v>
      </c>
      <c r="G557" s="9" t="s">
        <v>1226</v>
      </c>
      <c r="H557" s="9">
        <f t="shared" si="17"/>
        <v>2020</v>
      </c>
      <c r="I557">
        <f t="shared" si="18"/>
        <v>8</v>
      </c>
      <c r="K557"/>
      <c r="L557"/>
    </row>
    <row r="558" spans="2:12" ht="16.5" x14ac:dyDescent="0.25">
      <c r="B558" s="9" t="s">
        <v>1227</v>
      </c>
      <c r="C558" s="9" t="s">
        <v>38</v>
      </c>
      <c r="D558" s="9" t="s">
        <v>39</v>
      </c>
      <c r="E558" s="9" t="s">
        <v>37</v>
      </c>
      <c r="F558" s="9">
        <v>139000</v>
      </c>
      <c r="G558" s="9" t="s">
        <v>1226</v>
      </c>
      <c r="H558" s="9">
        <f t="shared" si="17"/>
        <v>2020</v>
      </c>
      <c r="I558">
        <f t="shared" si="18"/>
        <v>8</v>
      </c>
      <c r="K558"/>
      <c r="L558"/>
    </row>
    <row r="559" spans="2:12" ht="16.5" x14ac:dyDescent="0.25">
      <c r="B559" s="9" t="s">
        <v>1228</v>
      </c>
      <c r="C559" s="9" t="s">
        <v>38</v>
      </c>
      <c r="D559" s="9" t="s">
        <v>37</v>
      </c>
      <c r="E559" s="9" t="s">
        <v>36</v>
      </c>
      <c r="F559" s="9">
        <v>176000</v>
      </c>
      <c r="G559" s="9" t="s">
        <v>1226</v>
      </c>
      <c r="H559" s="9">
        <f t="shared" si="17"/>
        <v>2020</v>
      </c>
      <c r="I559">
        <f t="shared" si="18"/>
        <v>8</v>
      </c>
      <c r="K559"/>
      <c r="L559"/>
    </row>
    <row r="560" spans="2:12" ht="16.5" x14ac:dyDescent="0.25">
      <c r="B560" s="9" t="s">
        <v>1230</v>
      </c>
      <c r="C560" s="9" t="s">
        <v>34</v>
      </c>
      <c r="D560" s="9" t="s">
        <v>38</v>
      </c>
      <c r="E560" s="9" t="s">
        <v>39</v>
      </c>
      <c r="F560" s="9">
        <v>263000</v>
      </c>
      <c r="G560" s="9" t="s">
        <v>1231</v>
      </c>
      <c r="H560" s="9">
        <f t="shared" si="17"/>
        <v>2020</v>
      </c>
      <c r="I560">
        <f t="shared" si="18"/>
        <v>8</v>
      </c>
      <c r="K560"/>
      <c r="L560"/>
    </row>
    <row r="561" spans="2:12" ht="16.5" x14ac:dyDescent="0.25">
      <c r="B561" s="9" t="s">
        <v>1232</v>
      </c>
      <c r="C561" s="9" t="s">
        <v>36</v>
      </c>
      <c r="D561" s="9" t="s">
        <v>34</v>
      </c>
      <c r="E561" s="9" t="s">
        <v>37</v>
      </c>
      <c r="F561" s="9">
        <v>252000</v>
      </c>
      <c r="G561" s="9" t="s">
        <v>1231</v>
      </c>
      <c r="H561" s="9">
        <f t="shared" si="17"/>
        <v>2020</v>
      </c>
      <c r="I561">
        <f t="shared" si="18"/>
        <v>8</v>
      </c>
      <c r="K561"/>
      <c r="L561"/>
    </row>
    <row r="562" spans="2:12" ht="16.5" x14ac:dyDescent="0.25">
      <c r="B562" s="9" t="s">
        <v>1233</v>
      </c>
      <c r="C562" s="9" t="s">
        <v>35</v>
      </c>
      <c r="D562" s="9" t="s">
        <v>38</v>
      </c>
      <c r="E562" s="9" t="s">
        <v>37</v>
      </c>
      <c r="F562" s="9">
        <v>188000</v>
      </c>
      <c r="G562" s="9" t="s">
        <v>1234</v>
      </c>
      <c r="H562" s="9">
        <f t="shared" si="17"/>
        <v>2020</v>
      </c>
      <c r="I562">
        <f t="shared" si="18"/>
        <v>8</v>
      </c>
      <c r="K562"/>
      <c r="L562"/>
    </row>
    <row r="563" spans="2:12" ht="16.5" x14ac:dyDescent="0.25">
      <c r="B563" s="9" t="s">
        <v>1235</v>
      </c>
      <c r="C563" s="9" t="s">
        <v>36</v>
      </c>
      <c r="D563" s="9" t="s">
        <v>40</v>
      </c>
      <c r="E563" s="9" t="s">
        <v>35</v>
      </c>
      <c r="F563" s="9">
        <v>51000</v>
      </c>
      <c r="G563" s="9" t="s">
        <v>1236</v>
      </c>
      <c r="H563" s="9">
        <f t="shared" si="17"/>
        <v>2020</v>
      </c>
      <c r="I563">
        <f t="shared" si="18"/>
        <v>8</v>
      </c>
      <c r="K563"/>
      <c r="L563"/>
    </row>
    <row r="564" spans="2:12" ht="16.5" x14ac:dyDescent="0.25">
      <c r="B564" s="9" t="s">
        <v>1237</v>
      </c>
      <c r="C564" s="9" t="s">
        <v>37</v>
      </c>
      <c r="D564" s="9" t="s">
        <v>36</v>
      </c>
      <c r="E564" s="9" t="s">
        <v>36</v>
      </c>
      <c r="F564" s="9">
        <v>204000</v>
      </c>
      <c r="G564" s="9" t="s">
        <v>1236</v>
      </c>
      <c r="H564" s="9">
        <f t="shared" si="17"/>
        <v>2020</v>
      </c>
      <c r="I564">
        <f t="shared" si="18"/>
        <v>8</v>
      </c>
      <c r="K564"/>
      <c r="L564"/>
    </row>
    <row r="565" spans="2:12" ht="16.5" x14ac:dyDescent="0.25">
      <c r="B565" s="9" t="s">
        <v>1238</v>
      </c>
      <c r="C565" s="9" t="s">
        <v>35</v>
      </c>
      <c r="D565" s="9" t="s">
        <v>36</v>
      </c>
      <c r="E565" s="9" t="s">
        <v>36</v>
      </c>
      <c r="F565" s="9">
        <v>245000</v>
      </c>
      <c r="G565" s="9" t="s">
        <v>1236</v>
      </c>
      <c r="H565" s="9">
        <f t="shared" si="17"/>
        <v>2020</v>
      </c>
      <c r="I565">
        <f t="shared" si="18"/>
        <v>8</v>
      </c>
      <c r="K565"/>
      <c r="L565"/>
    </row>
    <row r="566" spans="2:12" ht="16.5" x14ac:dyDescent="0.25">
      <c r="B566" s="9" t="s">
        <v>1239</v>
      </c>
      <c r="C566" s="9" t="s">
        <v>40</v>
      </c>
      <c r="D566" s="9" t="s">
        <v>36</v>
      </c>
      <c r="E566" s="9" t="s">
        <v>36</v>
      </c>
      <c r="F566" s="9">
        <v>31000</v>
      </c>
      <c r="G566" s="9" t="s">
        <v>1240</v>
      </c>
      <c r="H566" s="9">
        <f t="shared" si="17"/>
        <v>2020</v>
      </c>
      <c r="I566">
        <f t="shared" si="18"/>
        <v>8</v>
      </c>
      <c r="K566"/>
      <c r="L566"/>
    </row>
    <row r="567" spans="2:12" ht="16.5" x14ac:dyDescent="0.25">
      <c r="B567" s="9" t="s">
        <v>1241</v>
      </c>
      <c r="C567" s="9" t="s">
        <v>34</v>
      </c>
      <c r="D567" s="9" t="s">
        <v>37</v>
      </c>
      <c r="E567" s="9" t="s">
        <v>39</v>
      </c>
      <c r="F567" s="9">
        <v>121000</v>
      </c>
      <c r="G567" s="9" t="s">
        <v>1240</v>
      </c>
      <c r="H567" s="9">
        <f t="shared" si="17"/>
        <v>2020</v>
      </c>
      <c r="I567">
        <f t="shared" si="18"/>
        <v>8</v>
      </c>
      <c r="K567"/>
      <c r="L567"/>
    </row>
    <row r="568" spans="2:12" ht="16.5" x14ac:dyDescent="0.25">
      <c r="B568" s="9" t="s">
        <v>1242</v>
      </c>
      <c r="C568" s="9" t="s">
        <v>56</v>
      </c>
      <c r="D568" s="9" t="s">
        <v>39</v>
      </c>
      <c r="E568" s="9" t="s">
        <v>34</v>
      </c>
      <c r="F568" s="9">
        <v>57000</v>
      </c>
      <c r="G568" s="9" t="s">
        <v>1243</v>
      </c>
      <c r="H568" s="9">
        <f t="shared" si="17"/>
        <v>2020</v>
      </c>
      <c r="I568">
        <f t="shared" si="18"/>
        <v>8</v>
      </c>
      <c r="K568"/>
      <c r="L568"/>
    </row>
    <row r="569" spans="2:12" ht="16.5" x14ac:dyDescent="0.25">
      <c r="B569" s="9" t="s">
        <v>1244</v>
      </c>
      <c r="C569" s="9" t="s">
        <v>36</v>
      </c>
      <c r="D569" s="9" t="s">
        <v>34</v>
      </c>
      <c r="E569" s="9" t="s">
        <v>36</v>
      </c>
      <c r="F569" s="9">
        <v>194000</v>
      </c>
      <c r="G569" s="9" t="s">
        <v>1243</v>
      </c>
      <c r="H569" s="9">
        <f t="shared" si="17"/>
        <v>2020</v>
      </c>
      <c r="I569">
        <f t="shared" si="18"/>
        <v>8</v>
      </c>
      <c r="K569"/>
      <c r="L569"/>
    </row>
    <row r="570" spans="2:12" ht="16.5" x14ac:dyDescent="0.25">
      <c r="B570" s="9" t="s">
        <v>1245</v>
      </c>
      <c r="C570" s="9" t="s">
        <v>35</v>
      </c>
      <c r="D570" s="9" t="s">
        <v>36</v>
      </c>
      <c r="E570" s="9" t="s">
        <v>38</v>
      </c>
      <c r="F570" s="9">
        <v>135000</v>
      </c>
      <c r="G570" s="9" t="s">
        <v>1246</v>
      </c>
      <c r="H570" s="9">
        <f t="shared" si="17"/>
        <v>2020</v>
      </c>
      <c r="I570">
        <f t="shared" si="18"/>
        <v>8</v>
      </c>
      <c r="K570"/>
      <c r="L570"/>
    </row>
    <row r="571" spans="2:12" ht="16.5" x14ac:dyDescent="0.25">
      <c r="B571" s="9" t="s">
        <v>1247</v>
      </c>
      <c r="C571" s="9" t="s">
        <v>37</v>
      </c>
      <c r="D571" s="9" t="s">
        <v>37</v>
      </c>
      <c r="E571" s="9" t="s">
        <v>38</v>
      </c>
      <c r="F571" s="9">
        <v>102000</v>
      </c>
      <c r="G571" s="9" t="s">
        <v>1248</v>
      </c>
      <c r="H571" s="9">
        <f t="shared" si="17"/>
        <v>2020</v>
      </c>
      <c r="I571">
        <f t="shared" si="18"/>
        <v>8</v>
      </c>
      <c r="K571"/>
      <c r="L571"/>
    </row>
    <row r="572" spans="2:12" ht="16.5" x14ac:dyDescent="0.25">
      <c r="B572" s="9" t="s">
        <v>1249</v>
      </c>
      <c r="C572" s="9" t="s">
        <v>39</v>
      </c>
      <c r="D572" s="9" t="s">
        <v>34</v>
      </c>
      <c r="E572" s="9" t="s">
        <v>38</v>
      </c>
      <c r="F572" s="9">
        <v>150000</v>
      </c>
      <c r="G572" s="9" t="s">
        <v>1250</v>
      </c>
      <c r="H572" s="9">
        <f t="shared" si="17"/>
        <v>2020</v>
      </c>
      <c r="I572">
        <f t="shared" si="18"/>
        <v>8</v>
      </c>
      <c r="K572"/>
      <c r="L572"/>
    </row>
    <row r="573" spans="2:12" ht="16.5" x14ac:dyDescent="0.25">
      <c r="B573" s="9" t="s">
        <v>1251</v>
      </c>
      <c r="C573" s="9" t="s">
        <v>56</v>
      </c>
      <c r="D573" s="9" t="s">
        <v>40</v>
      </c>
      <c r="E573" s="9" t="s">
        <v>35</v>
      </c>
      <c r="F573" s="9">
        <v>107000</v>
      </c>
      <c r="G573" s="9" t="s">
        <v>1252</v>
      </c>
      <c r="H573" s="9">
        <f t="shared" si="17"/>
        <v>2020</v>
      </c>
      <c r="I573">
        <f t="shared" si="18"/>
        <v>8</v>
      </c>
      <c r="K573"/>
      <c r="L573"/>
    </row>
    <row r="574" spans="2:12" ht="16.5" x14ac:dyDescent="0.25">
      <c r="B574" s="9" t="s">
        <v>1253</v>
      </c>
      <c r="C574" s="9" t="s">
        <v>34</v>
      </c>
      <c r="D574" s="9" t="s">
        <v>40</v>
      </c>
      <c r="E574" s="9" t="s">
        <v>37</v>
      </c>
      <c r="F574" s="9">
        <v>109000</v>
      </c>
      <c r="G574" s="9" t="s">
        <v>1254</v>
      </c>
      <c r="H574" s="9">
        <f t="shared" si="17"/>
        <v>2020</v>
      </c>
      <c r="I574">
        <f t="shared" si="18"/>
        <v>8</v>
      </c>
      <c r="K574"/>
      <c r="L574"/>
    </row>
    <row r="575" spans="2:12" ht="16.5" x14ac:dyDescent="0.25">
      <c r="B575" s="9" t="s">
        <v>1255</v>
      </c>
      <c r="C575" s="9" t="s">
        <v>36</v>
      </c>
      <c r="D575" s="9" t="s">
        <v>40</v>
      </c>
      <c r="E575" s="9" t="s">
        <v>36</v>
      </c>
      <c r="F575" s="9">
        <v>55000</v>
      </c>
      <c r="G575" s="9" t="s">
        <v>1256</v>
      </c>
      <c r="H575" s="9">
        <f t="shared" si="17"/>
        <v>2020</v>
      </c>
      <c r="I575">
        <f t="shared" si="18"/>
        <v>8</v>
      </c>
      <c r="K575"/>
      <c r="L575"/>
    </row>
    <row r="576" spans="2:12" ht="16.5" x14ac:dyDescent="0.25">
      <c r="B576" s="9" t="s">
        <v>1257</v>
      </c>
      <c r="C576" s="9" t="s">
        <v>34</v>
      </c>
      <c r="D576" s="9" t="s">
        <v>35</v>
      </c>
      <c r="E576" s="9" t="s">
        <v>39</v>
      </c>
      <c r="F576" s="9">
        <v>247000</v>
      </c>
      <c r="G576" s="9" t="s">
        <v>1258</v>
      </c>
      <c r="H576" s="9">
        <f t="shared" si="17"/>
        <v>2020</v>
      </c>
      <c r="I576">
        <f t="shared" si="18"/>
        <v>9</v>
      </c>
      <c r="K576"/>
      <c r="L576"/>
    </row>
    <row r="577" spans="2:12" ht="16.5" x14ac:dyDescent="0.25">
      <c r="B577" s="9" t="s">
        <v>1259</v>
      </c>
      <c r="C577" s="9" t="s">
        <v>56</v>
      </c>
      <c r="D577" s="9" t="s">
        <v>39</v>
      </c>
      <c r="E577" s="9" t="s">
        <v>34</v>
      </c>
      <c r="F577" s="9">
        <v>85000</v>
      </c>
      <c r="G577" s="9" t="s">
        <v>1260</v>
      </c>
      <c r="H577" s="9">
        <f t="shared" si="17"/>
        <v>2020</v>
      </c>
      <c r="I577">
        <f t="shared" si="18"/>
        <v>9</v>
      </c>
      <c r="K577"/>
      <c r="L577"/>
    </row>
    <row r="578" spans="2:12" ht="16.5" x14ac:dyDescent="0.25">
      <c r="B578" s="9" t="s">
        <v>1261</v>
      </c>
      <c r="C578" s="9" t="s">
        <v>40</v>
      </c>
      <c r="D578" s="9" t="s">
        <v>40</v>
      </c>
      <c r="E578" s="9" t="s">
        <v>36</v>
      </c>
      <c r="F578" s="9">
        <v>191000</v>
      </c>
      <c r="G578" s="9" t="s">
        <v>1262</v>
      </c>
      <c r="H578" s="9">
        <f t="shared" si="17"/>
        <v>2020</v>
      </c>
      <c r="I578">
        <f t="shared" si="18"/>
        <v>9</v>
      </c>
      <c r="K578"/>
      <c r="L578"/>
    </row>
    <row r="579" spans="2:12" ht="16.5" x14ac:dyDescent="0.25">
      <c r="B579" s="9" t="s">
        <v>1263</v>
      </c>
      <c r="C579" s="9" t="s">
        <v>38</v>
      </c>
      <c r="D579" s="9" t="s">
        <v>35</v>
      </c>
      <c r="E579" s="9" t="s">
        <v>37</v>
      </c>
      <c r="F579" s="9">
        <v>137000</v>
      </c>
      <c r="G579" s="9" t="s">
        <v>1264</v>
      </c>
      <c r="H579" s="9">
        <f t="shared" ref="H579:H642" si="19">YEAR(G579)</f>
        <v>2020</v>
      </c>
      <c r="I579">
        <f t="shared" ref="I579:I642" si="20">MONTH(G579)</f>
        <v>9</v>
      </c>
      <c r="K579"/>
      <c r="L579"/>
    </row>
    <row r="580" spans="2:12" ht="16.5" x14ac:dyDescent="0.25">
      <c r="B580" s="9" t="s">
        <v>1265</v>
      </c>
      <c r="C580" s="9" t="s">
        <v>36</v>
      </c>
      <c r="D580" s="9" t="s">
        <v>40</v>
      </c>
      <c r="E580" s="9" t="s">
        <v>37</v>
      </c>
      <c r="F580" s="9">
        <v>245000</v>
      </c>
      <c r="G580" s="9" t="s">
        <v>1264</v>
      </c>
      <c r="H580" s="9">
        <f t="shared" si="19"/>
        <v>2020</v>
      </c>
      <c r="I580">
        <f t="shared" si="20"/>
        <v>9</v>
      </c>
      <c r="K580"/>
      <c r="L580"/>
    </row>
    <row r="581" spans="2:12" ht="16.5" x14ac:dyDescent="0.25">
      <c r="B581" s="9" t="s">
        <v>1266</v>
      </c>
      <c r="C581" s="9" t="s">
        <v>36</v>
      </c>
      <c r="D581" s="9" t="s">
        <v>35</v>
      </c>
      <c r="E581" s="9" t="s">
        <v>34</v>
      </c>
      <c r="F581" s="9">
        <v>299000</v>
      </c>
      <c r="G581" s="9" t="s">
        <v>1267</v>
      </c>
      <c r="H581" s="9">
        <f t="shared" si="19"/>
        <v>2020</v>
      </c>
      <c r="I581">
        <f t="shared" si="20"/>
        <v>9</v>
      </c>
      <c r="K581"/>
      <c r="L581"/>
    </row>
    <row r="582" spans="2:12" ht="16.5" x14ac:dyDescent="0.25">
      <c r="B582" s="9" t="s">
        <v>1268</v>
      </c>
      <c r="C582" s="9" t="s">
        <v>36</v>
      </c>
      <c r="D582" s="9" t="s">
        <v>35</v>
      </c>
      <c r="E582" s="9" t="s">
        <v>36</v>
      </c>
      <c r="F582" s="9">
        <v>134000</v>
      </c>
      <c r="G582" s="9" t="s">
        <v>1267</v>
      </c>
      <c r="H582" s="9">
        <f t="shared" si="19"/>
        <v>2020</v>
      </c>
      <c r="I582">
        <f t="shared" si="20"/>
        <v>9</v>
      </c>
      <c r="K582"/>
      <c r="L582"/>
    </row>
    <row r="583" spans="2:12" ht="16.5" x14ac:dyDescent="0.25">
      <c r="B583" s="9" t="s">
        <v>1269</v>
      </c>
      <c r="C583" s="9" t="s">
        <v>39</v>
      </c>
      <c r="D583" s="9" t="s">
        <v>37</v>
      </c>
      <c r="E583" s="9" t="s">
        <v>34</v>
      </c>
      <c r="F583" s="9">
        <v>170000</v>
      </c>
      <c r="G583" s="9" t="s">
        <v>1270</v>
      </c>
      <c r="H583" s="9">
        <f t="shared" si="19"/>
        <v>2020</v>
      </c>
      <c r="I583">
        <f t="shared" si="20"/>
        <v>9</v>
      </c>
      <c r="K583"/>
      <c r="L583"/>
    </row>
    <row r="584" spans="2:12" ht="16.5" x14ac:dyDescent="0.25">
      <c r="B584" s="9" t="s">
        <v>1271</v>
      </c>
      <c r="C584" s="9" t="s">
        <v>56</v>
      </c>
      <c r="D584" s="9" t="s">
        <v>34</v>
      </c>
      <c r="E584" s="9" t="s">
        <v>35</v>
      </c>
      <c r="F584" s="9">
        <v>224000</v>
      </c>
      <c r="G584" s="9" t="s">
        <v>1270</v>
      </c>
      <c r="H584" s="9">
        <f t="shared" si="19"/>
        <v>2020</v>
      </c>
      <c r="I584">
        <f t="shared" si="20"/>
        <v>9</v>
      </c>
      <c r="K584"/>
      <c r="L584"/>
    </row>
    <row r="585" spans="2:12" ht="16.5" x14ac:dyDescent="0.25">
      <c r="B585" s="9" t="s">
        <v>1272</v>
      </c>
      <c r="C585" s="9" t="s">
        <v>35</v>
      </c>
      <c r="D585" s="9" t="s">
        <v>38</v>
      </c>
      <c r="E585" s="9" t="s">
        <v>35</v>
      </c>
      <c r="F585" s="9">
        <v>162000</v>
      </c>
      <c r="G585" s="9" t="s">
        <v>1274</v>
      </c>
      <c r="H585" s="9">
        <f t="shared" si="19"/>
        <v>2020</v>
      </c>
      <c r="I585">
        <f t="shared" si="20"/>
        <v>9</v>
      </c>
      <c r="K585"/>
      <c r="L585"/>
    </row>
    <row r="586" spans="2:12" ht="16.5" x14ac:dyDescent="0.25">
      <c r="B586" s="9" t="s">
        <v>1275</v>
      </c>
      <c r="C586" s="9" t="s">
        <v>39</v>
      </c>
      <c r="D586" s="9" t="s">
        <v>38</v>
      </c>
      <c r="E586" s="9" t="s">
        <v>39</v>
      </c>
      <c r="F586" s="9">
        <v>163000</v>
      </c>
      <c r="G586" s="9" t="s">
        <v>1276</v>
      </c>
      <c r="H586" s="9">
        <f t="shared" si="19"/>
        <v>2020</v>
      </c>
      <c r="I586">
        <f t="shared" si="20"/>
        <v>9</v>
      </c>
      <c r="K586"/>
      <c r="L586"/>
    </row>
    <row r="587" spans="2:12" ht="16.5" x14ac:dyDescent="0.25">
      <c r="B587" s="9" t="s">
        <v>1277</v>
      </c>
      <c r="C587" s="9" t="s">
        <v>38</v>
      </c>
      <c r="D587" s="9" t="s">
        <v>37</v>
      </c>
      <c r="E587" s="9" t="s">
        <v>36</v>
      </c>
      <c r="F587" s="9">
        <v>119000</v>
      </c>
      <c r="G587" s="9" t="s">
        <v>1276</v>
      </c>
      <c r="H587" s="9">
        <f t="shared" si="19"/>
        <v>2020</v>
      </c>
      <c r="I587">
        <f t="shared" si="20"/>
        <v>9</v>
      </c>
      <c r="K587"/>
      <c r="L587"/>
    </row>
    <row r="588" spans="2:12" ht="16.5" x14ac:dyDescent="0.25">
      <c r="B588" s="9" t="s">
        <v>1278</v>
      </c>
      <c r="C588" s="9" t="s">
        <v>37</v>
      </c>
      <c r="D588" s="9" t="s">
        <v>39</v>
      </c>
      <c r="E588" s="9" t="s">
        <v>38</v>
      </c>
      <c r="F588" s="9">
        <v>99000</v>
      </c>
      <c r="G588" s="9" t="s">
        <v>1279</v>
      </c>
      <c r="H588" s="9">
        <f t="shared" si="19"/>
        <v>2020</v>
      </c>
      <c r="I588">
        <f t="shared" si="20"/>
        <v>9</v>
      </c>
      <c r="K588"/>
      <c r="L588"/>
    </row>
    <row r="589" spans="2:12" ht="16.5" x14ac:dyDescent="0.25">
      <c r="B589" s="9" t="s">
        <v>1280</v>
      </c>
      <c r="C589" s="9" t="s">
        <v>38</v>
      </c>
      <c r="D589" s="9" t="s">
        <v>36</v>
      </c>
      <c r="E589" s="9" t="s">
        <v>36</v>
      </c>
      <c r="F589" s="9">
        <v>164000</v>
      </c>
      <c r="G589" s="9" t="s">
        <v>1282</v>
      </c>
      <c r="H589" s="9">
        <f t="shared" si="19"/>
        <v>2020</v>
      </c>
      <c r="I589">
        <f t="shared" si="20"/>
        <v>9</v>
      </c>
      <c r="K589"/>
      <c r="L589"/>
    </row>
    <row r="590" spans="2:12" ht="16.5" x14ac:dyDescent="0.25">
      <c r="B590" s="9" t="s">
        <v>1283</v>
      </c>
      <c r="C590" s="9" t="s">
        <v>56</v>
      </c>
      <c r="D590" s="9" t="s">
        <v>37</v>
      </c>
      <c r="E590" s="9" t="s">
        <v>36</v>
      </c>
      <c r="F590" s="9">
        <v>58000</v>
      </c>
      <c r="G590" s="9" t="s">
        <v>1284</v>
      </c>
      <c r="H590" s="9">
        <f t="shared" si="19"/>
        <v>2020</v>
      </c>
      <c r="I590">
        <f t="shared" si="20"/>
        <v>9</v>
      </c>
      <c r="K590"/>
      <c r="L590"/>
    </row>
    <row r="591" spans="2:12" ht="16.5" x14ac:dyDescent="0.25">
      <c r="B591" s="9" t="s">
        <v>1285</v>
      </c>
      <c r="C591" s="9" t="s">
        <v>40</v>
      </c>
      <c r="D591" s="9" t="s">
        <v>37</v>
      </c>
      <c r="E591" s="9" t="s">
        <v>35</v>
      </c>
      <c r="F591" s="9">
        <v>41000</v>
      </c>
      <c r="G591" s="9" t="s">
        <v>1286</v>
      </c>
      <c r="H591" s="9">
        <f t="shared" si="19"/>
        <v>2020</v>
      </c>
      <c r="I591">
        <f t="shared" si="20"/>
        <v>9</v>
      </c>
      <c r="K591"/>
      <c r="L591"/>
    </row>
    <row r="592" spans="2:12" ht="16.5" x14ac:dyDescent="0.25">
      <c r="B592" s="9" t="s">
        <v>1287</v>
      </c>
      <c r="C592" s="9" t="s">
        <v>38</v>
      </c>
      <c r="D592" s="9" t="s">
        <v>36</v>
      </c>
      <c r="E592" s="9" t="s">
        <v>37</v>
      </c>
      <c r="F592" s="9">
        <v>87000</v>
      </c>
      <c r="G592" s="9" t="s">
        <v>1288</v>
      </c>
      <c r="H592" s="9">
        <f t="shared" si="19"/>
        <v>2020</v>
      </c>
      <c r="I592">
        <f t="shared" si="20"/>
        <v>9</v>
      </c>
      <c r="K592"/>
      <c r="L592"/>
    </row>
    <row r="593" spans="2:12" ht="16.5" x14ac:dyDescent="0.25">
      <c r="B593" s="9" t="s">
        <v>1289</v>
      </c>
      <c r="C593" s="9" t="s">
        <v>35</v>
      </c>
      <c r="D593" s="9" t="s">
        <v>35</v>
      </c>
      <c r="E593" s="9" t="s">
        <v>36</v>
      </c>
      <c r="F593" s="9">
        <v>279000</v>
      </c>
      <c r="G593" s="9" t="s">
        <v>1290</v>
      </c>
      <c r="H593" s="9">
        <f t="shared" si="19"/>
        <v>2020</v>
      </c>
      <c r="I593">
        <f t="shared" si="20"/>
        <v>9</v>
      </c>
      <c r="K593"/>
      <c r="L593"/>
    </row>
    <row r="594" spans="2:12" ht="16.5" x14ac:dyDescent="0.25">
      <c r="B594" s="9" t="s">
        <v>1291</v>
      </c>
      <c r="C594" s="9" t="s">
        <v>37</v>
      </c>
      <c r="D594" s="9" t="s">
        <v>37</v>
      </c>
      <c r="E594" s="9" t="s">
        <v>38</v>
      </c>
      <c r="F594" s="9">
        <v>168000</v>
      </c>
      <c r="G594" s="9" t="s">
        <v>1290</v>
      </c>
      <c r="H594" s="9">
        <f t="shared" si="19"/>
        <v>2020</v>
      </c>
      <c r="I594">
        <f t="shared" si="20"/>
        <v>9</v>
      </c>
      <c r="K594"/>
      <c r="L594"/>
    </row>
    <row r="595" spans="2:12" ht="16.5" x14ac:dyDescent="0.25">
      <c r="B595" s="9" t="s">
        <v>1292</v>
      </c>
      <c r="C595" s="9" t="s">
        <v>56</v>
      </c>
      <c r="D595" s="9" t="s">
        <v>40</v>
      </c>
      <c r="E595" s="9" t="s">
        <v>34</v>
      </c>
      <c r="F595" s="9">
        <v>48000</v>
      </c>
      <c r="G595" s="9" t="s">
        <v>1293</v>
      </c>
      <c r="H595" s="9">
        <f t="shared" si="19"/>
        <v>2020</v>
      </c>
      <c r="I595">
        <f t="shared" si="20"/>
        <v>9</v>
      </c>
      <c r="K595"/>
      <c r="L595"/>
    </row>
    <row r="596" spans="2:12" ht="16.5" x14ac:dyDescent="0.25">
      <c r="B596" s="9" t="s">
        <v>1294</v>
      </c>
      <c r="C596" s="9" t="s">
        <v>34</v>
      </c>
      <c r="D596" s="9" t="s">
        <v>34</v>
      </c>
      <c r="E596" s="9" t="s">
        <v>34</v>
      </c>
      <c r="F596" s="9">
        <v>101000</v>
      </c>
      <c r="G596" s="9" t="s">
        <v>1295</v>
      </c>
      <c r="H596" s="9">
        <f t="shared" si="19"/>
        <v>2020</v>
      </c>
      <c r="I596">
        <f t="shared" si="20"/>
        <v>9</v>
      </c>
      <c r="K596"/>
      <c r="L596"/>
    </row>
    <row r="597" spans="2:12" ht="16.5" x14ac:dyDescent="0.25">
      <c r="B597" s="9" t="s">
        <v>1296</v>
      </c>
      <c r="C597" s="9" t="s">
        <v>56</v>
      </c>
      <c r="D597" s="9" t="s">
        <v>36</v>
      </c>
      <c r="E597" s="9" t="s">
        <v>36</v>
      </c>
      <c r="F597" s="9">
        <v>287000</v>
      </c>
      <c r="G597" s="9" t="s">
        <v>1295</v>
      </c>
      <c r="H597" s="9">
        <f t="shared" si="19"/>
        <v>2020</v>
      </c>
      <c r="I597">
        <f t="shared" si="20"/>
        <v>9</v>
      </c>
      <c r="K597"/>
      <c r="L597"/>
    </row>
    <row r="598" spans="2:12" ht="16.5" x14ac:dyDescent="0.25">
      <c r="B598" s="9" t="s">
        <v>1297</v>
      </c>
      <c r="C598" s="9" t="s">
        <v>34</v>
      </c>
      <c r="D598" s="9" t="s">
        <v>37</v>
      </c>
      <c r="E598" s="9" t="s">
        <v>34</v>
      </c>
      <c r="F598" s="9">
        <v>173000</v>
      </c>
      <c r="G598" s="9" t="s">
        <v>1298</v>
      </c>
      <c r="H598" s="9">
        <f t="shared" si="19"/>
        <v>2020</v>
      </c>
      <c r="I598">
        <f t="shared" si="20"/>
        <v>10</v>
      </c>
      <c r="K598"/>
      <c r="L598"/>
    </row>
    <row r="599" spans="2:12" ht="16.5" x14ac:dyDescent="0.25">
      <c r="B599" s="9" t="s">
        <v>1299</v>
      </c>
      <c r="C599" s="9" t="s">
        <v>40</v>
      </c>
      <c r="D599" s="9" t="s">
        <v>36</v>
      </c>
      <c r="E599" s="9" t="s">
        <v>36</v>
      </c>
      <c r="F599" s="9">
        <v>290000</v>
      </c>
      <c r="G599" s="9" t="s">
        <v>1300</v>
      </c>
      <c r="H599" s="9">
        <f t="shared" si="19"/>
        <v>2020</v>
      </c>
      <c r="I599">
        <f t="shared" si="20"/>
        <v>10</v>
      </c>
      <c r="K599"/>
      <c r="L599"/>
    </row>
    <row r="600" spans="2:12" ht="16.5" x14ac:dyDescent="0.25">
      <c r="B600" s="9" t="s">
        <v>1301</v>
      </c>
      <c r="C600" s="9" t="s">
        <v>39</v>
      </c>
      <c r="D600" s="9" t="s">
        <v>39</v>
      </c>
      <c r="E600" s="9" t="s">
        <v>38</v>
      </c>
      <c r="F600" s="9">
        <v>299000</v>
      </c>
      <c r="G600" s="9" t="s">
        <v>1300</v>
      </c>
      <c r="H600" s="9">
        <f t="shared" si="19"/>
        <v>2020</v>
      </c>
      <c r="I600">
        <f t="shared" si="20"/>
        <v>10</v>
      </c>
      <c r="K600"/>
      <c r="L600"/>
    </row>
    <row r="601" spans="2:12" ht="16.5" x14ac:dyDescent="0.25">
      <c r="B601" s="9" t="s">
        <v>1302</v>
      </c>
      <c r="C601" s="9" t="s">
        <v>34</v>
      </c>
      <c r="D601" s="9" t="s">
        <v>34</v>
      </c>
      <c r="E601" s="9" t="s">
        <v>34</v>
      </c>
      <c r="F601" s="9">
        <v>163000</v>
      </c>
      <c r="G601" s="9" t="s">
        <v>1303</v>
      </c>
      <c r="H601" s="9">
        <f t="shared" si="19"/>
        <v>2020</v>
      </c>
      <c r="I601">
        <f t="shared" si="20"/>
        <v>10</v>
      </c>
      <c r="K601"/>
      <c r="L601"/>
    </row>
    <row r="602" spans="2:12" ht="16.5" x14ac:dyDescent="0.25">
      <c r="B602" s="9" t="s">
        <v>1304</v>
      </c>
      <c r="C602" s="9" t="s">
        <v>34</v>
      </c>
      <c r="D602" s="9" t="s">
        <v>36</v>
      </c>
      <c r="E602" s="9" t="s">
        <v>37</v>
      </c>
      <c r="F602" s="9">
        <v>199000</v>
      </c>
      <c r="G602" s="9" t="s">
        <v>1303</v>
      </c>
      <c r="H602" s="9">
        <f t="shared" si="19"/>
        <v>2020</v>
      </c>
      <c r="I602">
        <f t="shared" si="20"/>
        <v>10</v>
      </c>
      <c r="K602"/>
      <c r="L602"/>
    </row>
    <row r="603" spans="2:12" ht="16.5" x14ac:dyDescent="0.25">
      <c r="B603" s="9" t="s">
        <v>1305</v>
      </c>
      <c r="C603" s="9" t="s">
        <v>35</v>
      </c>
      <c r="D603" s="9" t="s">
        <v>34</v>
      </c>
      <c r="E603" s="9" t="s">
        <v>35</v>
      </c>
      <c r="F603" s="9">
        <v>251000</v>
      </c>
      <c r="G603" s="9" t="s">
        <v>1306</v>
      </c>
      <c r="H603" s="9">
        <f t="shared" si="19"/>
        <v>2020</v>
      </c>
      <c r="I603">
        <f t="shared" si="20"/>
        <v>10</v>
      </c>
      <c r="K603"/>
      <c r="L603"/>
    </row>
    <row r="604" spans="2:12" ht="16.5" x14ac:dyDescent="0.25">
      <c r="B604" s="9" t="s">
        <v>1307</v>
      </c>
      <c r="C604" s="9" t="s">
        <v>37</v>
      </c>
      <c r="D604" s="9" t="s">
        <v>36</v>
      </c>
      <c r="E604" s="9" t="s">
        <v>39</v>
      </c>
      <c r="F604" s="9">
        <v>187000</v>
      </c>
      <c r="G604" s="9" t="s">
        <v>1308</v>
      </c>
      <c r="H604" s="9">
        <f t="shared" si="19"/>
        <v>2020</v>
      </c>
      <c r="I604">
        <f t="shared" si="20"/>
        <v>10</v>
      </c>
      <c r="K604"/>
      <c r="L604"/>
    </row>
    <row r="605" spans="2:12" ht="16.5" x14ac:dyDescent="0.25">
      <c r="B605" s="9" t="s">
        <v>1309</v>
      </c>
      <c r="C605" s="9" t="s">
        <v>34</v>
      </c>
      <c r="D605" s="9" t="s">
        <v>36</v>
      </c>
      <c r="E605" s="9" t="s">
        <v>38</v>
      </c>
      <c r="F605" s="9">
        <v>33000</v>
      </c>
      <c r="G605" s="9" t="s">
        <v>1310</v>
      </c>
      <c r="H605" s="9">
        <f t="shared" si="19"/>
        <v>2020</v>
      </c>
      <c r="I605">
        <f t="shared" si="20"/>
        <v>10</v>
      </c>
      <c r="K605"/>
      <c r="L605"/>
    </row>
    <row r="606" spans="2:12" ht="16.5" x14ac:dyDescent="0.25">
      <c r="B606" s="9" t="s">
        <v>1311</v>
      </c>
      <c r="C606" s="9" t="s">
        <v>35</v>
      </c>
      <c r="D606" s="9" t="s">
        <v>36</v>
      </c>
      <c r="E606" s="9" t="s">
        <v>36</v>
      </c>
      <c r="F606" s="9">
        <v>176000</v>
      </c>
      <c r="G606" s="9" t="s">
        <v>1312</v>
      </c>
      <c r="H606" s="9">
        <f t="shared" si="19"/>
        <v>2020</v>
      </c>
      <c r="I606">
        <f t="shared" si="20"/>
        <v>10</v>
      </c>
      <c r="K606"/>
      <c r="L606"/>
    </row>
    <row r="607" spans="2:12" ht="16.5" x14ac:dyDescent="0.25">
      <c r="B607" s="9" t="s">
        <v>1313</v>
      </c>
      <c r="C607" s="9" t="s">
        <v>40</v>
      </c>
      <c r="D607" s="9" t="s">
        <v>38</v>
      </c>
      <c r="E607" s="9" t="s">
        <v>36</v>
      </c>
      <c r="F607" s="9">
        <v>220000</v>
      </c>
      <c r="G607" s="9" t="s">
        <v>1315</v>
      </c>
      <c r="H607" s="9">
        <f t="shared" si="19"/>
        <v>2020</v>
      </c>
      <c r="I607">
        <f t="shared" si="20"/>
        <v>10</v>
      </c>
      <c r="K607"/>
      <c r="L607"/>
    </row>
    <row r="608" spans="2:12" ht="16.5" x14ac:dyDescent="0.25">
      <c r="B608" s="9" t="s">
        <v>1316</v>
      </c>
      <c r="C608" s="9" t="s">
        <v>37</v>
      </c>
      <c r="D608" s="9" t="s">
        <v>34</v>
      </c>
      <c r="E608" s="9" t="s">
        <v>38</v>
      </c>
      <c r="F608" s="9">
        <v>76000</v>
      </c>
      <c r="G608" s="9" t="s">
        <v>1315</v>
      </c>
      <c r="H608" s="9">
        <f t="shared" si="19"/>
        <v>2020</v>
      </c>
      <c r="I608">
        <f t="shared" si="20"/>
        <v>10</v>
      </c>
      <c r="K608"/>
      <c r="L608"/>
    </row>
    <row r="609" spans="2:12" ht="16.5" x14ac:dyDescent="0.25">
      <c r="B609" s="9" t="s">
        <v>1318</v>
      </c>
      <c r="C609" s="9" t="s">
        <v>37</v>
      </c>
      <c r="D609" s="9" t="s">
        <v>35</v>
      </c>
      <c r="E609" s="9" t="s">
        <v>35</v>
      </c>
      <c r="F609" s="9">
        <v>187000</v>
      </c>
      <c r="G609" s="9" t="s">
        <v>1315</v>
      </c>
      <c r="H609" s="9">
        <f t="shared" si="19"/>
        <v>2020</v>
      </c>
      <c r="I609">
        <f t="shared" si="20"/>
        <v>10</v>
      </c>
      <c r="K609"/>
      <c r="L609"/>
    </row>
    <row r="610" spans="2:12" ht="16.5" x14ac:dyDescent="0.25">
      <c r="B610" s="9" t="s">
        <v>1319</v>
      </c>
      <c r="C610" s="9" t="s">
        <v>36</v>
      </c>
      <c r="D610" s="9" t="s">
        <v>34</v>
      </c>
      <c r="E610" s="9" t="s">
        <v>35</v>
      </c>
      <c r="F610" s="9">
        <v>225000</v>
      </c>
      <c r="G610" s="9" t="s">
        <v>1320</v>
      </c>
      <c r="H610" s="9">
        <f t="shared" si="19"/>
        <v>2020</v>
      </c>
      <c r="I610">
        <f t="shared" si="20"/>
        <v>10</v>
      </c>
      <c r="K610"/>
      <c r="L610"/>
    </row>
    <row r="611" spans="2:12" ht="16.5" x14ac:dyDescent="0.25">
      <c r="B611" s="9" t="s">
        <v>1321</v>
      </c>
      <c r="C611" s="9" t="s">
        <v>37</v>
      </c>
      <c r="D611" s="9" t="s">
        <v>36</v>
      </c>
      <c r="E611" s="9" t="s">
        <v>39</v>
      </c>
      <c r="F611" s="9">
        <v>283000</v>
      </c>
      <c r="G611" s="9" t="s">
        <v>1323</v>
      </c>
      <c r="H611" s="9">
        <f t="shared" si="19"/>
        <v>2020</v>
      </c>
      <c r="I611">
        <f t="shared" si="20"/>
        <v>10</v>
      </c>
      <c r="K611"/>
      <c r="L611"/>
    </row>
    <row r="612" spans="2:12" ht="16.5" x14ac:dyDescent="0.25">
      <c r="B612" s="9" t="s">
        <v>1324</v>
      </c>
      <c r="C612" s="9" t="s">
        <v>38</v>
      </c>
      <c r="D612" s="9" t="s">
        <v>39</v>
      </c>
      <c r="E612" s="9" t="s">
        <v>37</v>
      </c>
      <c r="F612" s="9">
        <v>225000</v>
      </c>
      <c r="G612" s="9" t="s">
        <v>1325</v>
      </c>
      <c r="H612" s="9">
        <f t="shared" si="19"/>
        <v>2020</v>
      </c>
      <c r="I612">
        <f t="shared" si="20"/>
        <v>10</v>
      </c>
      <c r="K612"/>
      <c r="L612"/>
    </row>
    <row r="613" spans="2:12" ht="16.5" x14ac:dyDescent="0.25">
      <c r="B613" s="9" t="s">
        <v>1326</v>
      </c>
      <c r="C613" s="9" t="s">
        <v>34</v>
      </c>
      <c r="D613" s="9" t="s">
        <v>36</v>
      </c>
      <c r="E613" s="9" t="s">
        <v>37</v>
      </c>
      <c r="F613" s="9">
        <v>44000</v>
      </c>
      <c r="G613" s="9" t="s">
        <v>1328</v>
      </c>
      <c r="H613" s="9">
        <f t="shared" si="19"/>
        <v>2020</v>
      </c>
      <c r="I613">
        <f t="shared" si="20"/>
        <v>10</v>
      </c>
      <c r="K613"/>
      <c r="L613"/>
    </row>
    <row r="614" spans="2:12" ht="16.5" x14ac:dyDescent="0.25">
      <c r="B614" s="9" t="s">
        <v>1329</v>
      </c>
      <c r="C614" s="9" t="s">
        <v>59</v>
      </c>
      <c r="D614" s="9" t="s">
        <v>36</v>
      </c>
      <c r="E614" s="9" t="s">
        <v>34</v>
      </c>
      <c r="F614" s="9">
        <v>132000</v>
      </c>
      <c r="G614" s="9" t="s">
        <v>1328</v>
      </c>
      <c r="H614" s="9">
        <f t="shared" si="19"/>
        <v>2020</v>
      </c>
      <c r="I614">
        <f t="shared" si="20"/>
        <v>10</v>
      </c>
      <c r="K614"/>
      <c r="L614"/>
    </row>
    <row r="615" spans="2:12" ht="16.5" x14ac:dyDescent="0.25">
      <c r="B615" s="9" t="s">
        <v>1330</v>
      </c>
      <c r="C615" s="9" t="s">
        <v>37</v>
      </c>
      <c r="D615" s="9" t="s">
        <v>34</v>
      </c>
      <c r="E615" s="9" t="s">
        <v>36</v>
      </c>
      <c r="F615" s="9">
        <v>202000</v>
      </c>
      <c r="G615" s="9" t="s">
        <v>1328</v>
      </c>
      <c r="H615" s="9">
        <f t="shared" si="19"/>
        <v>2020</v>
      </c>
      <c r="I615">
        <f t="shared" si="20"/>
        <v>10</v>
      </c>
      <c r="K615"/>
      <c r="L615"/>
    </row>
    <row r="616" spans="2:12" ht="16.5" x14ac:dyDescent="0.25">
      <c r="B616" s="9" t="s">
        <v>1331</v>
      </c>
      <c r="C616" s="9" t="s">
        <v>56</v>
      </c>
      <c r="D616" s="9" t="s">
        <v>35</v>
      </c>
      <c r="E616" s="9" t="s">
        <v>36</v>
      </c>
      <c r="F616" s="9">
        <v>261000</v>
      </c>
      <c r="G616" s="9" t="s">
        <v>1332</v>
      </c>
      <c r="H616" s="9">
        <f t="shared" si="19"/>
        <v>2020</v>
      </c>
      <c r="I616">
        <f t="shared" si="20"/>
        <v>10</v>
      </c>
      <c r="K616"/>
      <c r="L616"/>
    </row>
    <row r="617" spans="2:12" ht="16.5" x14ac:dyDescent="0.25">
      <c r="B617" s="9" t="s">
        <v>1333</v>
      </c>
      <c r="C617" s="9" t="s">
        <v>36</v>
      </c>
      <c r="D617" s="9" t="s">
        <v>39</v>
      </c>
      <c r="E617" s="9" t="s">
        <v>39</v>
      </c>
      <c r="F617" s="9">
        <v>213000</v>
      </c>
      <c r="G617" s="9" t="s">
        <v>1334</v>
      </c>
      <c r="H617" s="9">
        <f t="shared" si="19"/>
        <v>2020</v>
      </c>
      <c r="I617">
        <f t="shared" si="20"/>
        <v>10</v>
      </c>
      <c r="K617"/>
      <c r="L617"/>
    </row>
    <row r="618" spans="2:12" ht="16.5" x14ac:dyDescent="0.25">
      <c r="B618" s="9" t="s">
        <v>1335</v>
      </c>
      <c r="C618" s="9" t="s">
        <v>59</v>
      </c>
      <c r="D618" s="9" t="s">
        <v>40</v>
      </c>
      <c r="E618" s="9" t="s">
        <v>35</v>
      </c>
      <c r="F618" s="9">
        <v>296000</v>
      </c>
      <c r="G618" s="9" t="s">
        <v>1336</v>
      </c>
      <c r="H618" s="9">
        <f t="shared" si="19"/>
        <v>2020</v>
      </c>
      <c r="I618">
        <f t="shared" si="20"/>
        <v>10</v>
      </c>
      <c r="K618"/>
      <c r="L618"/>
    </row>
    <row r="619" spans="2:12" ht="16.5" x14ac:dyDescent="0.25">
      <c r="B619" s="9" t="s">
        <v>1337</v>
      </c>
      <c r="C619" s="9" t="s">
        <v>34</v>
      </c>
      <c r="D619" s="9" t="s">
        <v>35</v>
      </c>
      <c r="E619" s="9" t="s">
        <v>39</v>
      </c>
      <c r="F619" s="9">
        <v>169000</v>
      </c>
      <c r="G619" s="9" t="s">
        <v>1336</v>
      </c>
      <c r="H619" s="9">
        <f t="shared" si="19"/>
        <v>2020</v>
      </c>
      <c r="I619">
        <f t="shared" si="20"/>
        <v>10</v>
      </c>
      <c r="K619"/>
      <c r="L619"/>
    </row>
    <row r="620" spans="2:12" ht="16.5" x14ac:dyDescent="0.25">
      <c r="B620" s="9" t="s">
        <v>1338</v>
      </c>
      <c r="C620" s="9" t="s">
        <v>34</v>
      </c>
      <c r="D620" s="9" t="s">
        <v>38</v>
      </c>
      <c r="E620" s="9" t="s">
        <v>36</v>
      </c>
      <c r="F620" s="9">
        <v>64000</v>
      </c>
      <c r="G620" s="9" t="s">
        <v>1336</v>
      </c>
      <c r="H620" s="9">
        <f t="shared" si="19"/>
        <v>2020</v>
      </c>
      <c r="I620">
        <f t="shared" si="20"/>
        <v>10</v>
      </c>
      <c r="K620"/>
      <c r="L620"/>
    </row>
    <row r="621" spans="2:12" ht="16.5" x14ac:dyDescent="0.25">
      <c r="B621" s="9" t="s">
        <v>1339</v>
      </c>
      <c r="C621" s="9" t="s">
        <v>36</v>
      </c>
      <c r="D621" s="9" t="s">
        <v>38</v>
      </c>
      <c r="E621" s="9" t="s">
        <v>39</v>
      </c>
      <c r="F621" s="9">
        <v>101000</v>
      </c>
      <c r="G621" s="9" t="s">
        <v>1340</v>
      </c>
      <c r="H621" s="9">
        <f t="shared" si="19"/>
        <v>2020</v>
      </c>
      <c r="I621">
        <f t="shared" si="20"/>
        <v>10</v>
      </c>
      <c r="K621"/>
      <c r="L621"/>
    </row>
    <row r="622" spans="2:12" ht="16.5" x14ac:dyDescent="0.25">
      <c r="B622" s="9" t="s">
        <v>1341</v>
      </c>
      <c r="C622" s="9" t="s">
        <v>37</v>
      </c>
      <c r="D622" s="9" t="s">
        <v>39</v>
      </c>
      <c r="E622" s="9" t="s">
        <v>34</v>
      </c>
      <c r="F622" s="9">
        <v>87000</v>
      </c>
      <c r="G622" s="9" t="s">
        <v>1342</v>
      </c>
      <c r="H622" s="9">
        <f t="shared" si="19"/>
        <v>2020</v>
      </c>
      <c r="I622">
        <f t="shared" si="20"/>
        <v>10</v>
      </c>
      <c r="K622"/>
      <c r="L622"/>
    </row>
    <row r="623" spans="2:12" ht="16.5" x14ac:dyDescent="0.25">
      <c r="B623" s="9" t="s">
        <v>1343</v>
      </c>
      <c r="C623" s="9" t="s">
        <v>34</v>
      </c>
      <c r="D623" s="9" t="s">
        <v>35</v>
      </c>
      <c r="E623" s="9" t="s">
        <v>36</v>
      </c>
      <c r="F623" s="9">
        <v>195000</v>
      </c>
      <c r="G623" s="9" t="s">
        <v>1345</v>
      </c>
      <c r="H623" s="9">
        <f t="shared" si="19"/>
        <v>2020</v>
      </c>
      <c r="I623">
        <f t="shared" si="20"/>
        <v>10</v>
      </c>
      <c r="K623"/>
      <c r="L623"/>
    </row>
    <row r="624" spans="2:12" ht="16.5" x14ac:dyDescent="0.25">
      <c r="B624" s="9" t="s">
        <v>1346</v>
      </c>
      <c r="C624" s="9" t="s">
        <v>36</v>
      </c>
      <c r="D624" s="9" t="s">
        <v>36</v>
      </c>
      <c r="E624" s="9" t="s">
        <v>36</v>
      </c>
      <c r="F624" s="9">
        <v>103000</v>
      </c>
      <c r="G624" s="9" t="s">
        <v>1347</v>
      </c>
      <c r="H624" s="9">
        <f t="shared" si="19"/>
        <v>2020</v>
      </c>
      <c r="I624">
        <f t="shared" si="20"/>
        <v>11</v>
      </c>
      <c r="K624"/>
      <c r="L624"/>
    </row>
    <row r="625" spans="2:12" ht="16.5" x14ac:dyDescent="0.25">
      <c r="B625" s="9" t="s">
        <v>1348</v>
      </c>
      <c r="C625" s="9" t="s">
        <v>34</v>
      </c>
      <c r="D625" s="9" t="s">
        <v>34</v>
      </c>
      <c r="E625" s="9" t="s">
        <v>34</v>
      </c>
      <c r="F625" s="9">
        <v>262000</v>
      </c>
      <c r="G625" s="9" t="s">
        <v>1347</v>
      </c>
      <c r="H625" s="9">
        <f t="shared" si="19"/>
        <v>2020</v>
      </c>
      <c r="I625">
        <f t="shared" si="20"/>
        <v>11</v>
      </c>
      <c r="K625"/>
      <c r="L625"/>
    </row>
    <row r="626" spans="2:12" ht="16.5" x14ac:dyDescent="0.25">
      <c r="B626" s="9" t="s">
        <v>1350</v>
      </c>
      <c r="C626" s="9" t="s">
        <v>35</v>
      </c>
      <c r="D626" s="9" t="s">
        <v>35</v>
      </c>
      <c r="E626" s="9" t="s">
        <v>39</v>
      </c>
      <c r="F626" s="9">
        <v>91000</v>
      </c>
      <c r="G626" s="9" t="s">
        <v>1347</v>
      </c>
      <c r="H626" s="9">
        <f t="shared" si="19"/>
        <v>2020</v>
      </c>
      <c r="I626">
        <f t="shared" si="20"/>
        <v>11</v>
      </c>
      <c r="K626"/>
      <c r="L626"/>
    </row>
    <row r="627" spans="2:12" ht="16.5" x14ac:dyDescent="0.25">
      <c r="B627" s="9" t="s">
        <v>1351</v>
      </c>
      <c r="C627" s="9" t="s">
        <v>37</v>
      </c>
      <c r="D627" s="9" t="s">
        <v>38</v>
      </c>
      <c r="E627" s="9" t="s">
        <v>37</v>
      </c>
      <c r="F627" s="9">
        <v>78000</v>
      </c>
      <c r="G627" s="9" t="s">
        <v>1352</v>
      </c>
      <c r="H627" s="9">
        <f t="shared" si="19"/>
        <v>2020</v>
      </c>
      <c r="I627">
        <f t="shared" si="20"/>
        <v>11</v>
      </c>
      <c r="K627"/>
      <c r="L627"/>
    </row>
    <row r="628" spans="2:12" ht="16.5" x14ac:dyDescent="0.25">
      <c r="B628" s="9" t="s">
        <v>1353</v>
      </c>
      <c r="C628" s="9" t="s">
        <v>40</v>
      </c>
      <c r="D628" s="9" t="s">
        <v>35</v>
      </c>
      <c r="E628" s="9" t="s">
        <v>34</v>
      </c>
      <c r="F628" s="9">
        <v>232000</v>
      </c>
      <c r="G628" s="9" t="s">
        <v>1352</v>
      </c>
      <c r="H628" s="9">
        <f t="shared" si="19"/>
        <v>2020</v>
      </c>
      <c r="I628">
        <f t="shared" si="20"/>
        <v>11</v>
      </c>
      <c r="K628"/>
      <c r="L628"/>
    </row>
    <row r="629" spans="2:12" ht="16.5" x14ac:dyDescent="0.25">
      <c r="B629" s="9" t="s">
        <v>1354</v>
      </c>
      <c r="C629" s="9" t="s">
        <v>39</v>
      </c>
      <c r="D629" s="9" t="s">
        <v>37</v>
      </c>
      <c r="E629" s="9" t="s">
        <v>39</v>
      </c>
      <c r="F629" s="9">
        <v>288000</v>
      </c>
      <c r="G629" s="9" t="s">
        <v>1355</v>
      </c>
      <c r="H629" s="9">
        <f t="shared" si="19"/>
        <v>2020</v>
      </c>
      <c r="I629">
        <f t="shared" si="20"/>
        <v>11</v>
      </c>
      <c r="K629"/>
      <c r="L629"/>
    </row>
    <row r="630" spans="2:12" ht="16.5" x14ac:dyDescent="0.25">
      <c r="B630" s="9" t="s">
        <v>1356</v>
      </c>
      <c r="C630" s="9" t="s">
        <v>40</v>
      </c>
      <c r="D630" s="9" t="s">
        <v>40</v>
      </c>
      <c r="E630" s="9" t="s">
        <v>39</v>
      </c>
      <c r="F630" s="9">
        <v>58000</v>
      </c>
      <c r="G630" s="9" t="s">
        <v>1357</v>
      </c>
      <c r="H630" s="9">
        <f t="shared" si="19"/>
        <v>2020</v>
      </c>
      <c r="I630">
        <f t="shared" si="20"/>
        <v>11</v>
      </c>
      <c r="K630"/>
      <c r="L630"/>
    </row>
    <row r="631" spans="2:12" ht="16.5" x14ac:dyDescent="0.25">
      <c r="B631" s="9" t="s">
        <v>1358</v>
      </c>
      <c r="C631" s="9" t="s">
        <v>35</v>
      </c>
      <c r="D631" s="9" t="s">
        <v>36</v>
      </c>
      <c r="E631" s="9" t="s">
        <v>35</v>
      </c>
      <c r="F631" s="9">
        <v>55000</v>
      </c>
      <c r="G631" s="9" t="s">
        <v>1359</v>
      </c>
      <c r="H631" s="9">
        <f t="shared" si="19"/>
        <v>2020</v>
      </c>
      <c r="I631">
        <f t="shared" si="20"/>
        <v>11</v>
      </c>
      <c r="K631"/>
      <c r="L631"/>
    </row>
    <row r="632" spans="2:12" ht="16.5" x14ac:dyDescent="0.25">
      <c r="B632" s="9" t="s">
        <v>1360</v>
      </c>
      <c r="C632" s="9" t="s">
        <v>39</v>
      </c>
      <c r="D632" s="9" t="s">
        <v>39</v>
      </c>
      <c r="E632" s="9" t="s">
        <v>38</v>
      </c>
      <c r="F632" s="9">
        <v>61000</v>
      </c>
      <c r="G632" s="9" t="s">
        <v>1361</v>
      </c>
      <c r="H632" s="9">
        <f t="shared" si="19"/>
        <v>2020</v>
      </c>
      <c r="I632">
        <f t="shared" si="20"/>
        <v>11</v>
      </c>
      <c r="K632"/>
      <c r="L632"/>
    </row>
    <row r="633" spans="2:12" ht="16.5" x14ac:dyDescent="0.25">
      <c r="B633" s="9" t="s">
        <v>1362</v>
      </c>
      <c r="C633" s="9" t="s">
        <v>36</v>
      </c>
      <c r="D633" s="9" t="s">
        <v>35</v>
      </c>
      <c r="E633" s="9" t="s">
        <v>34</v>
      </c>
      <c r="F633" s="9">
        <v>211000</v>
      </c>
      <c r="G633" s="9" t="s">
        <v>1363</v>
      </c>
      <c r="H633" s="9">
        <f t="shared" si="19"/>
        <v>2020</v>
      </c>
      <c r="I633">
        <f t="shared" si="20"/>
        <v>11</v>
      </c>
      <c r="K633"/>
      <c r="L633"/>
    </row>
    <row r="634" spans="2:12" ht="16.5" x14ac:dyDescent="0.25">
      <c r="B634" s="9" t="s">
        <v>1364</v>
      </c>
      <c r="C634" s="9" t="s">
        <v>56</v>
      </c>
      <c r="D634" s="9" t="s">
        <v>39</v>
      </c>
      <c r="E634" s="9" t="s">
        <v>37</v>
      </c>
      <c r="F634" s="9">
        <v>197000</v>
      </c>
      <c r="G634" s="9" t="s">
        <v>1365</v>
      </c>
      <c r="H634" s="9">
        <f t="shared" si="19"/>
        <v>2020</v>
      </c>
      <c r="I634">
        <f t="shared" si="20"/>
        <v>11</v>
      </c>
      <c r="K634"/>
      <c r="L634"/>
    </row>
    <row r="635" spans="2:12" ht="16.5" x14ac:dyDescent="0.25">
      <c r="B635" s="9" t="s">
        <v>1366</v>
      </c>
      <c r="C635" s="9" t="s">
        <v>40</v>
      </c>
      <c r="D635" s="9" t="s">
        <v>35</v>
      </c>
      <c r="E635" s="9" t="s">
        <v>38</v>
      </c>
      <c r="F635" s="9">
        <v>69000</v>
      </c>
      <c r="G635" s="9" t="s">
        <v>1367</v>
      </c>
      <c r="H635" s="9">
        <f t="shared" si="19"/>
        <v>2020</v>
      </c>
      <c r="I635">
        <f t="shared" si="20"/>
        <v>11</v>
      </c>
      <c r="K635"/>
      <c r="L635"/>
    </row>
    <row r="636" spans="2:12" ht="16.5" x14ac:dyDescent="0.25">
      <c r="B636" s="9" t="s">
        <v>1368</v>
      </c>
      <c r="C636" s="9" t="s">
        <v>40</v>
      </c>
      <c r="D636" s="9" t="s">
        <v>39</v>
      </c>
      <c r="E636" s="9" t="s">
        <v>35</v>
      </c>
      <c r="F636" s="9">
        <v>123000</v>
      </c>
      <c r="G636" s="9" t="s">
        <v>1369</v>
      </c>
      <c r="H636" s="9">
        <f t="shared" si="19"/>
        <v>2020</v>
      </c>
      <c r="I636">
        <f t="shared" si="20"/>
        <v>11</v>
      </c>
      <c r="K636"/>
      <c r="L636"/>
    </row>
    <row r="637" spans="2:12" ht="16.5" x14ac:dyDescent="0.25">
      <c r="B637" s="9" t="s">
        <v>1370</v>
      </c>
      <c r="C637" s="9" t="s">
        <v>37</v>
      </c>
      <c r="D637" s="9" t="s">
        <v>34</v>
      </c>
      <c r="E637" s="9" t="s">
        <v>35</v>
      </c>
      <c r="F637" s="9">
        <v>157000</v>
      </c>
      <c r="G637" s="9" t="s">
        <v>1371</v>
      </c>
      <c r="H637" s="9">
        <f t="shared" si="19"/>
        <v>2020</v>
      </c>
      <c r="I637">
        <f t="shared" si="20"/>
        <v>11</v>
      </c>
      <c r="K637"/>
      <c r="L637"/>
    </row>
    <row r="638" spans="2:12" ht="16.5" x14ac:dyDescent="0.25">
      <c r="B638" s="9" t="s">
        <v>1372</v>
      </c>
      <c r="C638" s="9" t="s">
        <v>39</v>
      </c>
      <c r="D638" s="9" t="s">
        <v>40</v>
      </c>
      <c r="E638" s="9" t="s">
        <v>36</v>
      </c>
      <c r="F638" s="9">
        <v>110000</v>
      </c>
      <c r="G638" s="9" t="s">
        <v>1373</v>
      </c>
      <c r="H638" s="9">
        <f t="shared" si="19"/>
        <v>2020</v>
      </c>
      <c r="I638">
        <f t="shared" si="20"/>
        <v>11</v>
      </c>
      <c r="K638"/>
      <c r="L638"/>
    </row>
    <row r="639" spans="2:12" ht="16.5" x14ac:dyDescent="0.25">
      <c r="B639" s="9" t="s">
        <v>1374</v>
      </c>
      <c r="C639" s="9" t="s">
        <v>40</v>
      </c>
      <c r="D639" s="9" t="s">
        <v>39</v>
      </c>
      <c r="E639" s="9" t="s">
        <v>36</v>
      </c>
      <c r="F639" s="9">
        <v>167000</v>
      </c>
      <c r="G639" s="9" t="s">
        <v>1375</v>
      </c>
      <c r="H639" s="9">
        <f t="shared" si="19"/>
        <v>2020</v>
      </c>
      <c r="I639">
        <f t="shared" si="20"/>
        <v>11</v>
      </c>
      <c r="K639"/>
      <c r="L639"/>
    </row>
    <row r="640" spans="2:12" ht="16.5" x14ac:dyDescent="0.25">
      <c r="B640" s="9" t="s">
        <v>1376</v>
      </c>
      <c r="C640" s="9" t="s">
        <v>38</v>
      </c>
      <c r="D640" s="9" t="s">
        <v>40</v>
      </c>
      <c r="E640" s="9" t="s">
        <v>39</v>
      </c>
      <c r="F640" s="9">
        <v>161000</v>
      </c>
      <c r="G640" s="9" t="s">
        <v>1375</v>
      </c>
      <c r="H640" s="9">
        <f t="shared" si="19"/>
        <v>2020</v>
      </c>
      <c r="I640">
        <f t="shared" si="20"/>
        <v>11</v>
      </c>
      <c r="K640"/>
      <c r="L640"/>
    </row>
    <row r="641" spans="2:12" ht="16.5" x14ac:dyDescent="0.25">
      <c r="B641" s="9" t="s">
        <v>1377</v>
      </c>
      <c r="C641" s="9" t="s">
        <v>36</v>
      </c>
      <c r="D641" s="9" t="s">
        <v>34</v>
      </c>
      <c r="E641" s="9" t="s">
        <v>39</v>
      </c>
      <c r="F641" s="9">
        <v>241000</v>
      </c>
      <c r="G641" s="9" t="s">
        <v>1378</v>
      </c>
      <c r="H641" s="9">
        <f t="shared" si="19"/>
        <v>2020</v>
      </c>
      <c r="I641">
        <f t="shared" si="20"/>
        <v>11</v>
      </c>
      <c r="K641"/>
      <c r="L641"/>
    </row>
    <row r="642" spans="2:12" ht="16.5" x14ac:dyDescent="0.25">
      <c r="B642" s="9" t="s">
        <v>1379</v>
      </c>
      <c r="C642" s="9" t="s">
        <v>38</v>
      </c>
      <c r="D642" s="9" t="s">
        <v>36</v>
      </c>
      <c r="E642" s="9" t="s">
        <v>39</v>
      </c>
      <c r="F642" s="9">
        <v>216000</v>
      </c>
      <c r="G642" s="9" t="s">
        <v>1378</v>
      </c>
      <c r="H642" s="9">
        <f t="shared" si="19"/>
        <v>2020</v>
      </c>
      <c r="I642">
        <f t="shared" si="20"/>
        <v>11</v>
      </c>
      <c r="K642"/>
      <c r="L642"/>
    </row>
    <row r="643" spans="2:12" ht="16.5" x14ac:dyDescent="0.25">
      <c r="B643" s="9" t="s">
        <v>1380</v>
      </c>
      <c r="C643" s="9" t="s">
        <v>39</v>
      </c>
      <c r="D643" s="9" t="s">
        <v>35</v>
      </c>
      <c r="E643" s="9" t="s">
        <v>34</v>
      </c>
      <c r="F643" s="9">
        <v>39000</v>
      </c>
      <c r="G643" s="9" t="s">
        <v>1382</v>
      </c>
      <c r="H643" s="9">
        <f t="shared" ref="H643:H706" si="21">YEAR(G643)</f>
        <v>2020</v>
      </c>
      <c r="I643">
        <f t="shared" ref="I643:I706" si="22">MONTH(G643)</f>
        <v>11</v>
      </c>
      <c r="K643"/>
      <c r="L643"/>
    </row>
    <row r="644" spans="2:12" ht="16.5" x14ac:dyDescent="0.25">
      <c r="B644" s="9" t="s">
        <v>1383</v>
      </c>
      <c r="C644" s="9" t="s">
        <v>40</v>
      </c>
      <c r="D644" s="9" t="s">
        <v>37</v>
      </c>
      <c r="E644" s="9" t="s">
        <v>35</v>
      </c>
      <c r="F644" s="9">
        <v>152000</v>
      </c>
      <c r="G644" s="9" t="s">
        <v>1384</v>
      </c>
      <c r="H644" s="9">
        <f t="shared" si="21"/>
        <v>2020</v>
      </c>
      <c r="I644">
        <f t="shared" si="22"/>
        <v>11</v>
      </c>
      <c r="K644"/>
      <c r="L644"/>
    </row>
    <row r="645" spans="2:12" ht="16.5" x14ac:dyDescent="0.25">
      <c r="B645" s="9" t="s">
        <v>1385</v>
      </c>
      <c r="C645" s="9" t="s">
        <v>36</v>
      </c>
      <c r="D645" s="9" t="s">
        <v>39</v>
      </c>
      <c r="E645" s="9" t="s">
        <v>39</v>
      </c>
      <c r="F645" s="9">
        <v>61000</v>
      </c>
      <c r="G645" s="9" t="s">
        <v>1386</v>
      </c>
      <c r="H645" s="9">
        <f t="shared" si="21"/>
        <v>2020</v>
      </c>
      <c r="I645">
        <f t="shared" si="22"/>
        <v>12</v>
      </c>
      <c r="K645"/>
      <c r="L645"/>
    </row>
    <row r="646" spans="2:12" ht="16.5" x14ac:dyDescent="0.25">
      <c r="B646" s="9" t="s">
        <v>1387</v>
      </c>
      <c r="C646" s="9" t="s">
        <v>56</v>
      </c>
      <c r="D646" s="9" t="s">
        <v>34</v>
      </c>
      <c r="E646" s="9" t="s">
        <v>36</v>
      </c>
      <c r="F646" s="9">
        <v>41000</v>
      </c>
      <c r="G646" s="9" t="s">
        <v>1386</v>
      </c>
      <c r="H646" s="9">
        <f t="shared" si="21"/>
        <v>2020</v>
      </c>
      <c r="I646">
        <f t="shared" si="22"/>
        <v>12</v>
      </c>
      <c r="K646"/>
      <c r="L646"/>
    </row>
    <row r="647" spans="2:12" ht="16.5" x14ac:dyDescent="0.25">
      <c r="B647" s="9" t="s">
        <v>1388</v>
      </c>
      <c r="C647" s="9" t="s">
        <v>37</v>
      </c>
      <c r="D647" s="9" t="s">
        <v>36</v>
      </c>
      <c r="E647" s="9" t="s">
        <v>38</v>
      </c>
      <c r="F647" s="9">
        <v>102000</v>
      </c>
      <c r="G647" s="9" t="s">
        <v>1389</v>
      </c>
      <c r="H647" s="9">
        <f t="shared" si="21"/>
        <v>2020</v>
      </c>
      <c r="I647">
        <f t="shared" si="22"/>
        <v>12</v>
      </c>
      <c r="K647"/>
      <c r="L647"/>
    </row>
    <row r="648" spans="2:12" ht="16.5" x14ac:dyDescent="0.25">
      <c r="B648" s="9" t="s">
        <v>1390</v>
      </c>
      <c r="C648" s="9" t="s">
        <v>35</v>
      </c>
      <c r="D648" s="9" t="s">
        <v>35</v>
      </c>
      <c r="E648" s="9" t="s">
        <v>37</v>
      </c>
      <c r="F648" s="9">
        <v>79000</v>
      </c>
      <c r="G648" s="9" t="s">
        <v>1391</v>
      </c>
      <c r="H648" s="9">
        <f t="shared" si="21"/>
        <v>2020</v>
      </c>
      <c r="I648">
        <f t="shared" si="22"/>
        <v>12</v>
      </c>
      <c r="K648"/>
      <c r="L648"/>
    </row>
    <row r="649" spans="2:12" ht="16.5" x14ac:dyDescent="0.25">
      <c r="B649" s="9" t="s">
        <v>1392</v>
      </c>
      <c r="C649" s="9" t="s">
        <v>56</v>
      </c>
      <c r="D649" s="9" t="s">
        <v>34</v>
      </c>
      <c r="E649" s="9" t="s">
        <v>34</v>
      </c>
      <c r="F649" s="9">
        <v>47000</v>
      </c>
      <c r="G649" s="9" t="s">
        <v>1391</v>
      </c>
      <c r="H649" s="9">
        <f t="shared" si="21"/>
        <v>2020</v>
      </c>
      <c r="I649">
        <f t="shared" si="22"/>
        <v>12</v>
      </c>
      <c r="K649"/>
      <c r="L649"/>
    </row>
    <row r="650" spans="2:12" ht="16.5" x14ac:dyDescent="0.25">
      <c r="B650" s="9" t="s">
        <v>1393</v>
      </c>
      <c r="C650" s="9" t="s">
        <v>38</v>
      </c>
      <c r="D650" s="9" t="s">
        <v>37</v>
      </c>
      <c r="E650" s="9" t="s">
        <v>38</v>
      </c>
      <c r="F650" s="9">
        <v>91000</v>
      </c>
      <c r="G650" s="9" t="s">
        <v>1394</v>
      </c>
      <c r="H650" s="9">
        <f t="shared" si="21"/>
        <v>2020</v>
      </c>
      <c r="I650">
        <f t="shared" si="22"/>
        <v>12</v>
      </c>
      <c r="K650"/>
      <c r="L650"/>
    </row>
    <row r="651" spans="2:12" ht="16.5" x14ac:dyDescent="0.25">
      <c r="B651" s="9" t="s">
        <v>1395</v>
      </c>
      <c r="C651" s="9" t="s">
        <v>40</v>
      </c>
      <c r="D651" s="9" t="s">
        <v>39</v>
      </c>
      <c r="E651" s="9" t="s">
        <v>38</v>
      </c>
      <c r="F651" s="9">
        <v>65000</v>
      </c>
      <c r="G651" s="9" t="s">
        <v>1396</v>
      </c>
      <c r="H651" s="9">
        <f t="shared" si="21"/>
        <v>2020</v>
      </c>
      <c r="I651">
        <f t="shared" si="22"/>
        <v>12</v>
      </c>
      <c r="K651"/>
      <c r="L651"/>
    </row>
    <row r="652" spans="2:12" ht="16.5" x14ac:dyDescent="0.25">
      <c r="B652" s="9" t="s">
        <v>1397</v>
      </c>
      <c r="C652" s="9" t="s">
        <v>40</v>
      </c>
      <c r="D652" s="9" t="s">
        <v>38</v>
      </c>
      <c r="E652" s="9" t="s">
        <v>36</v>
      </c>
      <c r="F652" s="9">
        <v>125000</v>
      </c>
      <c r="G652" s="9" t="s">
        <v>1398</v>
      </c>
      <c r="H652" s="9">
        <f t="shared" si="21"/>
        <v>2020</v>
      </c>
      <c r="I652">
        <f t="shared" si="22"/>
        <v>12</v>
      </c>
      <c r="K652"/>
      <c r="L652"/>
    </row>
    <row r="653" spans="2:12" ht="16.5" x14ac:dyDescent="0.25">
      <c r="B653" s="9" t="s">
        <v>1399</v>
      </c>
      <c r="C653" s="9" t="s">
        <v>36</v>
      </c>
      <c r="D653" s="9" t="s">
        <v>38</v>
      </c>
      <c r="E653" s="9" t="s">
        <v>36</v>
      </c>
      <c r="F653" s="9">
        <v>198000</v>
      </c>
      <c r="G653" s="9" t="s">
        <v>1400</v>
      </c>
      <c r="H653" s="9">
        <f t="shared" si="21"/>
        <v>2020</v>
      </c>
      <c r="I653">
        <f t="shared" si="22"/>
        <v>12</v>
      </c>
      <c r="K653"/>
      <c r="L653"/>
    </row>
    <row r="654" spans="2:12" ht="16.5" x14ac:dyDescent="0.25">
      <c r="B654" s="9" t="s">
        <v>1401</v>
      </c>
      <c r="C654" s="9" t="s">
        <v>37</v>
      </c>
      <c r="D654" s="9" t="s">
        <v>39</v>
      </c>
      <c r="E654" s="9" t="s">
        <v>39</v>
      </c>
      <c r="F654" s="9">
        <v>116000</v>
      </c>
      <c r="G654" s="9" t="s">
        <v>1402</v>
      </c>
      <c r="H654" s="9">
        <f t="shared" si="21"/>
        <v>2020</v>
      </c>
      <c r="I654">
        <f t="shared" si="22"/>
        <v>12</v>
      </c>
      <c r="K654"/>
      <c r="L654"/>
    </row>
    <row r="655" spans="2:12" ht="16.5" x14ac:dyDescent="0.25">
      <c r="B655" s="9" t="s">
        <v>1403</v>
      </c>
      <c r="C655" s="9" t="s">
        <v>37</v>
      </c>
      <c r="D655" s="9" t="s">
        <v>36</v>
      </c>
      <c r="E655" s="9" t="s">
        <v>37</v>
      </c>
      <c r="F655" s="9">
        <v>255000</v>
      </c>
      <c r="G655" s="9" t="s">
        <v>1402</v>
      </c>
      <c r="H655" s="9">
        <f t="shared" si="21"/>
        <v>2020</v>
      </c>
      <c r="I655">
        <f t="shared" si="22"/>
        <v>12</v>
      </c>
      <c r="K655"/>
      <c r="L655"/>
    </row>
    <row r="656" spans="2:12" ht="16.5" x14ac:dyDescent="0.25">
      <c r="B656" s="9" t="s">
        <v>1404</v>
      </c>
      <c r="C656" s="9" t="s">
        <v>40</v>
      </c>
      <c r="D656" s="9" t="s">
        <v>40</v>
      </c>
      <c r="E656" s="9" t="s">
        <v>38</v>
      </c>
      <c r="F656" s="9">
        <v>120000</v>
      </c>
      <c r="G656" s="9" t="s">
        <v>1405</v>
      </c>
      <c r="H656" s="9">
        <f t="shared" si="21"/>
        <v>2020</v>
      </c>
      <c r="I656">
        <f t="shared" si="22"/>
        <v>12</v>
      </c>
      <c r="K656"/>
      <c r="L656"/>
    </row>
    <row r="657" spans="2:12" ht="16.5" x14ac:dyDescent="0.25">
      <c r="B657" s="9" t="s">
        <v>1406</v>
      </c>
      <c r="C657" s="9" t="s">
        <v>36</v>
      </c>
      <c r="D657" s="9" t="s">
        <v>34</v>
      </c>
      <c r="E657" s="9" t="s">
        <v>35</v>
      </c>
      <c r="F657" s="9">
        <v>68000</v>
      </c>
      <c r="G657" s="9" t="s">
        <v>1407</v>
      </c>
      <c r="H657" s="9">
        <f t="shared" si="21"/>
        <v>2020</v>
      </c>
      <c r="I657">
        <f t="shared" si="22"/>
        <v>12</v>
      </c>
      <c r="K657"/>
      <c r="L657"/>
    </row>
    <row r="658" spans="2:12" ht="16.5" x14ac:dyDescent="0.25">
      <c r="B658" s="9" t="s">
        <v>1408</v>
      </c>
      <c r="C658" s="9" t="s">
        <v>39</v>
      </c>
      <c r="D658" s="9" t="s">
        <v>37</v>
      </c>
      <c r="E658" s="9" t="s">
        <v>37</v>
      </c>
      <c r="F658" s="9">
        <v>67000</v>
      </c>
      <c r="G658" s="9" t="s">
        <v>1407</v>
      </c>
      <c r="H658" s="9">
        <f t="shared" si="21"/>
        <v>2020</v>
      </c>
      <c r="I658">
        <f t="shared" si="22"/>
        <v>12</v>
      </c>
      <c r="K658"/>
      <c r="L658"/>
    </row>
    <row r="659" spans="2:12" ht="16.5" x14ac:dyDescent="0.25">
      <c r="B659" s="9" t="s">
        <v>1410</v>
      </c>
      <c r="C659" s="9" t="s">
        <v>36</v>
      </c>
      <c r="D659" s="9" t="s">
        <v>34</v>
      </c>
      <c r="E659" s="9" t="s">
        <v>39</v>
      </c>
      <c r="F659" s="9">
        <v>173000</v>
      </c>
      <c r="G659" s="9" t="s">
        <v>1411</v>
      </c>
      <c r="H659" s="9">
        <f t="shared" si="21"/>
        <v>2020</v>
      </c>
      <c r="I659">
        <f t="shared" si="22"/>
        <v>12</v>
      </c>
      <c r="K659"/>
      <c r="L659"/>
    </row>
    <row r="660" spans="2:12" ht="16.5" x14ac:dyDescent="0.25">
      <c r="B660" s="9" t="s">
        <v>1412</v>
      </c>
      <c r="C660" s="9" t="s">
        <v>35</v>
      </c>
      <c r="D660" s="9" t="s">
        <v>38</v>
      </c>
      <c r="E660" s="9" t="s">
        <v>38</v>
      </c>
      <c r="F660" s="9">
        <v>178000</v>
      </c>
      <c r="G660" s="9" t="s">
        <v>1411</v>
      </c>
      <c r="H660" s="9">
        <f t="shared" si="21"/>
        <v>2020</v>
      </c>
      <c r="I660">
        <f t="shared" si="22"/>
        <v>12</v>
      </c>
      <c r="K660"/>
      <c r="L660"/>
    </row>
    <row r="661" spans="2:12" ht="16.5" x14ac:dyDescent="0.25">
      <c r="B661" s="9" t="s">
        <v>1413</v>
      </c>
      <c r="C661" s="9" t="s">
        <v>59</v>
      </c>
      <c r="D661" s="9" t="s">
        <v>39</v>
      </c>
      <c r="E661" s="9" t="s">
        <v>38</v>
      </c>
      <c r="F661" s="9">
        <v>252000</v>
      </c>
      <c r="G661" s="9" t="s">
        <v>1414</v>
      </c>
      <c r="H661" s="9">
        <f t="shared" si="21"/>
        <v>2020</v>
      </c>
      <c r="I661">
        <f t="shared" si="22"/>
        <v>12</v>
      </c>
      <c r="K661"/>
      <c r="L661"/>
    </row>
    <row r="662" spans="2:12" ht="16.5" x14ac:dyDescent="0.25">
      <c r="B662" s="9" t="s">
        <v>1415</v>
      </c>
      <c r="C662" s="9" t="s">
        <v>40</v>
      </c>
      <c r="D662" s="9" t="s">
        <v>35</v>
      </c>
      <c r="E662" s="9" t="s">
        <v>34</v>
      </c>
      <c r="F662" s="9">
        <v>217000</v>
      </c>
      <c r="G662" s="9" t="s">
        <v>1416</v>
      </c>
      <c r="H662" s="9">
        <f t="shared" si="21"/>
        <v>2020</v>
      </c>
      <c r="I662">
        <f t="shared" si="22"/>
        <v>12</v>
      </c>
      <c r="K662"/>
      <c r="L662"/>
    </row>
    <row r="663" spans="2:12" ht="16.5" x14ac:dyDescent="0.25">
      <c r="B663" s="9" t="s">
        <v>1417</v>
      </c>
      <c r="C663" s="9" t="s">
        <v>36</v>
      </c>
      <c r="D663" s="9" t="s">
        <v>34</v>
      </c>
      <c r="E663" s="9" t="s">
        <v>39</v>
      </c>
      <c r="F663" s="9">
        <v>224000</v>
      </c>
      <c r="G663" s="9" t="s">
        <v>1418</v>
      </c>
      <c r="H663" s="9">
        <f t="shared" si="21"/>
        <v>2020</v>
      </c>
      <c r="I663">
        <f t="shared" si="22"/>
        <v>12</v>
      </c>
      <c r="K663"/>
      <c r="L663"/>
    </row>
    <row r="664" spans="2:12" ht="16.5" x14ac:dyDescent="0.25">
      <c r="B664" s="9" t="s">
        <v>1419</v>
      </c>
      <c r="C664" s="9" t="s">
        <v>38</v>
      </c>
      <c r="D664" s="9" t="s">
        <v>34</v>
      </c>
      <c r="E664" s="9" t="s">
        <v>39</v>
      </c>
      <c r="F664" s="9">
        <v>252000</v>
      </c>
      <c r="G664" s="9" t="s">
        <v>1420</v>
      </c>
      <c r="H664" s="9">
        <f t="shared" si="21"/>
        <v>2020</v>
      </c>
      <c r="I664">
        <f t="shared" si="22"/>
        <v>12</v>
      </c>
      <c r="K664"/>
      <c r="L664"/>
    </row>
    <row r="665" spans="2:12" ht="16.5" x14ac:dyDescent="0.25">
      <c r="B665" s="9" t="s">
        <v>1421</v>
      </c>
      <c r="C665" s="9" t="s">
        <v>39</v>
      </c>
      <c r="D665" s="9" t="s">
        <v>35</v>
      </c>
      <c r="E665" s="9" t="s">
        <v>35</v>
      </c>
      <c r="F665" s="9">
        <v>130000</v>
      </c>
      <c r="G665" s="9" t="s">
        <v>1420</v>
      </c>
      <c r="H665" s="9">
        <f t="shared" si="21"/>
        <v>2020</v>
      </c>
      <c r="I665">
        <f t="shared" si="22"/>
        <v>12</v>
      </c>
      <c r="K665"/>
      <c r="L665"/>
    </row>
    <row r="666" spans="2:12" ht="16.5" x14ac:dyDescent="0.25">
      <c r="B666" s="9" t="s">
        <v>1422</v>
      </c>
      <c r="C666" s="9" t="s">
        <v>35</v>
      </c>
      <c r="D666" s="9" t="s">
        <v>39</v>
      </c>
      <c r="E666" s="9" t="s">
        <v>35</v>
      </c>
      <c r="F666" s="9">
        <v>297000</v>
      </c>
      <c r="G666" s="9" t="s">
        <v>1423</v>
      </c>
      <c r="H666" s="9">
        <f t="shared" si="21"/>
        <v>2020</v>
      </c>
      <c r="I666">
        <f t="shared" si="22"/>
        <v>12</v>
      </c>
      <c r="K666"/>
      <c r="L666"/>
    </row>
    <row r="667" spans="2:12" ht="16.5" x14ac:dyDescent="0.25">
      <c r="B667" s="9" t="s">
        <v>1424</v>
      </c>
      <c r="C667" s="9" t="s">
        <v>38</v>
      </c>
      <c r="D667" s="9" t="s">
        <v>37</v>
      </c>
      <c r="E667" s="9" t="s">
        <v>35</v>
      </c>
      <c r="F667" s="9">
        <v>179000</v>
      </c>
      <c r="G667" s="9" t="s">
        <v>1425</v>
      </c>
      <c r="H667" s="9">
        <f t="shared" si="21"/>
        <v>2020</v>
      </c>
      <c r="I667">
        <f t="shared" si="22"/>
        <v>12</v>
      </c>
      <c r="K667"/>
      <c r="L667"/>
    </row>
    <row r="668" spans="2:12" ht="16.5" x14ac:dyDescent="0.25">
      <c r="B668" s="9" t="s">
        <v>1426</v>
      </c>
      <c r="C668" s="9" t="s">
        <v>59</v>
      </c>
      <c r="D668" s="9" t="s">
        <v>38</v>
      </c>
      <c r="E668" s="9" t="s">
        <v>39</v>
      </c>
      <c r="F668" s="9">
        <v>264000</v>
      </c>
      <c r="G668" s="9" t="s">
        <v>1425</v>
      </c>
      <c r="H668" s="9">
        <f t="shared" si="21"/>
        <v>2020</v>
      </c>
      <c r="I668">
        <f t="shared" si="22"/>
        <v>12</v>
      </c>
      <c r="K668"/>
      <c r="L668"/>
    </row>
    <row r="669" spans="2:12" ht="16.5" x14ac:dyDescent="0.25">
      <c r="B669" s="9" t="s">
        <v>1427</v>
      </c>
      <c r="C669" s="9" t="s">
        <v>38</v>
      </c>
      <c r="D669" s="9" t="s">
        <v>37</v>
      </c>
      <c r="E669" s="9" t="s">
        <v>39</v>
      </c>
      <c r="F669" s="9">
        <v>212000</v>
      </c>
      <c r="G669" s="9" t="s">
        <v>1428</v>
      </c>
      <c r="H669" s="9">
        <f t="shared" si="21"/>
        <v>2020</v>
      </c>
      <c r="I669">
        <f t="shared" si="22"/>
        <v>12</v>
      </c>
      <c r="K669"/>
      <c r="L669"/>
    </row>
    <row r="670" spans="2:12" ht="16.5" x14ac:dyDescent="0.25">
      <c r="B670" s="9" t="s">
        <v>1429</v>
      </c>
      <c r="C670" s="9" t="s">
        <v>37</v>
      </c>
      <c r="D670" s="9" t="s">
        <v>36</v>
      </c>
      <c r="E670" s="9" t="s">
        <v>37</v>
      </c>
      <c r="F670" s="9">
        <v>153000</v>
      </c>
      <c r="G670" s="9" t="s">
        <v>1430</v>
      </c>
      <c r="H670" s="9">
        <f t="shared" si="21"/>
        <v>2020</v>
      </c>
      <c r="I670">
        <f t="shared" si="22"/>
        <v>12</v>
      </c>
      <c r="K670"/>
      <c r="L670"/>
    </row>
    <row r="671" spans="2:12" ht="16.5" x14ac:dyDescent="0.25">
      <c r="B671" s="9" t="s">
        <v>1431</v>
      </c>
      <c r="C671" s="9" t="s">
        <v>59</v>
      </c>
      <c r="D671" s="9" t="s">
        <v>34</v>
      </c>
      <c r="E671" s="9" t="s">
        <v>39</v>
      </c>
      <c r="F671" s="9">
        <v>176000</v>
      </c>
      <c r="G671" s="9" t="s">
        <v>1430</v>
      </c>
      <c r="H671" s="9">
        <f t="shared" si="21"/>
        <v>2020</v>
      </c>
      <c r="I671">
        <f t="shared" si="22"/>
        <v>12</v>
      </c>
      <c r="K671"/>
      <c r="L671"/>
    </row>
    <row r="672" spans="2:12" ht="16.5" x14ac:dyDescent="0.25">
      <c r="B672" s="9" t="s">
        <v>1432</v>
      </c>
      <c r="C672" s="9" t="s">
        <v>34</v>
      </c>
      <c r="D672" s="9" t="s">
        <v>38</v>
      </c>
      <c r="E672" s="9" t="s">
        <v>39</v>
      </c>
      <c r="F672" s="9">
        <v>38000</v>
      </c>
      <c r="G672" s="9" t="s">
        <v>1433</v>
      </c>
      <c r="H672" s="9">
        <f t="shared" si="21"/>
        <v>2020</v>
      </c>
      <c r="I672">
        <f t="shared" si="22"/>
        <v>12</v>
      </c>
      <c r="K672"/>
      <c r="L672"/>
    </row>
    <row r="673" spans="2:12" ht="16.5" x14ac:dyDescent="0.25">
      <c r="B673" s="9" t="s">
        <v>1434</v>
      </c>
      <c r="C673" s="9" t="s">
        <v>59</v>
      </c>
      <c r="D673" s="9" t="s">
        <v>38</v>
      </c>
      <c r="E673" s="9" t="s">
        <v>35</v>
      </c>
      <c r="F673" s="9">
        <v>153000</v>
      </c>
      <c r="G673" s="9" t="s">
        <v>1433</v>
      </c>
      <c r="H673" s="9">
        <f t="shared" si="21"/>
        <v>2020</v>
      </c>
      <c r="I673">
        <f t="shared" si="22"/>
        <v>12</v>
      </c>
      <c r="K673"/>
      <c r="L673"/>
    </row>
    <row r="674" spans="2:12" ht="16.5" x14ac:dyDescent="0.25">
      <c r="B674" s="9" t="s">
        <v>1435</v>
      </c>
      <c r="C674" s="9" t="s">
        <v>39</v>
      </c>
      <c r="D674" s="9" t="s">
        <v>36</v>
      </c>
      <c r="E674" s="9" t="s">
        <v>35</v>
      </c>
      <c r="F674" s="9">
        <v>166000</v>
      </c>
      <c r="G674" s="9" t="s">
        <v>1436</v>
      </c>
      <c r="H674" s="9">
        <f t="shared" si="21"/>
        <v>2021</v>
      </c>
      <c r="I674">
        <f t="shared" si="22"/>
        <v>1</v>
      </c>
    </row>
    <row r="675" spans="2:12" ht="16.5" x14ac:dyDescent="0.25">
      <c r="B675" s="9" t="s">
        <v>1437</v>
      </c>
      <c r="C675" s="9" t="s">
        <v>36</v>
      </c>
      <c r="D675" s="9" t="s">
        <v>37</v>
      </c>
      <c r="E675" s="9" t="s">
        <v>39</v>
      </c>
      <c r="F675" s="9">
        <v>269000</v>
      </c>
      <c r="G675" s="9" t="s">
        <v>1438</v>
      </c>
      <c r="H675" s="9">
        <f t="shared" si="21"/>
        <v>2021</v>
      </c>
      <c r="I675">
        <f t="shared" si="22"/>
        <v>1</v>
      </c>
    </row>
    <row r="676" spans="2:12" ht="16.5" x14ac:dyDescent="0.25">
      <c r="B676" s="9" t="s">
        <v>1439</v>
      </c>
      <c r="C676" s="9" t="s">
        <v>40</v>
      </c>
      <c r="D676" s="9" t="s">
        <v>35</v>
      </c>
      <c r="E676" s="9" t="s">
        <v>36</v>
      </c>
      <c r="F676" s="9">
        <v>69000</v>
      </c>
      <c r="G676" s="9" t="s">
        <v>1438</v>
      </c>
      <c r="H676" s="9">
        <f t="shared" si="21"/>
        <v>2021</v>
      </c>
      <c r="I676">
        <f t="shared" si="22"/>
        <v>1</v>
      </c>
    </row>
    <row r="677" spans="2:12" ht="16.5" x14ac:dyDescent="0.25">
      <c r="B677" s="9" t="s">
        <v>1440</v>
      </c>
      <c r="C677" s="9" t="s">
        <v>36</v>
      </c>
      <c r="D677" s="9" t="s">
        <v>36</v>
      </c>
      <c r="E677" s="9" t="s">
        <v>37</v>
      </c>
      <c r="F677" s="9">
        <v>276000</v>
      </c>
      <c r="G677" s="9" t="s">
        <v>1441</v>
      </c>
      <c r="H677" s="9">
        <f t="shared" si="21"/>
        <v>2021</v>
      </c>
      <c r="I677">
        <f t="shared" si="22"/>
        <v>1</v>
      </c>
    </row>
    <row r="678" spans="2:12" ht="16.5" x14ac:dyDescent="0.25">
      <c r="B678" s="9" t="s">
        <v>1442</v>
      </c>
      <c r="C678" s="9" t="s">
        <v>35</v>
      </c>
      <c r="D678" s="9" t="s">
        <v>36</v>
      </c>
      <c r="E678" s="9" t="s">
        <v>38</v>
      </c>
      <c r="F678" s="9">
        <v>50000</v>
      </c>
      <c r="G678" s="9" t="s">
        <v>1441</v>
      </c>
      <c r="H678" s="9">
        <f t="shared" si="21"/>
        <v>2021</v>
      </c>
      <c r="I678">
        <f t="shared" si="22"/>
        <v>1</v>
      </c>
    </row>
    <row r="679" spans="2:12" ht="16.5" x14ac:dyDescent="0.25">
      <c r="B679" s="9" t="s">
        <v>1444</v>
      </c>
      <c r="C679" s="9" t="s">
        <v>36</v>
      </c>
      <c r="D679" s="9" t="s">
        <v>37</v>
      </c>
      <c r="E679" s="9" t="s">
        <v>37</v>
      </c>
      <c r="F679" s="9">
        <v>79000</v>
      </c>
      <c r="G679" s="9" t="s">
        <v>1445</v>
      </c>
      <c r="H679" s="9">
        <f t="shared" si="21"/>
        <v>2021</v>
      </c>
      <c r="I679">
        <f t="shared" si="22"/>
        <v>1</v>
      </c>
    </row>
    <row r="680" spans="2:12" ht="16.5" x14ac:dyDescent="0.25">
      <c r="B680" s="9" t="s">
        <v>1446</v>
      </c>
      <c r="C680" s="9" t="s">
        <v>39</v>
      </c>
      <c r="D680" s="9" t="s">
        <v>36</v>
      </c>
      <c r="E680" s="9" t="s">
        <v>39</v>
      </c>
      <c r="F680" s="9">
        <v>266000</v>
      </c>
      <c r="G680" s="9" t="s">
        <v>1447</v>
      </c>
      <c r="H680" s="9">
        <f t="shared" si="21"/>
        <v>2021</v>
      </c>
      <c r="I680">
        <f t="shared" si="22"/>
        <v>1</v>
      </c>
    </row>
    <row r="681" spans="2:12" ht="16.5" x14ac:dyDescent="0.25">
      <c r="B681" s="9" t="s">
        <v>1448</v>
      </c>
      <c r="C681" s="9" t="s">
        <v>40</v>
      </c>
      <c r="D681" s="9" t="s">
        <v>36</v>
      </c>
      <c r="E681" s="9" t="s">
        <v>35</v>
      </c>
      <c r="F681" s="9">
        <v>249000</v>
      </c>
      <c r="G681" s="9" t="s">
        <v>1447</v>
      </c>
      <c r="H681" s="9">
        <f t="shared" si="21"/>
        <v>2021</v>
      </c>
      <c r="I681">
        <f t="shared" si="22"/>
        <v>1</v>
      </c>
    </row>
    <row r="682" spans="2:12" ht="16.5" x14ac:dyDescent="0.25">
      <c r="B682" s="9" t="s">
        <v>1449</v>
      </c>
      <c r="C682" s="9" t="s">
        <v>39</v>
      </c>
      <c r="D682" s="9" t="s">
        <v>36</v>
      </c>
      <c r="E682" s="9" t="s">
        <v>39</v>
      </c>
      <c r="F682" s="9">
        <v>98000</v>
      </c>
      <c r="G682" s="9" t="s">
        <v>1447</v>
      </c>
      <c r="H682" s="9">
        <f t="shared" si="21"/>
        <v>2021</v>
      </c>
      <c r="I682">
        <f t="shared" si="22"/>
        <v>1</v>
      </c>
    </row>
    <row r="683" spans="2:12" ht="16.5" x14ac:dyDescent="0.25">
      <c r="B683" s="9" t="s">
        <v>1450</v>
      </c>
      <c r="C683" s="9" t="s">
        <v>36</v>
      </c>
      <c r="D683" s="9" t="s">
        <v>36</v>
      </c>
      <c r="E683" s="9" t="s">
        <v>39</v>
      </c>
      <c r="F683" s="9">
        <v>161000</v>
      </c>
      <c r="G683" s="9" t="s">
        <v>1447</v>
      </c>
      <c r="H683" s="9">
        <f t="shared" si="21"/>
        <v>2021</v>
      </c>
      <c r="I683">
        <f t="shared" si="22"/>
        <v>1</v>
      </c>
    </row>
    <row r="684" spans="2:12" ht="16.5" x14ac:dyDescent="0.25">
      <c r="B684" s="9" t="s">
        <v>1451</v>
      </c>
      <c r="C684" s="9" t="s">
        <v>36</v>
      </c>
      <c r="D684" s="9" t="s">
        <v>34</v>
      </c>
      <c r="E684" s="9" t="s">
        <v>34</v>
      </c>
      <c r="F684" s="9">
        <v>175000</v>
      </c>
      <c r="G684" s="9" t="s">
        <v>1452</v>
      </c>
      <c r="H684" s="9">
        <f t="shared" si="21"/>
        <v>2021</v>
      </c>
      <c r="I684">
        <f t="shared" si="22"/>
        <v>1</v>
      </c>
    </row>
    <row r="685" spans="2:12" ht="16.5" x14ac:dyDescent="0.25">
      <c r="B685" s="9" t="s">
        <v>1453</v>
      </c>
      <c r="C685" s="9" t="s">
        <v>35</v>
      </c>
      <c r="D685" s="9" t="s">
        <v>34</v>
      </c>
      <c r="E685" s="9" t="s">
        <v>38</v>
      </c>
      <c r="F685" s="9">
        <v>249000</v>
      </c>
      <c r="G685" s="9" t="s">
        <v>1452</v>
      </c>
      <c r="H685" s="9">
        <f t="shared" si="21"/>
        <v>2021</v>
      </c>
      <c r="I685">
        <f t="shared" si="22"/>
        <v>1</v>
      </c>
    </row>
    <row r="686" spans="2:12" ht="16.5" x14ac:dyDescent="0.25">
      <c r="B686" s="9" t="s">
        <v>1454</v>
      </c>
      <c r="C686" s="9" t="s">
        <v>36</v>
      </c>
      <c r="D686" s="9" t="s">
        <v>35</v>
      </c>
      <c r="E686" s="9" t="s">
        <v>35</v>
      </c>
      <c r="F686" s="9">
        <v>182000</v>
      </c>
      <c r="G686" s="9" t="s">
        <v>1455</v>
      </c>
      <c r="H686" s="9">
        <f t="shared" si="21"/>
        <v>2021</v>
      </c>
      <c r="I686">
        <f t="shared" si="22"/>
        <v>1</v>
      </c>
    </row>
    <row r="687" spans="2:12" ht="16.5" x14ac:dyDescent="0.25">
      <c r="B687" s="9" t="s">
        <v>1456</v>
      </c>
      <c r="C687" s="9" t="s">
        <v>56</v>
      </c>
      <c r="D687" s="9" t="s">
        <v>34</v>
      </c>
      <c r="E687" s="9" t="s">
        <v>35</v>
      </c>
      <c r="F687" s="9">
        <v>251000</v>
      </c>
      <c r="G687" s="9" t="s">
        <v>1455</v>
      </c>
      <c r="H687" s="9">
        <f t="shared" si="21"/>
        <v>2021</v>
      </c>
      <c r="I687">
        <f t="shared" si="22"/>
        <v>1</v>
      </c>
    </row>
    <row r="688" spans="2:12" ht="16.5" x14ac:dyDescent="0.25">
      <c r="B688" s="9" t="s">
        <v>1457</v>
      </c>
      <c r="C688" s="9" t="s">
        <v>59</v>
      </c>
      <c r="D688" s="9" t="s">
        <v>35</v>
      </c>
      <c r="E688" s="9" t="s">
        <v>38</v>
      </c>
      <c r="F688" s="9">
        <v>133000</v>
      </c>
      <c r="G688" s="9" t="s">
        <v>1458</v>
      </c>
      <c r="H688" s="9">
        <f t="shared" si="21"/>
        <v>2021</v>
      </c>
      <c r="I688">
        <f t="shared" si="22"/>
        <v>1</v>
      </c>
    </row>
    <row r="689" spans="2:9" ht="16.5" x14ac:dyDescent="0.25">
      <c r="B689" s="9" t="s">
        <v>1459</v>
      </c>
      <c r="C689" s="9" t="s">
        <v>36</v>
      </c>
      <c r="D689" s="9" t="s">
        <v>35</v>
      </c>
      <c r="E689" s="9" t="s">
        <v>34</v>
      </c>
      <c r="F689" s="9">
        <v>179000</v>
      </c>
      <c r="G689" s="9" t="s">
        <v>1460</v>
      </c>
      <c r="H689" s="9">
        <f t="shared" si="21"/>
        <v>2021</v>
      </c>
      <c r="I689">
        <f t="shared" si="22"/>
        <v>1</v>
      </c>
    </row>
    <row r="690" spans="2:9" ht="16.5" x14ac:dyDescent="0.25">
      <c r="B690" s="9" t="s">
        <v>1461</v>
      </c>
      <c r="C690" s="9" t="s">
        <v>40</v>
      </c>
      <c r="D690" s="9" t="s">
        <v>40</v>
      </c>
      <c r="E690" s="9" t="s">
        <v>34</v>
      </c>
      <c r="F690" s="9">
        <v>149000</v>
      </c>
      <c r="G690" s="9" t="s">
        <v>1460</v>
      </c>
      <c r="H690" s="9">
        <f t="shared" si="21"/>
        <v>2021</v>
      </c>
      <c r="I690">
        <f t="shared" si="22"/>
        <v>1</v>
      </c>
    </row>
    <row r="691" spans="2:9" ht="16.5" x14ac:dyDescent="0.25">
      <c r="B691" s="9" t="s">
        <v>1462</v>
      </c>
      <c r="C691" s="9" t="s">
        <v>56</v>
      </c>
      <c r="D691" s="9" t="s">
        <v>37</v>
      </c>
      <c r="E691" s="9" t="s">
        <v>36</v>
      </c>
      <c r="F691" s="9">
        <v>247000</v>
      </c>
      <c r="G691" s="9" t="s">
        <v>1463</v>
      </c>
      <c r="H691" s="9">
        <f t="shared" si="21"/>
        <v>2021</v>
      </c>
      <c r="I691">
        <f t="shared" si="22"/>
        <v>1</v>
      </c>
    </row>
    <row r="692" spans="2:9" ht="16.5" x14ac:dyDescent="0.25">
      <c r="B692" s="9" t="s">
        <v>1464</v>
      </c>
      <c r="C692" s="9" t="s">
        <v>36</v>
      </c>
      <c r="D692" s="9" t="s">
        <v>39</v>
      </c>
      <c r="E692" s="9" t="s">
        <v>39</v>
      </c>
      <c r="F692" s="9">
        <v>272000</v>
      </c>
      <c r="G692" s="9" t="s">
        <v>1465</v>
      </c>
      <c r="H692" s="9">
        <f t="shared" si="21"/>
        <v>2021</v>
      </c>
      <c r="I692">
        <f t="shared" si="22"/>
        <v>1</v>
      </c>
    </row>
    <row r="693" spans="2:9" ht="16.5" x14ac:dyDescent="0.25">
      <c r="B693" s="9" t="s">
        <v>1466</v>
      </c>
      <c r="C693" s="9" t="s">
        <v>38</v>
      </c>
      <c r="D693" s="9" t="s">
        <v>38</v>
      </c>
      <c r="E693" s="9" t="s">
        <v>36</v>
      </c>
      <c r="F693" s="9">
        <v>107000</v>
      </c>
      <c r="G693" s="9" t="s">
        <v>1467</v>
      </c>
      <c r="H693" s="9">
        <f t="shared" si="21"/>
        <v>2021</v>
      </c>
      <c r="I693">
        <f t="shared" si="22"/>
        <v>1</v>
      </c>
    </row>
    <row r="694" spans="2:9" ht="16.5" x14ac:dyDescent="0.25">
      <c r="B694" s="9" t="s">
        <v>1468</v>
      </c>
      <c r="C694" s="9" t="s">
        <v>59</v>
      </c>
      <c r="D694" s="9" t="s">
        <v>40</v>
      </c>
      <c r="E694" s="9" t="s">
        <v>34</v>
      </c>
      <c r="F694" s="9">
        <v>289000</v>
      </c>
      <c r="G694" s="9" t="s">
        <v>1469</v>
      </c>
      <c r="H694" s="9">
        <f t="shared" si="21"/>
        <v>2021</v>
      </c>
      <c r="I694">
        <f t="shared" si="22"/>
        <v>1</v>
      </c>
    </row>
    <row r="695" spans="2:9" ht="16.5" x14ac:dyDescent="0.25">
      <c r="B695" s="9" t="s">
        <v>1470</v>
      </c>
      <c r="C695" s="9" t="s">
        <v>56</v>
      </c>
      <c r="D695" s="9" t="s">
        <v>39</v>
      </c>
      <c r="E695" s="9" t="s">
        <v>35</v>
      </c>
      <c r="F695" s="9">
        <v>214000</v>
      </c>
      <c r="G695" s="9" t="s">
        <v>1471</v>
      </c>
      <c r="H695" s="9">
        <f t="shared" si="21"/>
        <v>2021</v>
      </c>
      <c r="I695">
        <f t="shared" si="22"/>
        <v>1</v>
      </c>
    </row>
    <row r="696" spans="2:9" ht="16.5" x14ac:dyDescent="0.25">
      <c r="B696" s="9" t="s">
        <v>1472</v>
      </c>
      <c r="C696" s="9" t="s">
        <v>37</v>
      </c>
      <c r="D696" s="9" t="s">
        <v>35</v>
      </c>
      <c r="E696" s="9" t="s">
        <v>38</v>
      </c>
      <c r="F696" s="9">
        <v>195000</v>
      </c>
      <c r="G696" s="9" t="s">
        <v>1473</v>
      </c>
      <c r="H696" s="9">
        <f t="shared" si="21"/>
        <v>2021</v>
      </c>
      <c r="I696">
        <f t="shared" si="22"/>
        <v>1</v>
      </c>
    </row>
    <row r="697" spans="2:9" ht="16.5" x14ac:dyDescent="0.25">
      <c r="B697" s="9" t="s">
        <v>1474</v>
      </c>
      <c r="C697" s="9" t="s">
        <v>36</v>
      </c>
      <c r="D697" s="9" t="s">
        <v>36</v>
      </c>
      <c r="E697" s="9" t="s">
        <v>37</v>
      </c>
      <c r="F697" s="9">
        <v>264000</v>
      </c>
      <c r="G697" s="9" t="s">
        <v>1473</v>
      </c>
      <c r="H697" s="9">
        <f t="shared" si="21"/>
        <v>2021</v>
      </c>
      <c r="I697">
        <f t="shared" si="22"/>
        <v>1</v>
      </c>
    </row>
    <row r="698" spans="2:9" ht="16.5" x14ac:dyDescent="0.25">
      <c r="B698" s="9" t="s">
        <v>1475</v>
      </c>
      <c r="C698" s="9" t="s">
        <v>34</v>
      </c>
      <c r="D698" s="9" t="s">
        <v>34</v>
      </c>
      <c r="E698" s="9" t="s">
        <v>36</v>
      </c>
      <c r="F698" s="9">
        <v>242000</v>
      </c>
      <c r="G698" s="9" t="s">
        <v>1476</v>
      </c>
      <c r="H698" s="9">
        <f t="shared" si="21"/>
        <v>2021</v>
      </c>
      <c r="I698">
        <f t="shared" si="22"/>
        <v>1</v>
      </c>
    </row>
    <row r="699" spans="2:9" ht="16.5" x14ac:dyDescent="0.25">
      <c r="B699" s="9" t="s">
        <v>1477</v>
      </c>
      <c r="C699" s="9" t="s">
        <v>34</v>
      </c>
      <c r="D699" s="9" t="s">
        <v>37</v>
      </c>
      <c r="E699" s="9" t="s">
        <v>36</v>
      </c>
      <c r="F699" s="9">
        <v>252000</v>
      </c>
      <c r="G699" s="9" t="s">
        <v>1476</v>
      </c>
      <c r="H699" s="9">
        <f t="shared" si="21"/>
        <v>2021</v>
      </c>
      <c r="I699">
        <f t="shared" si="22"/>
        <v>1</v>
      </c>
    </row>
    <row r="700" spans="2:9" ht="16.5" x14ac:dyDescent="0.25">
      <c r="B700" s="9" t="s">
        <v>1478</v>
      </c>
      <c r="C700" s="9" t="s">
        <v>39</v>
      </c>
      <c r="D700" s="9" t="s">
        <v>40</v>
      </c>
      <c r="E700" s="9" t="s">
        <v>34</v>
      </c>
      <c r="F700" s="9">
        <v>200000</v>
      </c>
      <c r="G700" s="9" t="s">
        <v>1479</v>
      </c>
      <c r="H700" s="9">
        <f t="shared" si="21"/>
        <v>2021</v>
      </c>
      <c r="I700">
        <f t="shared" si="22"/>
        <v>2</v>
      </c>
    </row>
    <row r="701" spans="2:9" ht="16.5" x14ac:dyDescent="0.25">
      <c r="B701" s="9" t="s">
        <v>1480</v>
      </c>
      <c r="C701" s="9" t="s">
        <v>36</v>
      </c>
      <c r="D701" s="9" t="s">
        <v>34</v>
      </c>
      <c r="E701" s="9" t="s">
        <v>35</v>
      </c>
      <c r="F701" s="9">
        <v>90000</v>
      </c>
      <c r="G701" s="9" t="s">
        <v>1481</v>
      </c>
      <c r="H701" s="9">
        <f t="shared" si="21"/>
        <v>2021</v>
      </c>
      <c r="I701">
        <f t="shared" si="22"/>
        <v>2</v>
      </c>
    </row>
    <row r="702" spans="2:9" ht="16.5" x14ac:dyDescent="0.25">
      <c r="B702" s="9" t="s">
        <v>1482</v>
      </c>
      <c r="C702" s="9" t="s">
        <v>59</v>
      </c>
      <c r="D702" s="9" t="s">
        <v>40</v>
      </c>
      <c r="E702" s="9" t="s">
        <v>36</v>
      </c>
      <c r="F702" s="9">
        <v>266000</v>
      </c>
      <c r="G702" s="9" t="s">
        <v>1481</v>
      </c>
      <c r="H702" s="9">
        <f t="shared" si="21"/>
        <v>2021</v>
      </c>
      <c r="I702">
        <f t="shared" si="22"/>
        <v>2</v>
      </c>
    </row>
    <row r="703" spans="2:9" ht="16.5" x14ac:dyDescent="0.25">
      <c r="B703" s="9" t="s">
        <v>1483</v>
      </c>
      <c r="C703" s="9" t="s">
        <v>39</v>
      </c>
      <c r="D703" s="9" t="s">
        <v>37</v>
      </c>
      <c r="E703" s="9" t="s">
        <v>36</v>
      </c>
      <c r="F703" s="9">
        <v>73000</v>
      </c>
      <c r="G703" s="9" t="s">
        <v>1485</v>
      </c>
      <c r="H703" s="9">
        <f t="shared" si="21"/>
        <v>2021</v>
      </c>
      <c r="I703">
        <f t="shared" si="22"/>
        <v>2</v>
      </c>
    </row>
    <row r="704" spans="2:9" ht="16.5" x14ac:dyDescent="0.25">
      <c r="B704" s="9" t="s">
        <v>1486</v>
      </c>
      <c r="C704" s="9" t="s">
        <v>37</v>
      </c>
      <c r="D704" s="9" t="s">
        <v>36</v>
      </c>
      <c r="E704" s="9" t="s">
        <v>35</v>
      </c>
      <c r="F704" s="9">
        <v>84000</v>
      </c>
      <c r="G704" s="9" t="s">
        <v>1487</v>
      </c>
      <c r="H704" s="9">
        <f t="shared" si="21"/>
        <v>2021</v>
      </c>
      <c r="I704">
        <f t="shared" si="22"/>
        <v>2</v>
      </c>
    </row>
    <row r="705" spans="2:9" ht="16.5" x14ac:dyDescent="0.25">
      <c r="B705" s="9" t="s">
        <v>1488</v>
      </c>
      <c r="C705" s="9" t="s">
        <v>39</v>
      </c>
      <c r="D705" s="9" t="s">
        <v>39</v>
      </c>
      <c r="E705" s="9" t="s">
        <v>36</v>
      </c>
      <c r="F705" s="9">
        <v>261000</v>
      </c>
      <c r="G705" s="9" t="s">
        <v>1487</v>
      </c>
      <c r="H705" s="9">
        <f t="shared" si="21"/>
        <v>2021</v>
      </c>
      <c r="I705">
        <f t="shared" si="22"/>
        <v>2</v>
      </c>
    </row>
    <row r="706" spans="2:9" ht="16.5" x14ac:dyDescent="0.25">
      <c r="B706" s="9" t="s">
        <v>1489</v>
      </c>
      <c r="C706" s="9" t="s">
        <v>36</v>
      </c>
      <c r="D706" s="9" t="s">
        <v>34</v>
      </c>
      <c r="E706" s="9" t="s">
        <v>35</v>
      </c>
      <c r="F706" s="9">
        <v>69000</v>
      </c>
      <c r="G706" s="9" t="s">
        <v>1490</v>
      </c>
      <c r="H706" s="9">
        <f t="shared" si="21"/>
        <v>2021</v>
      </c>
      <c r="I706">
        <f t="shared" si="22"/>
        <v>2</v>
      </c>
    </row>
    <row r="707" spans="2:9" ht="16.5" x14ac:dyDescent="0.25">
      <c r="B707" s="9" t="s">
        <v>1491</v>
      </c>
      <c r="C707" s="9" t="s">
        <v>59</v>
      </c>
      <c r="D707" s="9" t="s">
        <v>35</v>
      </c>
      <c r="E707" s="9" t="s">
        <v>39</v>
      </c>
      <c r="F707" s="9">
        <v>175000</v>
      </c>
      <c r="G707" s="9" t="s">
        <v>1492</v>
      </c>
      <c r="H707" s="9">
        <f t="shared" ref="H707:H770" si="23">YEAR(G707)</f>
        <v>2021</v>
      </c>
      <c r="I707">
        <f t="shared" ref="I707:I770" si="24">MONTH(G707)</f>
        <v>2</v>
      </c>
    </row>
    <row r="708" spans="2:9" ht="16.5" x14ac:dyDescent="0.25">
      <c r="B708" s="9" t="s">
        <v>1493</v>
      </c>
      <c r="C708" s="9" t="s">
        <v>37</v>
      </c>
      <c r="D708" s="9" t="s">
        <v>35</v>
      </c>
      <c r="E708" s="9" t="s">
        <v>35</v>
      </c>
      <c r="F708" s="9">
        <v>39000</v>
      </c>
      <c r="G708" s="9" t="s">
        <v>1494</v>
      </c>
      <c r="H708" s="9">
        <f t="shared" si="23"/>
        <v>2021</v>
      </c>
      <c r="I708">
        <f t="shared" si="24"/>
        <v>2</v>
      </c>
    </row>
    <row r="709" spans="2:9" ht="16.5" x14ac:dyDescent="0.25">
      <c r="B709" s="9" t="s">
        <v>1495</v>
      </c>
      <c r="C709" s="9" t="s">
        <v>38</v>
      </c>
      <c r="D709" s="9" t="s">
        <v>37</v>
      </c>
      <c r="E709" s="9" t="s">
        <v>37</v>
      </c>
      <c r="F709" s="9">
        <v>185000</v>
      </c>
      <c r="G709" s="9" t="s">
        <v>1496</v>
      </c>
      <c r="H709" s="9">
        <f t="shared" si="23"/>
        <v>2021</v>
      </c>
      <c r="I709">
        <f t="shared" si="24"/>
        <v>2</v>
      </c>
    </row>
    <row r="710" spans="2:9" ht="16.5" x14ac:dyDescent="0.25">
      <c r="B710" s="9" t="s">
        <v>1497</v>
      </c>
      <c r="C710" s="9" t="s">
        <v>56</v>
      </c>
      <c r="D710" s="9" t="s">
        <v>40</v>
      </c>
      <c r="E710" s="9" t="s">
        <v>37</v>
      </c>
      <c r="F710" s="9">
        <v>240000</v>
      </c>
      <c r="G710" s="9" t="s">
        <v>1496</v>
      </c>
      <c r="H710" s="9">
        <f t="shared" si="23"/>
        <v>2021</v>
      </c>
      <c r="I710">
        <f t="shared" si="24"/>
        <v>2</v>
      </c>
    </row>
    <row r="711" spans="2:9" ht="16.5" x14ac:dyDescent="0.25">
      <c r="B711" s="9" t="s">
        <v>1498</v>
      </c>
      <c r="C711" s="9" t="s">
        <v>37</v>
      </c>
      <c r="D711" s="9" t="s">
        <v>40</v>
      </c>
      <c r="E711" s="9" t="s">
        <v>38</v>
      </c>
      <c r="F711" s="9">
        <v>211000</v>
      </c>
      <c r="G711" s="9" t="s">
        <v>1499</v>
      </c>
      <c r="H711" s="9">
        <f t="shared" si="23"/>
        <v>2021</v>
      </c>
      <c r="I711">
        <f t="shared" si="24"/>
        <v>2</v>
      </c>
    </row>
    <row r="712" spans="2:9" ht="16.5" x14ac:dyDescent="0.25">
      <c r="B712" s="9" t="s">
        <v>1500</v>
      </c>
      <c r="C712" s="9" t="s">
        <v>38</v>
      </c>
      <c r="D712" s="9" t="s">
        <v>34</v>
      </c>
      <c r="E712" s="9" t="s">
        <v>37</v>
      </c>
      <c r="F712" s="9">
        <v>291000</v>
      </c>
      <c r="G712" s="9" t="s">
        <v>1501</v>
      </c>
      <c r="H712" s="9">
        <f t="shared" si="23"/>
        <v>2021</v>
      </c>
      <c r="I712">
        <f t="shared" si="24"/>
        <v>2</v>
      </c>
    </row>
    <row r="713" spans="2:9" ht="16.5" x14ac:dyDescent="0.25">
      <c r="B713" s="9" t="s">
        <v>1502</v>
      </c>
      <c r="C713" s="9" t="s">
        <v>35</v>
      </c>
      <c r="D713" s="9" t="s">
        <v>36</v>
      </c>
      <c r="E713" s="9" t="s">
        <v>36</v>
      </c>
      <c r="F713" s="9">
        <v>201000</v>
      </c>
      <c r="G713" s="9" t="s">
        <v>1501</v>
      </c>
      <c r="H713" s="9">
        <f t="shared" si="23"/>
        <v>2021</v>
      </c>
      <c r="I713">
        <f t="shared" si="24"/>
        <v>2</v>
      </c>
    </row>
    <row r="714" spans="2:9" ht="16.5" x14ac:dyDescent="0.25">
      <c r="B714" s="9" t="s">
        <v>1504</v>
      </c>
      <c r="C714" s="9" t="s">
        <v>37</v>
      </c>
      <c r="D714" s="9" t="s">
        <v>39</v>
      </c>
      <c r="E714" s="9" t="s">
        <v>35</v>
      </c>
      <c r="F714" s="9">
        <v>120000</v>
      </c>
      <c r="G714" s="9" t="s">
        <v>1505</v>
      </c>
      <c r="H714" s="9">
        <f t="shared" si="23"/>
        <v>2021</v>
      </c>
      <c r="I714">
        <f t="shared" si="24"/>
        <v>2</v>
      </c>
    </row>
    <row r="715" spans="2:9" ht="16.5" x14ac:dyDescent="0.25">
      <c r="B715" s="9" t="s">
        <v>1506</v>
      </c>
      <c r="C715" s="9" t="s">
        <v>39</v>
      </c>
      <c r="D715" s="9" t="s">
        <v>35</v>
      </c>
      <c r="E715" s="9" t="s">
        <v>37</v>
      </c>
      <c r="F715" s="9">
        <v>45000</v>
      </c>
      <c r="G715" s="9" t="s">
        <v>1505</v>
      </c>
      <c r="H715" s="9">
        <f t="shared" si="23"/>
        <v>2021</v>
      </c>
      <c r="I715">
        <f t="shared" si="24"/>
        <v>2</v>
      </c>
    </row>
    <row r="716" spans="2:9" ht="16.5" x14ac:dyDescent="0.25">
      <c r="B716" s="9" t="s">
        <v>1508</v>
      </c>
      <c r="C716" s="9" t="s">
        <v>36</v>
      </c>
      <c r="D716" s="9" t="s">
        <v>34</v>
      </c>
      <c r="E716" s="9" t="s">
        <v>35</v>
      </c>
      <c r="F716" s="9">
        <v>135000</v>
      </c>
      <c r="G716" s="9" t="s">
        <v>1509</v>
      </c>
      <c r="H716" s="9">
        <f t="shared" si="23"/>
        <v>2021</v>
      </c>
      <c r="I716">
        <f t="shared" si="24"/>
        <v>2</v>
      </c>
    </row>
    <row r="717" spans="2:9" ht="16.5" x14ac:dyDescent="0.25">
      <c r="B717" s="9" t="s">
        <v>1510</v>
      </c>
      <c r="C717" s="9" t="s">
        <v>35</v>
      </c>
      <c r="D717" s="9" t="s">
        <v>40</v>
      </c>
      <c r="E717" s="9" t="s">
        <v>35</v>
      </c>
      <c r="F717" s="9">
        <v>211000</v>
      </c>
      <c r="G717" s="9" t="s">
        <v>1511</v>
      </c>
      <c r="H717" s="9">
        <f t="shared" si="23"/>
        <v>2021</v>
      </c>
      <c r="I717">
        <f t="shared" si="24"/>
        <v>2</v>
      </c>
    </row>
    <row r="718" spans="2:9" ht="16.5" x14ac:dyDescent="0.25">
      <c r="B718" s="9" t="s">
        <v>1512</v>
      </c>
      <c r="C718" s="9" t="s">
        <v>38</v>
      </c>
      <c r="D718" s="9" t="s">
        <v>36</v>
      </c>
      <c r="E718" s="9" t="s">
        <v>35</v>
      </c>
      <c r="F718" s="9">
        <v>230000</v>
      </c>
      <c r="G718" s="9" t="s">
        <v>1513</v>
      </c>
      <c r="H718" s="9">
        <f t="shared" si="23"/>
        <v>2021</v>
      </c>
      <c r="I718">
        <f t="shared" si="24"/>
        <v>2</v>
      </c>
    </row>
    <row r="719" spans="2:9" ht="16.5" x14ac:dyDescent="0.25">
      <c r="B719" s="9" t="s">
        <v>1514</v>
      </c>
      <c r="C719" s="9" t="s">
        <v>38</v>
      </c>
      <c r="D719" s="9" t="s">
        <v>39</v>
      </c>
      <c r="E719" s="9" t="s">
        <v>37</v>
      </c>
      <c r="F719" s="9">
        <v>249000</v>
      </c>
      <c r="G719" s="9" t="s">
        <v>1513</v>
      </c>
      <c r="H719" s="9">
        <f t="shared" si="23"/>
        <v>2021</v>
      </c>
      <c r="I719">
        <f t="shared" si="24"/>
        <v>2</v>
      </c>
    </row>
    <row r="720" spans="2:9" ht="16.5" x14ac:dyDescent="0.25">
      <c r="B720" s="9" t="s">
        <v>1515</v>
      </c>
      <c r="C720" s="9" t="s">
        <v>35</v>
      </c>
      <c r="D720" s="9" t="s">
        <v>34</v>
      </c>
      <c r="E720" s="9" t="s">
        <v>39</v>
      </c>
      <c r="F720" s="9">
        <v>200000</v>
      </c>
      <c r="G720" s="9" t="s">
        <v>1513</v>
      </c>
      <c r="H720" s="9">
        <f t="shared" si="23"/>
        <v>2021</v>
      </c>
      <c r="I720">
        <f t="shared" si="24"/>
        <v>2</v>
      </c>
    </row>
    <row r="721" spans="2:9" ht="16.5" x14ac:dyDescent="0.25">
      <c r="B721" s="9" t="s">
        <v>1516</v>
      </c>
      <c r="C721" s="9" t="s">
        <v>56</v>
      </c>
      <c r="D721" s="9" t="s">
        <v>36</v>
      </c>
      <c r="E721" s="9" t="s">
        <v>39</v>
      </c>
      <c r="F721" s="9">
        <v>270000</v>
      </c>
      <c r="G721" s="9" t="s">
        <v>1517</v>
      </c>
      <c r="H721" s="9">
        <f t="shared" si="23"/>
        <v>2021</v>
      </c>
      <c r="I721">
        <f t="shared" si="24"/>
        <v>2</v>
      </c>
    </row>
    <row r="722" spans="2:9" ht="16.5" x14ac:dyDescent="0.25">
      <c r="B722" s="9" t="s">
        <v>1518</v>
      </c>
      <c r="C722" s="9" t="s">
        <v>59</v>
      </c>
      <c r="D722" s="9" t="s">
        <v>35</v>
      </c>
      <c r="E722" s="9" t="s">
        <v>38</v>
      </c>
      <c r="F722" s="9">
        <v>169000</v>
      </c>
      <c r="G722" s="9" t="s">
        <v>1519</v>
      </c>
      <c r="H722" s="9">
        <f t="shared" si="23"/>
        <v>2021</v>
      </c>
      <c r="I722">
        <f t="shared" si="24"/>
        <v>3</v>
      </c>
    </row>
    <row r="723" spans="2:9" ht="16.5" x14ac:dyDescent="0.25">
      <c r="B723" s="9" t="s">
        <v>1520</v>
      </c>
      <c r="C723" s="9" t="s">
        <v>39</v>
      </c>
      <c r="D723" s="9" t="s">
        <v>37</v>
      </c>
      <c r="E723" s="9" t="s">
        <v>34</v>
      </c>
      <c r="F723" s="9">
        <v>99000</v>
      </c>
      <c r="G723" s="9" t="s">
        <v>1521</v>
      </c>
      <c r="H723" s="9">
        <f t="shared" si="23"/>
        <v>2021</v>
      </c>
      <c r="I723">
        <f t="shared" si="24"/>
        <v>3</v>
      </c>
    </row>
    <row r="724" spans="2:9" ht="16.5" x14ac:dyDescent="0.25">
      <c r="B724" s="9" t="s">
        <v>1522</v>
      </c>
      <c r="C724" s="9" t="s">
        <v>36</v>
      </c>
      <c r="D724" s="9" t="s">
        <v>34</v>
      </c>
      <c r="E724" s="9" t="s">
        <v>38</v>
      </c>
      <c r="F724" s="9">
        <v>60000</v>
      </c>
      <c r="G724" s="9" t="s">
        <v>1523</v>
      </c>
      <c r="H724" s="9">
        <f t="shared" si="23"/>
        <v>2021</v>
      </c>
      <c r="I724">
        <f t="shared" si="24"/>
        <v>3</v>
      </c>
    </row>
    <row r="725" spans="2:9" ht="16.5" x14ac:dyDescent="0.25">
      <c r="B725" s="9" t="s">
        <v>1524</v>
      </c>
      <c r="C725" s="9" t="s">
        <v>56</v>
      </c>
      <c r="D725" s="9" t="s">
        <v>40</v>
      </c>
      <c r="E725" s="9" t="s">
        <v>35</v>
      </c>
      <c r="F725" s="9">
        <v>248000</v>
      </c>
      <c r="G725" s="9" t="s">
        <v>1523</v>
      </c>
      <c r="H725" s="9">
        <f t="shared" si="23"/>
        <v>2021</v>
      </c>
      <c r="I725">
        <f t="shared" si="24"/>
        <v>3</v>
      </c>
    </row>
    <row r="726" spans="2:9" ht="16.5" x14ac:dyDescent="0.25">
      <c r="B726" s="9" t="s">
        <v>1525</v>
      </c>
      <c r="C726" s="9" t="s">
        <v>36</v>
      </c>
      <c r="D726" s="9" t="s">
        <v>35</v>
      </c>
      <c r="E726" s="9" t="s">
        <v>39</v>
      </c>
      <c r="F726" s="9">
        <v>36000</v>
      </c>
      <c r="G726" s="9" t="s">
        <v>1523</v>
      </c>
      <c r="H726" s="9">
        <f t="shared" si="23"/>
        <v>2021</v>
      </c>
      <c r="I726">
        <f t="shared" si="24"/>
        <v>3</v>
      </c>
    </row>
    <row r="727" spans="2:9" ht="16.5" x14ac:dyDescent="0.25">
      <c r="B727" s="9" t="s">
        <v>1526</v>
      </c>
      <c r="C727" s="9" t="s">
        <v>34</v>
      </c>
      <c r="D727" s="9" t="s">
        <v>35</v>
      </c>
      <c r="E727" s="9" t="s">
        <v>37</v>
      </c>
      <c r="F727" s="9">
        <v>55000</v>
      </c>
      <c r="G727" s="9" t="s">
        <v>1523</v>
      </c>
      <c r="H727" s="9">
        <f t="shared" si="23"/>
        <v>2021</v>
      </c>
      <c r="I727">
        <f t="shared" si="24"/>
        <v>3</v>
      </c>
    </row>
    <row r="728" spans="2:9" ht="16.5" x14ac:dyDescent="0.25">
      <c r="B728" s="9" t="s">
        <v>1527</v>
      </c>
      <c r="C728" s="9" t="s">
        <v>40</v>
      </c>
      <c r="D728" s="9" t="s">
        <v>37</v>
      </c>
      <c r="E728" s="9" t="s">
        <v>37</v>
      </c>
      <c r="F728" s="9">
        <v>139000</v>
      </c>
      <c r="G728" s="9" t="s">
        <v>1528</v>
      </c>
      <c r="H728" s="9">
        <f t="shared" si="23"/>
        <v>2021</v>
      </c>
      <c r="I728">
        <f t="shared" si="24"/>
        <v>3</v>
      </c>
    </row>
    <row r="729" spans="2:9" ht="16.5" x14ac:dyDescent="0.25">
      <c r="B729" s="9" t="s">
        <v>1529</v>
      </c>
      <c r="C729" s="9" t="s">
        <v>39</v>
      </c>
      <c r="D729" s="9" t="s">
        <v>36</v>
      </c>
      <c r="E729" s="9" t="s">
        <v>39</v>
      </c>
      <c r="F729" s="9">
        <v>291000</v>
      </c>
      <c r="G729" s="9" t="s">
        <v>1530</v>
      </c>
      <c r="H729" s="9">
        <f t="shared" si="23"/>
        <v>2021</v>
      </c>
      <c r="I729">
        <f t="shared" si="24"/>
        <v>3</v>
      </c>
    </row>
    <row r="730" spans="2:9" ht="16.5" x14ac:dyDescent="0.25">
      <c r="B730" s="9" t="s">
        <v>1531</v>
      </c>
      <c r="C730" s="9" t="s">
        <v>36</v>
      </c>
      <c r="D730" s="9" t="s">
        <v>38</v>
      </c>
      <c r="E730" s="9" t="s">
        <v>39</v>
      </c>
      <c r="F730" s="9">
        <v>102000</v>
      </c>
      <c r="G730" s="9" t="s">
        <v>1532</v>
      </c>
      <c r="H730" s="9">
        <f t="shared" si="23"/>
        <v>2021</v>
      </c>
      <c r="I730">
        <f t="shared" si="24"/>
        <v>3</v>
      </c>
    </row>
    <row r="731" spans="2:9" ht="16.5" x14ac:dyDescent="0.25">
      <c r="B731" s="9" t="s">
        <v>1533</v>
      </c>
      <c r="C731" s="9" t="s">
        <v>34</v>
      </c>
      <c r="D731" s="9" t="s">
        <v>36</v>
      </c>
      <c r="E731" s="9" t="s">
        <v>39</v>
      </c>
      <c r="F731" s="9">
        <v>131000</v>
      </c>
      <c r="G731" s="9" t="s">
        <v>1535</v>
      </c>
      <c r="H731" s="9">
        <f t="shared" si="23"/>
        <v>2021</v>
      </c>
      <c r="I731">
        <f t="shared" si="24"/>
        <v>3</v>
      </c>
    </row>
    <row r="732" spans="2:9" ht="16.5" x14ac:dyDescent="0.25">
      <c r="B732" s="9" t="s">
        <v>1536</v>
      </c>
      <c r="C732" s="9" t="s">
        <v>59</v>
      </c>
      <c r="D732" s="9" t="s">
        <v>38</v>
      </c>
      <c r="E732" s="9" t="s">
        <v>39</v>
      </c>
      <c r="F732" s="9">
        <v>282000</v>
      </c>
      <c r="G732" s="9" t="s">
        <v>1537</v>
      </c>
      <c r="H732" s="9">
        <f t="shared" si="23"/>
        <v>2021</v>
      </c>
      <c r="I732">
        <f t="shared" si="24"/>
        <v>3</v>
      </c>
    </row>
    <row r="733" spans="2:9" ht="16.5" x14ac:dyDescent="0.25">
      <c r="B733" s="9" t="s">
        <v>1538</v>
      </c>
      <c r="C733" s="9" t="s">
        <v>35</v>
      </c>
      <c r="D733" s="9" t="s">
        <v>38</v>
      </c>
      <c r="E733" s="9" t="s">
        <v>37</v>
      </c>
      <c r="F733" s="9">
        <v>291000</v>
      </c>
      <c r="G733" s="9" t="s">
        <v>1539</v>
      </c>
      <c r="H733" s="9">
        <f t="shared" si="23"/>
        <v>2021</v>
      </c>
      <c r="I733">
        <f t="shared" si="24"/>
        <v>3</v>
      </c>
    </row>
    <row r="734" spans="2:9" ht="16.5" x14ac:dyDescent="0.25">
      <c r="B734" s="9" t="s">
        <v>1540</v>
      </c>
      <c r="C734" s="9" t="s">
        <v>37</v>
      </c>
      <c r="D734" s="9" t="s">
        <v>36</v>
      </c>
      <c r="E734" s="9" t="s">
        <v>38</v>
      </c>
      <c r="F734" s="9">
        <v>77000</v>
      </c>
      <c r="G734" s="9" t="s">
        <v>1539</v>
      </c>
      <c r="H734" s="9">
        <f t="shared" si="23"/>
        <v>2021</v>
      </c>
      <c r="I734">
        <f t="shared" si="24"/>
        <v>3</v>
      </c>
    </row>
    <row r="735" spans="2:9" ht="16.5" x14ac:dyDescent="0.25">
      <c r="B735" s="9" t="s">
        <v>1541</v>
      </c>
      <c r="C735" s="9" t="s">
        <v>34</v>
      </c>
      <c r="D735" s="9" t="s">
        <v>34</v>
      </c>
      <c r="E735" s="9" t="s">
        <v>38</v>
      </c>
      <c r="F735" s="9">
        <v>119000</v>
      </c>
      <c r="G735" s="9" t="s">
        <v>1542</v>
      </c>
      <c r="H735" s="9">
        <f t="shared" si="23"/>
        <v>2021</v>
      </c>
      <c r="I735">
        <f t="shared" si="24"/>
        <v>3</v>
      </c>
    </row>
    <row r="736" spans="2:9" ht="16.5" x14ac:dyDescent="0.25">
      <c r="B736" s="9" t="s">
        <v>1543</v>
      </c>
      <c r="C736" s="9" t="s">
        <v>59</v>
      </c>
      <c r="D736" s="9" t="s">
        <v>38</v>
      </c>
      <c r="E736" s="9" t="s">
        <v>34</v>
      </c>
      <c r="F736" s="9">
        <v>274000</v>
      </c>
      <c r="G736" s="9" t="s">
        <v>1544</v>
      </c>
      <c r="H736" s="9">
        <f t="shared" si="23"/>
        <v>2021</v>
      </c>
      <c r="I736">
        <f t="shared" si="24"/>
        <v>3</v>
      </c>
    </row>
    <row r="737" spans="2:9" ht="16.5" x14ac:dyDescent="0.25">
      <c r="B737" s="9" t="s">
        <v>1545</v>
      </c>
      <c r="C737" s="9" t="s">
        <v>56</v>
      </c>
      <c r="D737" s="9" t="s">
        <v>36</v>
      </c>
      <c r="E737" s="9" t="s">
        <v>37</v>
      </c>
      <c r="F737" s="9">
        <v>238000</v>
      </c>
      <c r="G737" s="9" t="s">
        <v>1546</v>
      </c>
      <c r="H737" s="9">
        <f t="shared" si="23"/>
        <v>2021</v>
      </c>
      <c r="I737">
        <f t="shared" si="24"/>
        <v>3</v>
      </c>
    </row>
    <row r="738" spans="2:9" ht="16.5" x14ac:dyDescent="0.25">
      <c r="B738" s="9" t="s">
        <v>1547</v>
      </c>
      <c r="C738" s="9" t="s">
        <v>40</v>
      </c>
      <c r="D738" s="9" t="s">
        <v>38</v>
      </c>
      <c r="E738" s="9" t="s">
        <v>35</v>
      </c>
      <c r="F738" s="9">
        <v>158000</v>
      </c>
      <c r="G738" s="9" t="s">
        <v>1546</v>
      </c>
      <c r="H738" s="9">
        <f t="shared" si="23"/>
        <v>2021</v>
      </c>
      <c r="I738">
        <f t="shared" si="24"/>
        <v>3</v>
      </c>
    </row>
    <row r="739" spans="2:9" ht="16.5" x14ac:dyDescent="0.25">
      <c r="B739" s="9" t="s">
        <v>1548</v>
      </c>
      <c r="C739" s="9" t="s">
        <v>59</v>
      </c>
      <c r="D739" s="9" t="s">
        <v>37</v>
      </c>
      <c r="E739" s="9" t="s">
        <v>36</v>
      </c>
      <c r="F739" s="9">
        <v>259000</v>
      </c>
      <c r="G739" s="9" t="s">
        <v>1549</v>
      </c>
      <c r="H739" s="9">
        <f t="shared" si="23"/>
        <v>2021</v>
      </c>
      <c r="I739">
        <f t="shared" si="24"/>
        <v>3</v>
      </c>
    </row>
    <row r="740" spans="2:9" ht="16.5" x14ac:dyDescent="0.25">
      <c r="B740" s="9" t="s">
        <v>1550</v>
      </c>
      <c r="C740" s="9" t="s">
        <v>40</v>
      </c>
      <c r="D740" s="9" t="s">
        <v>36</v>
      </c>
      <c r="E740" s="9" t="s">
        <v>38</v>
      </c>
      <c r="F740" s="9">
        <v>40000</v>
      </c>
      <c r="G740" s="9" t="s">
        <v>1551</v>
      </c>
      <c r="H740" s="9">
        <f t="shared" si="23"/>
        <v>2021</v>
      </c>
      <c r="I740">
        <f t="shared" si="24"/>
        <v>3</v>
      </c>
    </row>
    <row r="741" spans="2:9" ht="16.5" x14ac:dyDescent="0.25">
      <c r="B741" s="9" t="s">
        <v>1552</v>
      </c>
      <c r="C741" s="9" t="s">
        <v>39</v>
      </c>
      <c r="D741" s="9" t="s">
        <v>34</v>
      </c>
      <c r="E741" s="9" t="s">
        <v>39</v>
      </c>
      <c r="F741" s="9">
        <v>141000</v>
      </c>
      <c r="G741" s="9" t="s">
        <v>1553</v>
      </c>
      <c r="H741" s="9">
        <f t="shared" si="23"/>
        <v>2021</v>
      </c>
      <c r="I741">
        <f t="shared" si="24"/>
        <v>3</v>
      </c>
    </row>
    <row r="742" spans="2:9" ht="16.5" x14ac:dyDescent="0.25">
      <c r="B742" s="9" t="s">
        <v>1554</v>
      </c>
      <c r="C742" s="9" t="s">
        <v>39</v>
      </c>
      <c r="D742" s="9" t="s">
        <v>34</v>
      </c>
      <c r="E742" s="9" t="s">
        <v>35</v>
      </c>
      <c r="F742" s="9">
        <v>237000</v>
      </c>
      <c r="G742" s="9" t="s">
        <v>1555</v>
      </c>
      <c r="H742" s="9">
        <f t="shared" si="23"/>
        <v>2021</v>
      </c>
      <c r="I742">
        <f t="shared" si="24"/>
        <v>3</v>
      </c>
    </row>
    <row r="743" spans="2:9" ht="16.5" x14ac:dyDescent="0.25">
      <c r="B743" s="9" t="s">
        <v>1556</v>
      </c>
      <c r="C743" s="9" t="s">
        <v>34</v>
      </c>
      <c r="D743" s="9" t="s">
        <v>37</v>
      </c>
      <c r="E743" s="9" t="s">
        <v>35</v>
      </c>
      <c r="F743" s="9">
        <v>172000</v>
      </c>
      <c r="G743" s="9" t="s">
        <v>1557</v>
      </c>
      <c r="H743" s="9">
        <f t="shared" si="23"/>
        <v>2021</v>
      </c>
      <c r="I743">
        <f t="shared" si="24"/>
        <v>3</v>
      </c>
    </row>
    <row r="744" spans="2:9" ht="16.5" x14ac:dyDescent="0.25">
      <c r="B744" s="9" t="s">
        <v>1558</v>
      </c>
      <c r="C744" s="9" t="s">
        <v>37</v>
      </c>
      <c r="D744" s="9" t="s">
        <v>36</v>
      </c>
      <c r="E744" s="9" t="s">
        <v>36</v>
      </c>
      <c r="F744" s="9">
        <v>204000</v>
      </c>
      <c r="G744" s="9" t="s">
        <v>1557</v>
      </c>
      <c r="H744" s="9">
        <f t="shared" si="23"/>
        <v>2021</v>
      </c>
      <c r="I744">
        <f t="shared" si="24"/>
        <v>3</v>
      </c>
    </row>
    <row r="745" spans="2:9" ht="16.5" x14ac:dyDescent="0.25">
      <c r="B745" s="9" t="s">
        <v>1559</v>
      </c>
      <c r="C745" s="9" t="s">
        <v>35</v>
      </c>
      <c r="D745" s="9" t="s">
        <v>40</v>
      </c>
      <c r="E745" s="9" t="s">
        <v>38</v>
      </c>
      <c r="F745" s="9">
        <v>158000</v>
      </c>
      <c r="G745" s="9" t="s">
        <v>1557</v>
      </c>
      <c r="H745" s="9">
        <f t="shared" si="23"/>
        <v>2021</v>
      </c>
      <c r="I745">
        <f t="shared" si="24"/>
        <v>3</v>
      </c>
    </row>
    <row r="746" spans="2:9" ht="16.5" x14ac:dyDescent="0.25">
      <c r="B746" s="9" t="s">
        <v>1560</v>
      </c>
      <c r="C746" s="9" t="s">
        <v>38</v>
      </c>
      <c r="D746" s="9" t="s">
        <v>40</v>
      </c>
      <c r="E746" s="9" t="s">
        <v>36</v>
      </c>
      <c r="F746" s="9">
        <v>84000</v>
      </c>
      <c r="G746" s="9" t="s">
        <v>1561</v>
      </c>
      <c r="H746" s="9">
        <f t="shared" si="23"/>
        <v>2021</v>
      </c>
      <c r="I746">
        <f t="shared" si="24"/>
        <v>3</v>
      </c>
    </row>
    <row r="747" spans="2:9" ht="16.5" x14ac:dyDescent="0.25">
      <c r="B747" s="9" t="s">
        <v>1562</v>
      </c>
      <c r="C747" s="9" t="s">
        <v>37</v>
      </c>
      <c r="D747" s="9" t="s">
        <v>38</v>
      </c>
      <c r="E747" s="9" t="s">
        <v>38</v>
      </c>
      <c r="F747" s="9">
        <v>102000</v>
      </c>
      <c r="G747" s="9" t="s">
        <v>1563</v>
      </c>
      <c r="H747" s="9">
        <f t="shared" si="23"/>
        <v>2021</v>
      </c>
      <c r="I747">
        <f t="shared" si="24"/>
        <v>3</v>
      </c>
    </row>
    <row r="748" spans="2:9" ht="16.5" x14ac:dyDescent="0.25">
      <c r="B748" s="9" t="s">
        <v>1564</v>
      </c>
      <c r="C748" s="9" t="s">
        <v>38</v>
      </c>
      <c r="D748" s="9" t="s">
        <v>40</v>
      </c>
      <c r="E748" s="9" t="s">
        <v>37</v>
      </c>
      <c r="F748" s="9">
        <v>45000</v>
      </c>
      <c r="G748" s="9" t="s">
        <v>1565</v>
      </c>
      <c r="H748" s="9">
        <f t="shared" si="23"/>
        <v>2021</v>
      </c>
      <c r="I748">
        <f t="shared" si="24"/>
        <v>4</v>
      </c>
    </row>
    <row r="749" spans="2:9" ht="16.5" x14ac:dyDescent="0.25">
      <c r="B749" s="9" t="s">
        <v>1566</v>
      </c>
      <c r="C749" s="9" t="s">
        <v>40</v>
      </c>
      <c r="D749" s="9" t="s">
        <v>36</v>
      </c>
      <c r="E749" s="9" t="s">
        <v>39</v>
      </c>
      <c r="F749" s="9">
        <v>181000</v>
      </c>
      <c r="G749" s="9" t="s">
        <v>1565</v>
      </c>
      <c r="H749" s="9">
        <f t="shared" si="23"/>
        <v>2021</v>
      </c>
      <c r="I749">
        <f t="shared" si="24"/>
        <v>4</v>
      </c>
    </row>
    <row r="750" spans="2:9" ht="16.5" x14ac:dyDescent="0.25">
      <c r="B750" s="9" t="s">
        <v>1568</v>
      </c>
      <c r="C750" s="9" t="s">
        <v>36</v>
      </c>
      <c r="D750" s="9" t="s">
        <v>34</v>
      </c>
      <c r="E750" s="9" t="s">
        <v>37</v>
      </c>
      <c r="F750" s="9">
        <v>142000</v>
      </c>
      <c r="G750" s="9" t="s">
        <v>1569</v>
      </c>
      <c r="H750" s="9">
        <f t="shared" si="23"/>
        <v>2021</v>
      </c>
      <c r="I750">
        <f t="shared" si="24"/>
        <v>4</v>
      </c>
    </row>
    <row r="751" spans="2:9" ht="16.5" x14ac:dyDescent="0.25">
      <c r="B751" s="9" t="s">
        <v>1570</v>
      </c>
      <c r="C751" s="9" t="s">
        <v>40</v>
      </c>
      <c r="D751" s="9" t="s">
        <v>35</v>
      </c>
      <c r="E751" s="9" t="s">
        <v>37</v>
      </c>
      <c r="F751" s="9">
        <v>103000</v>
      </c>
      <c r="G751" s="9" t="s">
        <v>1569</v>
      </c>
      <c r="H751" s="9">
        <f t="shared" si="23"/>
        <v>2021</v>
      </c>
      <c r="I751">
        <f t="shared" si="24"/>
        <v>4</v>
      </c>
    </row>
    <row r="752" spans="2:9" ht="16.5" x14ac:dyDescent="0.25">
      <c r="B752" s="9" t="s">
        <v>1571</v>
      </c>
      <c r="C752" s="9" t="s">
        <v>59</v>
      </c>
      <c r="D752" s="9" t="s">
        <v>35</v>
      </c>
      <c r="E752" s="9" t="s">
        <v>38</v>
      </c>
      <c r="F752" s="9">
        <v>276000</v>
      </c>
      <c r="G752" s="9" t="s">
        <v>1569</v>
      </c>
      <c r="H752" s="9">
        <f t="shared" si="23"/>
        <v>2021</v>
      </c>
      <c r="I752">
        <f t="shared" si="24"/>
        <v>4</v>
      </c>
    </row>
    <row r="753" spans="2:9" ht="16.5" x14ac:dyDescent="0.25">
      <c r="B753" s="9" t="s">
        <v>1572</v>
      </c>
      <c r="C753" s="9" t="s">
        <v>35</v>
      </c>
      <c r="D753" s="9" t="s">
        <v>39</v>
      </c>
      <c r="E753" s="9" t="s">
        <v>38</v>
      </c>
      <c r="F753" s="9">
        <v>148000</v>
      </c>
      <c r="G753" s="9" t="s">
        <v>1573</v>
      </c>
      <c r="H753" s="9">
        <f t="shared" si="23"/>
        <v>2021</v>
      </c>
      <c r="I753">
        <f t="shared" si="24"/>
        <v>4</v>
      </c>
    </row>
    <row r="754" spans="2:9" ht="16.5" x14ac:dyDescent="0.25">
      <c r="B754" s="9" t="s">
        <v>1574</v>
      </c>
      <c r="C754" s="9" t="s">
        <v>36</v>
      </c>
      <c r="D754" s="9" t="s">
        <v>34</v>
      </c>
      <c r="E754" s="9" t="s">
        <v>35</v>
      </c>
      <c r="F754" s="9">
        <v>160000</v>
      </c>
      <c r="G754" s="9" t="s">
        <v>1575</v>
      </c>
      <c r="H754" s="9">
        <f t="shared" si="23"/>
        <v>2021</v>
      </c>
      <c r="I754">
        <f t="shared" si="24"/>
        <v>4</v>
      </c>
    </row>
    <row r="755" spans="2:9" ht="16.5" x14ac:dyDescent="0.25">
      <c r="B755" s="9" t="s">
        <v>1576</v>
      </c>
      <c r="C755" s="9" t="s">
        <v>36</v>
      </c>
      <c r="D755" s="9" t="s">
        <v>34</v>
      </c>
      <c r="E755" s="9" t="s">
        <v>35</v>
      </c>
      <c r="F755" s="9">
        <v>108000</v>
      </c>
      <c r="G755" s="9" t="s">
        <v>1577</v>
      </c>
      <c r="H755" s="9">
        <f t="shared" si="23"/>
        <v>2021</v>
      </c>
      <c r="I755">
        <f t="shared" si="24"/>
        <v>4</v>
      </c>
    </row>
    <row r="756" spans="2:9" ht="16.5" x14ac:dyDescent="0.25">
      <c r="B756" s="9" t="s">
        <v>1578</v>
      </c>
      <c r="C756" s="9" t="s">
        <v>39</v>
      </c>
      <c r="D756" s="9" t="s">
        <v>34</v>
      </c>
      <c r="E756" s="9" t="s">
        <v>34</v>
      </c>
      <c r="F756" s="9">
        <v>177000</v>
      </c>
      <c r="G756" s="9" t="s">
        <v>1580</v>
      </c>
      <c r="H756" s="9">
        <f t="shared" si="23"/>
        <v>2021</v>
      </c>
      <c r="I756">
        <f t="shared" si="24"/>
        <v>4</v>
      </c>
    </row>
    <row r="757" spans="2:9" ht="16.5" x14ac:dyDescent="0.25">
      <c r="B757" s="9" t="s">
        <v>1581</v>
      </c>
      <c r="C757" s="9" t="s">
        <v>40</v>
      </c>
      <c r="D757" s="9" t="s">
        <v>40</v>
      </c>
      <c r="E757" s="9" t="s">
        <v>38</v>
      </c>
      <c r="F757" s="9">
        <v>39000</v>
      </c>
      <c r="G757" s="9" t="s">
        <v>1580</v>
      </c>
      <c r="H757" s="9">
        <f t="shared" si="23"/>
        <v>2021</v>
      </c>
      <c r="I757">
        <f t="shared" si="24"/>
        <v>4</v>
      </c>
    </row>
    <row r="758" spans="2:9" ht="16.5" x14ac:dyDescent="0.25">
      <c r="B758" s="9" t="s">
        <v>1582</v>
      </c>
      <c r="C758" s="9" t="s">
        <v>36</v>
      </c>
      <c r="D758" s="9" t="s">
        <v>35</v>
      </c>
      <c r="E758" s="9" t="s">
        <v>35</v>
      </c>
      <c r="F758" s="9">
        <v>246000</v>
      </c>
      <c r="G758" s="9" t="s">
        <v>1583</v>
      </c>
      <c r="H758" s="9">
        <f t="shared" si="23"/>
        <v>2021</v>
      </c>
      <c r="I758">
        <f t="shared" si="24"/>
        <v>4</v>
      </c>
    </row>
    <row r="759" spans="2:9" ht="16.5" x14ac:dyDescent="0.25">
      <c r="B759" s="9" t="s">
        <v>1584</v>
      </c>
      <c r="C759" s="9" t="s">
        <v>59</v>
      </c>
      <c r="D759" s="9" t="s">
        <v>35</v>
      </c>
      <c r="E759" s="9" t="s">
        <v>35</v>
      </c>
      <c r="F759" s="9">
        <v>152000</v>
      </c>
      <c r="G759" s="9" t="s">
        <v>1585</v>
      </c>
      <c r="H759" s="9">
        <f t="shared" si="23"/>
        <v>2021</v>
      </c>
      <c r="I759">
        <f t="shared" si="24"/>
        <v>4</v>
      </c>
    </row>
    <row r="760" spans="2:9" ht="16.5" x14ac:dyDescent="0.25">
      <c r="B760" s="9" t="s">
        <v>1586</v>
      </c>
      <c r="C760" s="9" t="s">
        <v>37</v>
      </c>
      <c r="D760" s="9" t="s">
        <v>34</v>
      </c>
      <c r="E760" s="9" t="s">
        <v>37</v>
      </c>
      <c r="F760" s="9">
        <v>123000</v>
      </c>
      <c r="G760" s="9" t="s">
        <v>1587</v>
      </c>
      <c r="H760" s="9">
        <f t="shared" si="23"/>
        <v>2021</v>
      </c>
      <c r="I760">
        <f t="shared" si="24"/>
        <v>4</v>
      </c>
    </row>
    <row r="761" spans="2:9" ht="16.5" x14ac:dyDescent="0.25">
      <c r="B761" s="9" t="s">
        <v>1588</v>
      </c>
      <c r="C761" s="9" t="s">
        <v>40</v>
      </c>
      <c r="D761" s="9" t="s">
        <v>38</v>
      </c>
      <c r="E761" s="9" t="s">
        <v>34</v>
      </c>
      <c r="F761" s="9">
        <v>263000</v>
      </c>
      <c r="G761" s="9" t="s">
        <v>1587</v>
      </c>
      <c r="H761" s="9">
        <f t="shared" si="23"/>
        <v>2021</v>
      </c>
      <c r="I761">
        <f t="shared" si="24"/>
        <v>4</v>
      </c>
    </row>
    <row r="762" spans="2:9" ht="16.5" x14ac:dyDescent="0.25">
      <c r="B762" s="9" t="s">
        <v>1589</v>
      </c>
      <c r="C762" s="9" t="s">
        <v>59</v>
      </c>
      <c r="D762" s="9" t="s">
        <v>40</v>
      </c>
      <c r="E762" s="9" t="s">
        <v>34</v>
      </c>
      <c r="F762" s="9">
        <v>210000</v>
      </c>
      <c r="G762" s="9" t="s">
        <v>1590</v>
      </c>
      <c r="H762" s="9">
        <f t="shared" si="23"/>
        <v>2021</v>
      </c>
      <c r="I762">
        <f t="shared" si="24"/>
        <v>4</v>
      </c>
    </row>
    <row r="763" spans="2:9" ht="16.5" x14ac:dyDescent="0.25">
      <c r="B763" s="9" t="s">
        <v>1591</v>
      </c>
      <c r="C763" s="9" t="s">
        <v>38</v>
      </c>
      <c r="D763" s="9" t="s">
        <v>36</v>
      </c>
      <c r="E763" s="9" t="s">
        <v>39</v>
      </c>
      <c r="F763" s="9">
        <v>197000</v>
      </c>
      <c r="G763" s="9" t="s">
        <v>1592</v>
      </c>
      <c r="H763" s="9">
        <f t="shared" si="23"/>
        <v>2021</v>
      </c>
      <c r="I763">
        <f t="shared" si="24"/>
        <v>4</v>
      </c>
    </row>
    <row r="764" spans="2:9" ht="16.5" x14ac:dyDescent="0.25">
      <c r="B764" s="9" t="s">
        <v>1593</v>
      </c>
      <c r="C764" s="9" t="s">
        <v>36</v>
      </c>
      <c r="D764" s="9" t="s">
        <v>36</v>
      </c>
      <c r="E764" s="9" t="s">
        <v>35</v>
      </c>
      <c r="F764" s="9">
        <v>43000</v>
      </c>
      <c r="G764" s="9" t="s">
        <v>1592</v>
      </c>
      <c r="H764" s="9">
        <f t="shared" si="23"/>
        <v>2021</v>
      </c>
      <c r="I764">
        <f t="shared" si="24"/>
        <v>4</v>
      </c>
    </row>
    <row r="765" spans="2:9" ht="16.5" x14ac:dyDescent="0.25">
      <c r="B765" s="9" t="s">
        <v>1594</v>
      </c>
      <c r="C765" s="9" t="s">
        <v>38</v>
      </c>
      <c r="D765" s="9" t="s">
        <v>39</v>
      </c>
      <c r="E765" s="9" t="s">
        <v>36</v>
      </c>
      <c r="F765" s="9">
        <v>222000</v>
      </c>
      <c r="G765" s="9" t="s">
        <v>1595</v>
      </c>
      <c r="H765" s="9">
        <f t="shared" si="23"/>
        <v>2021</v>
      </c>
      <c r="I765">
        <f t="shared" si="24"/>
        <v>4</v>
      </c>
    </row>
    <row r="766" spans="2:9" ht="16.5" x14ac:dyDescent="0.25">
      <c r="B766" s="9" t="s">
        <v>1596</v>
      </c>
      <c r="C766" s="9" t="s">
        <v>34</v>
      </c>
      <c r="D766" s="9" t="s">
        <v>38</v>
      </c>
      <c r="E766" s="9" t="s">
        <v>36</v>
      </c>
      <c r="F766" s="9">
        <v>203000</v>
      </c>
      <c r="G766" s="9" t="s">
        <v>1595</v>
      </c>
      <c r="H766" s="9">
        <f t="shared" si="23"/>
        <v>2021</v>
      </c>
      <c r="I766">
        <f t="shared" si="24"/>
        <v>4</v>
      </c>
    </row>
    <row r="767" spans="2:9" ht="16.5" x14ac:dyDescent="0.25">
      <c r="B767" s="9" t="s">
        <v>1598</v>
      </c>
      <c r="C767" s="9" t="s">
        <v>36</v>
      </c>
      <c r="D767" s="9" t="s">
        <v>38</v>
      </c>
      <c r="E767" s="9" t="s">
        <v>38</v>
      </c>
      <c r="F767" s="9">
        <v>94000</v>
      </c>
      <c r="G767" s="9" t="s">
        <v>1595</v>
      </c>
      <c r="H767" s="9">
        <f t="shared" si="23"/>
        <v>2021</v>
      </c>
      <c r="I767">
        <f t="shared" si="24"/>
        <v>4</v>
      </c>
    </row>
    <row r="768" spans="2:9" ht="16.5" x14ac:dyDescent="0.25">
      <c r="B768" s="9" t="s">
        <v>1599</v>
      </c>
      <c r="C768" s="9" t="s">
        <v>34</v>
      </c>
      <c r="D768" s="9" t="s">
        <v>34</v>
      </c>
      <c r="E768" s="9" t="s">
        <v>36</v>
      </c>
      <c r="F768" s="9">
        <v>159000</v>
      </c>
      <c r="G768" s="9" t="s">
        <v>1595</v>
      </c>
      <c r="H768" s="9">
        <f t="shared" si="23"/>
        <v>2021</v>
      </c>
      <c r="I768">
        <f t="shared" si="24"/>
        <v>4</v>
      </c>
    </row>
    <row r="769" spans="2:9" ht="16.5" x14ac:dyDescent="0.25">
      <c r="B769" s="9" t="s">
        <v>1600</v>
      </c>
      <c r="C769" s="9" t="s">
        <v>34</v>
      </c>
      <c r="D769" s="9" t="s">
        <v>37</v>
      </c>
      <c r="E769" s="9" t="s">
        <v>38</v>
      </c>
      <c r="F769" s="9">
        <v>300000</v>
      </c>
      <c r="G769" s="9" t="s">
        <v>1595</v>
      </c>
      <c r="H769" s="9">
        <f t="shared" si="23"/>
        <v>2021</v>
      </c>
      <c r="I769">
        <f t="shared" si="24"/>
        <v>4</v>
      </c>
    </row>
    <row r="770" spans="2:9" ht="16.5" x14ac:dyDescent="0.25">
      <c r="B770" s="9" t="s">
        <v>1602</v>
      </c>
      <c r="C770" s="9" t="s">
        <v>36</v>
      </c>
      <c r="D770" s="9" t="s">
        <v>38</v>
      </c>
      <c r="E770" s="9" t="s">
        <v>38</v>
      </c>
      <c r="F770" s="9">
        <v>101000</v>
      </c>
      <c r="G770" s="9" t="s">
        <v>1603</v>
      </c>
      <c r="H770" s="9">
        <f t="shared" si="23"/>
        <v>2021</v>
      </c>
      <c r="I770">
        <f t="shared" si="24"/>
        <v>4</v>
      </c>
    </row>
    <row r="771" spans="2:9" ht="16.5" x14ac:dyDescent="0.25">
      <c r="B771" s="9" t="s">
        <v>1604</v>
      </c>
      <c r="C771" s="9" t="s">
        <v>38</v>
      </c>
      <c r="D771" s="9" t="s">
        <v>39</v>
      </c>
      <c r="E771" s="9" t="s">
        <v>38</v>
      </c>
      <c r="F771" s="9">
        <v>287000</v>
      </c>
      <c r="G771" s="9" t="s">
        <v>1605</v>
      </c>
      <c r="H771" s="9">
        <f t="shared" ref="H771:H834" si="25">YEAR(G771)</f>
        <v>2021</v>
      </c>
      <c r="I771">
        <f t="shared" ref="I771:I834" si="26">MONTH(G771)</f>
        <v>4</v>
      </c>
    </row>
    <row r="772" spans="2:9" ht="16.5" x14ac:dyDescent="0.25">
      <c r="B772" s="9" t="s">
        <v>1606</v>
      </c>
      <c r="C772" s="9" t="s">
        <v>40</v>
      </c>
      <c r="D772" s="9" t="s">
        <v>37</v>
      </c>
      <c r="E772" s="9" t="s">
        <v>35</v>
      </c>
      <c r="F772" s="9">
        <v>103000</v>
      </c>
      <c r="G772" s="9" t="s">
        <v>1607</v>
      </c>
      <c r="H772" s="9">
        <f t="shared" si="25"/>
        <v>2021</v>
      </c>
      <c r="I772">
        <f t="shared" si="26"/>
        <v>4</v>
      </c>
    </row>
    <row r="773" spans="2:9" ht="16.5" x14ac:dyDescent="0.25">
      <c r="B773" s="9" t="s">
        <v>1608</v>
      </c>
      <c r="C773" s="9" t="s">
        <v>59</v>
      </c>
      <c r="D773" s="9" t="s">
        <v>39</v>
      </c>
      <c r="E773" s="9" t="s">
        <v>36</v>
      </c>
      <c r="F773" s="9">
        <v>58000</v>
      </c>
      <c r="G773" s="9" t="s">
        <v>1609</v>
      </c>
      <c r="H773" s="9">
        <f t="shared" si="25"/>
        <v>2021</v>
      </c>
      <c r="I773">
        <f t="shared" si="26"/>
        <v>4</v>
      </c>
    </row>
    <row r="774" spans="2:9" ht="16.5" x14ac:dyDescent="0.25">
      <c r="B774" s="9" t="s">
        <v>1610</v>
      </c>
      <c r="C774" s="9" t="s">
        <v>34</v>
      </c>
      <c r="D774" s="9" t="s">
        <v>35</v>
      </c>
      <c r="E774" s="9" t="s">
        <v>34</v>
      </c>
      <c r="F774" s="9">
        <v>145000</v>
      </c>
      <c r="G774" s="9" t="s">
        <v>1609</v>
      </c>
      <c r="H774" s="9">
        <f t="shared" si="25"/>
        <v>2021</v>
      </c>
      <c r="I774">
        <f t="shared" si="26"/>
        <v>4</v>
      </c>
    </row>
    <row r="775" spans="2:9" ht="16.5" x14ac:dyDescent="0.25">
      <c r="B775" s="9" t="s">
        <v>1611</v>
      </c>
      <c r="C775" s="9" t="s">
        <v>36</v>
      </c>
      <c r="D775" s="9" t="s">
        <v>40</v>
      </c>
      <c r="E775" s="9" t="s">
        <v>36</v>
      </c>
      <c r="F775" s="9">
        <v>278000</v>
      </c>
      <c r="G775" s="9" t="s">
        <v>1609</v>
      </c>
      <c r="H775" s="9">
        <f t="shared" si="25"/>
        <v>2021</v>
      </c>
      <c r="I775">
        <f t="shared" si="26"/>
        <v>4</v>
      </c>
    </row>
    <row r="776" spans="2:9" ht="16.5" x14ac:dyDescent="0.25">
      <c r="B776" s="9" t="s">
        <v>1612</v>
      </c>
      <c r="C776" s="9" t="s">
        <v>37</v>
      </c>
      <c r="D776" s="9" t="s">
        <v>39</v>
      </c>
      <c r="E776" s="9" t="s">
        <v>39</v>
      </c>
      <c r="F776" s="9">
        <v>176000</v>
      </c>
      <c r="G776" s="9" t="s">
        <v>1613</v>
      </c>
      <c r="H776" s="9">
        <f t="shared" si="25"/>
        <v>2021</v>
      </c>
      <c r="I776">
        <f t="shared" si="26"/>
        <v>5</v>
      </c>
    </row>
    <row r="777" spans="2:9" ht="16.5" x14ac:dyDescent="0.25">
      <c r="B777" s="9" t="s">
        <v>1614</v>
      </c>
      <c r="C777" s="9" t="s">
        <v>36</v>
      </c>
      <c r="D777" s="9" t="s">
        <v>37</v>
      </c>
      <c r="E777" s="9" t="s">
        <v>35</v>
      </c>
      <c r="F777" s="9">
        <v>100000</v>
      </c>
      <c r="G777" s="9" t="s">
        <v>1613</v>
      </c>
      <c r="H777" s="9">
        <f t="shared" si="25"/>
        <v>2021</v>
      </c>
      <c r="I777">
        <f t="shared" si="26"/>
        <v>5</v>
      </c>
    </row>
    <row r="778" spans="2:9" ht="16.5" x14ac:dyDescent="0.25">
      <c r="B778" s="9" t="s">
        <v>1615</v>
      </c>
      <c r="C778" s="9" t="s">
        <v>37</v>
      </c>
      <c r="D778" s="9" t="s">
        <v>37</v>
      </c>
      <c r="E778" s="9" t="s">
        <v>39</v>
      </c>
      <c r="F778" s="9">
        <v>148000</v>
      </c>
      <c r="G778" s="9" t="s">
        <v>1616</v>
      </c>
      <c r="H778" s="9">
        <f t="shared" si="25"/>
        <v>2021</v>
      </c>
      <c r="I778">
        <f t="shared" si="26"/>
        <v>5</v>
      </c>
    </row>
    <row r="779" spans="2:9" ht="16.5" x14ac:dyDescent="0.25">
      <c r="B779" s="9" t="s">
        <v>1617</v>
      </c>
      <c r="C779" s="9" t="s">
        <v>59</v>
      </c>
      <c r="D779" s="9" t="s">
        <v>40</v>
      </c>
      <c r="E779" s="9" t="s">
        <v>34</v>
      </c>
      <c r="F779" s="9">
        <v>151000</v>
      </c>
      <c r="G779" s="9" t="s">
        <v>1616</v>
      </c>
      <c r="H779" s="9">
        <f t="shared" si="25"/>
        <v>2021</v>
      </c>
      <c r="I779">
        <f t="shared" si="26"/>
        <v>5</v>
      </c>
    </row>
    <row r="780" spans="2:9" ht="16.5" x14ac:dyDescent="0.25">
      <c r="B780" s="9" t="s">
        <v>1619</v>
      </c>
      <c r="C780" s="9" t="s">
        <v>35</v>
      </c>
      <c r="D780" s="9" t="s">
        <v>34</v>
      </c>
      <c r="E780" s="9" t="s">
        <v>35</v>
      </c>
      <c r="F780" s="9">
        <v>63000</v>
      </c>
      <c r="G780" s="9" t="s">
        <v>1616</v>
      </c>
      <c r="H780" s="9">
        <f t="shared" si="25"/>
        <v>2021</v>
      </c>
      <c r="I780">
        <f t="shared" si="26"/>
        <v>5</v>
      </c>
    </row>
    <row r="781" spans="2:9" ht="16.5" x14ac:dyDescent="0.25">
      <c r="B781" s="9" t="s">
        <v>1620</v>
      </c>
      <c r="C781" s="9" t="s">
        <v>37</v>
      </c>
      <c r="D781" s="9" t="s">
        <v>37</v>
      </c>
      <c r="E781" s="9" t="s">
        <v>35</v>
      </c>
      <c r="F781" s="9">
        <v>94000</v>
      </c>
      <c r="G781" s="9" t="s">
        <v>1616</v>
      </c>
      <c r="H781" s="9">
        <f t="shared" si="25"/>
        <v>2021</v>
      </c>
      <c r="I781">
        <f t="shared" si="26"/>
        <v>5</v>
      </c>
    </row>
    <row r="782" spans="2:9" ht="16.5" x14ac:dyDescent="0.25">
      <c r="B782" s="9" t="s">
        <v>1621</v>
      </c>
      <c r="C782" s="9" t="s">
        <v>34</v>
      </c>
      <c r="D782" s="9" t="s">
        <v>39</v>
      </c>
      <c r="E782" s="9" t="s">
        <v>37</v>
      </c>
      <c r="F782" s="9">
        <v>274000</v>
      </c>
      <c r="G782" s="9" t="s">
        <v>1616</v>
      </c>
      <c r="H782" s="9">
        <f t="shared" si="25"/>
        <v>2021</v>
      </c>
      <c r="I782">
        <f t="shared" si="26"/>
        <v>5</v>
      </c>
    </row>
    <row r="783" spans="2:9" ht="16.5" x14ac:dyDescent="0.25">
      <c r="B783" s="9" t="s">
        <v>1622</v>
      </c>
      <c r="C783" s="9" t="s">
        <v>35</v>
      </c>
      <c r="D783" s="9" t="s">
        <v>34</v>
      </c>
      <c r="E783" s="9" t="s">
        <v>36</v>
      </c>
      <c r="F783" s="9">
        <v>219000</v>
      </c>
      <c r="G783" s="9" t="s">
        <v>1624</v>
      </c>
      <c r="H783" s="9">
        <f t="shared" si="25"/>
        <v>2021</v>
      </c>
      <c r="I783">
        <f t="shared" si="26"/>
        <v>5</v>
      </c>
    </row>
    <row r="784" spans="2:9" ht="16.5" x14ac:dyDescent="0.25">
      <c r="B784" s="9" t="s">
        <v>1625</v>
      </c>
      <c r="C784" s="9" t="s">
        <v>35</v>
      </c>
      <c r="D784" s="9" t="s">
        <v>36</v>
      </c>
      <c r="E784" s="9" t="s">
        <v>39</v>
      </c>
      <c r="F784" s="9">
        <v>230000</v>
      </c>
      <c r="G784" s="9" t="s">
        <v>1624</v>
      </c>
      <c r="H784" s="9">
        <f t="shared" si="25"/>
        <v>2021</v>
      </c>
      <c r="I784">
        <f t="shared" si="26"/>
        <v>5</v>
      </c>
    </row>
    <row r="785" spans="2:9" ht="16.5" x14ac:dyDescent="0.25">
      <c r="B785" s="9" t="s">
        <v>1626</v>
      </c>
      <c r="C785" s="9" t="s">
        <v>40</v>
      </c>
      <c r="D785" s="9" t="s">
        <v>37</v>
      </c>
      <c r="E785" s="9" t="s">
        <v>34</v>
      </c>
      <c r="F785" s="9">
        <v>215000</v>
      </c>
      <c r="G785" s="9" t="s">
        <v>1627</v>
      </c>
      <c r="H785" s="9">
        <f t="shared" si="25"/>
        <v>2021</v>
      </c>
      <c r="I785">
        <f t="shared" si="26"/>
        <v>5</v>
      </c>
    </row>
    <row r="786" spans="2:9" ht="16.5" x14ac:dyDescent="0.25">
      <c r="B786" s="9" t="s">
        <v>1628</v>
      </c>
      <c r="C786" s="9" t="s">
        <v>56</v>
      </c>
      <c r="D786" s="9" t="s">
        <v>35</v>
      </c>
      <c r="E786" s="9" t="s">
        <v>36</v>
      </c>
      <c r="F786" s="9">
        <v>281000</v>
      </c>
      <c r="G786" s="9" t="s">
        <v>1627</v>
      </c>
      <c r="H786" s="9">
        <f t="shared" si="25"/>
        <v>2021</v>
      </c>
      <c r="I786">
        <f t="shared" si="26"/>
        <v>5</v>
      </c>
    </row>
    <row r="787" spans="2:9" ht="16.5" x14ac:dyDescent="0.25">
      <c r="B787" s="9" t="s">
        <v>1629</v>
      </c>
      <c r="C787" s="9" t="s">
        <v>56</v>
      </c>
      <c r="D787" s="9" t="s">
        <v>34</v>
      </c>
      <c r="E787" s="9" t="s">
        <v>37</v>
      </c>
      <c r="F787" s="9">
        <v>281000</v>
      </c>
      <c r="G787" s="9" t="s">
        <v>1627</v>
      </c>
      <c r="H787" s="9">
        <f t="shared" si="25"/>
        <v>2021</v>
      </c>
      <c r="I787">
        <f t="shared" si="26"/>
        <v>5</v>
      </c>
    </row>
    <row r="788" spans="2:9" ht="16.5" x14ac:dyDescent="0.25">
      <c r="B788" s="9" t="s">
        <v>1630</v>
      </c>
      <c r="C788" s="9" t="s">
        <v>34</v>
      </c>
      <c r="D788" s="9" t="s">
        <v>34</v>
      </c>
      <c r="E788" s="9" t="s">
        <v>36</v>
      </c>
      <c r="F788" s="9">
        <v>173000</v>
      </c>
      <c r="G788" s="9" t="s">
        <v>1631</v>
      </c>
      <c r="H788" s="9">
        <f t="shared" si="25"/>
        <v>2021</v>
      </c>
      <c r="I788">
        <f t="shared" si="26"/>
        <v>5</v>
      </c>
    </row>
    <row r="789" spans="2:9" ht="16.5" x14ac:dyDescent="0.25">
      <c r="B789" s="9" t="s">
        <v>1632</v>
      </c>
      <c r="C789" s="9" t="s">
        <v>59</v>
      </c>
      <c r="D789" s="9" t="s">
        <v>34</v>
      </c>
      <c r="E789" s="9" t="s">
        <v>36</v>
      </c>
      <c r="F789" s="9">
        <v>35000</v>
      </c>
      <c r="G789" s="9" t="s">
        <v>1633</v>
      </c>
      <c r="H789" s="9">
        <f t="shared" si="25"/>
        <v>2021</v>
      </c>
      <c r="I789">
        <f t="shared" si="26"/>
        <v>5</v>
      </c>
    </row>
    <row r="790" spans="2:9" ht="16.5" x14ac:dyDescent="0.25">
      <c r="B790" s="9" t="s">
        <v>1634</v>
      </c>
      <c r="C790" s="9" t="s">
        <v>59</v>
      </c>
      <c r="D790" s="9" t="s">
        <v>35</v>
      </c>
      <c r="E790" s="9" t="s">
        <v>36</v>
      </c>
      <c r="F790" s="9">
        <v>76000</v>
      </c>
      <c r="G790" s="9" t="s">
        <v>1635</v>
      </c>
      <c r="H790" s="9">
        <f t="shared" si="25"/>
        <v>2021</v>
      </c>
      <c r="I790">
        <f t="shared" si="26"/>
        <v>5</v>
      </c>
    </row>
    <row r="791" spans="2:9" ht="16.5" x14ac:dyDescent="0.25">
      <c r="B791" s="9" t="s">
        <v>1636</v>
      </c>
      <c r="C791" s="9" t="s">
        <v>36</v>
      </c>
      <c r="D791" s="9" t="s">
        <v>40</v>
      </c>
      <c r="E791" s="9" t="s">
        <v>36</v>
      </c>
      <c r="F791" s="9">
        <v>260000</v>
      </c>
      <c r="G791" s="9" t="s">
        <v>1637</v>
      </c>
      <c r="H791" s="9">
        <f t="shared" si="25"/>
        <v>2021</v>
      </c>
      <c r="I791">
        <f t="shared" si="26"/>
        <v>5</v>
      </c>
    </row>
    <row r="792" spans="2:9" ht="16.5" x14ac:dyDescent="0.25">
      <c r="B792" s="9" t="s">
        <v>1638</v>
      </c>
      <c r="C792" s="9" t="s">
        <v>39</v>
      </c>
      <c r="D792" s="9" t="s">
        <v>37</v>
      </c>
      <c r="E792" s="9" t="s">
        <v>34</v>
      </c>
      <c r="F792" s="9">
        <v>108000</v>
      </c>
      <c r="G792" s="9" t="s">
        <v>1637</v>
      </c>
      <c r="H792" s="9">
        <f t="shared" si="25"/>
        <v>2021</v>
      </c>
      <c r="I792">
        <f t="shared" si="26"/>
        <v>5</v>
      </c>
    </row>
    <row r="793" spans="2:9" ht="16.5" x14ac:dyDescent="0.25">
      <c r="B793" s="9" t="s">
        <v>1639</v>
      </c>
      <c r="C793" s="9" t="s">
        <v>56</v>
      </c>
      <c r="D793" s="9" t="s">
        <v>36</v>
      </c>
      <c r="E793" s="9" t="s">
        <v>35</v>
      </c>
      <c r="F793" s="9">
        <v>71000</v>
      </c>
      <c r="G793" s="9" t="s">
        <v>1640</v>
      </c>
      <c r="H793" s="9">
        <f t="shared" si="25"/>
        <v>2021</v>
      </c>
      <c r="I793">
        <f t="shared" si="26"/>
        <v>5</v>
      </c>
    </row>
    <row r="794" spans="2:9" ht="16.5" x14ac:dyDescent="0.25">
      <c r="B794" s="9" t="s">
        <v>1641</v>
      </c>
      <c r="C794" s="9" t="s">
        <v>40</v>
      </c>
      <c r="D794" s="9" t="s">
        <v>40</v>
      </c>
      <c r="E794" s="9" t="s">
        <v>38</v>
      </c>
      <c r="F794" s="9">
        <v>187000</v>
      </c>
      <c r="G794" s="9" t="s">
        <v>1642</v>
      </c>
      <c r="H794" s="9">
        <f t="shared" si="25"/>
        <v>2021</v>
      </c>
      <c r="I794">
        <f t="shared" si="26"/>
        <v>5</v>
      </c>
    </row>
    <row r="795" spans="2:9" ht="16.5" x14ac:dyDescent="0.25">
      <c r="B795" s="9" t="s">
        <v>1643</v>
      </c>
      <c r="C795" s="9" t="s">
        <v>37</v>
      </c>
      <c r="D795" s="9" t="s">
        <v>34</v>
      </c>
      <c r="E795" s="9" t="s">
        <v>34</v>
      </c>
      <c r="F795" s="9">
        <v>178000</v>
      </c>
      <c r="G795" s="9" t="s">
        <v>1644</v>
      </c>
      <c r="H795" s="9">
        <f t="shared" si="25"/>
        <v>2021</v>
      </c>
      <c r="I795">
        <f t="shared" si="26"/>
        <v>5</v>
      </c>
    </row>
    <row r="796" spans="2:9" ht="16.5" x14ac:dyDescent="0.25">
      <c r="B796" s="9" t="s">
        <v>1645</v>
      </c>
      <c r="C796" s="9" t="s">
        <v>38</v>
      </c>
      <c r="D796" s="9" t="s">
        <v>38</v>
      </c>
      <c r="E796" s="9" t="s">
        <v>36</v>
      </c>
      <c r="F796" s="9">
        <v>205000</v>
      </c>
      <c r="G796" s="9" t="s">
        <v>1647</v>
      </c>
      <c r="H796" s="9">
        <f t="shared" si="25"/>
        <v>2021</v>
      </c>
      <c r="I796">
        <f t="shared" si="26"/>
        <v>5</v>
      </c>
    </row>
    <row r="797" spans="2:9" ht="16.5" x14ac:dyDescent="0.25">
      <c r="B797" s="9" t="s">
        <v>1648</v>
      </c>
      <c r="C797" s="9" t="s">
        <v>37</v>
      </c>
      <c r="D797" s="9" t="s">
        <v>39</v>
      </c>
      <c r="E797" s="9" t="s">
        <v>34</v>
      </c>
      <c r="F797" s="9">
        <v>69000</v>
      </c>
      <c r="G797" s="9" t="s">
        <v>1649</v>
      </c>
      <c r="H797" s="9">
        <f t="shared" si="25"/>
        <v>2021</v>
      </c>
      <c r="I797">
        <f t="shared" si="26"/>
        <v>5</v>
      </c>
    </row>
    <row r="798" spans="2:9" ht="16.5" x14ac:dyDescent="0.25">
      <c r="B798" s="9" t="s">
        <v>1650</v>
      </c>
      <c r="C798" s="9" t="s">
        <v>36</v>
      </c>
      <c r="D798" s="9" t="s">
        <v>34</v>
      </c>
      <c r="E798" s="9" t="s">
        <v>35</v>
      </c>
      <c r="F798" s="9">
        <v>136000</v>
      </c>
      <c r="G798" s="9" t="s">
        <v>1651</v>
      </c>
      <c r="H798" s="9">
        <f t="shared" si="25"/>
        <v>2021</v>
      </c>
      <c r="I798">
        <f t="shared" si="26"/>
        <v>5</v>
      </c>
    </row>
    <row r="799" spans="2:9" ht="16.5" x14ac:dyDescent="0.25">
      <c r="B799" s="9" t="s">
        <v>1652</v>
      </c>
      <c r="C799" s="9" t="s">
        <v>38</v>
      </c>
      <c r="D799" s="9" t="s">
        <v>39</v>
      </c>
      <c r="E799" s="9" t="s">
        <v>35</v>
      </c>
      <c r="F799" s="9">
        <v>91000</v>
      </c>
      <c r="G799" s="9" t="s">
        <v>1653</v>
      </c>
      <c r="H799" s="9">
        <f t="shared" si="25"/>
        <v>2021</v>
      </c>
      <c r="I799">
        <f t="shared" si="26"/>
        <v>5</v>
      </c>
    </row>
    <row r="800" spans="2:9" ht="16.5" x14ac:dyDescent="0.25">
      <c r="B800" s="9" t="s">
        <v>1654</v>
      </c>
      <c r="C800" s="9" t="s">
        <v>36</v>
      </c>
      <c r="D800" s="9" t="s">
        <v>37</v>
      </c>
      <c r="E800" s="9" t="s">
        <v>35</v>
      </c>
      <c r="F800" s="9">
        <v>245000</v>
      </c>
      <c r="G800" s="9" t="s">
        <v>1653</v>
      </c>
      <c r="H800" s="9">
        <f t="shared" si="25"/>
        <v>2021</v>
      </c>
      <c r="I800">
        <f t="shared" si="26"/>
        <v>5</v>
      </c>
    </row>
    <row r="801" spans="2:9" ht="16.5" x14ac:dyDescent="0.25">
      <c r="B801" s="9" t="s">
        <v>1655</v>
      </c>
      <c r="C801" s="9" t="s">
        <v>35</v>
      </c>
      <c r="D801" s="9" t="s">
        <v>36</v>
      </c>
      <c r="E801" s="9" t="s">
        <v>34</v>
      </c>
      <c r="F801" s="9">
        <v>249000</v>
      </c>
      <c r="G801" s="9" t="s">
        <v>1656</v>
      </c>
      <c r="H801" s="9">
        <f t="shared" si="25"/>
        <v>2021</v>
      </c>
      <c r="I801">
        <f t="shared" si="26"/>
        <v>5</v>
      </c>
    </row>
    <row r="802" spans="2:9" ht="16.5" x14ac:dyDescent="0.25">
      <c r="B802" s="9" t="s">
        <v>1657</v>
      </c>
      <c r="C802" s="9" t="s">
        <v>36</v>
      </c>
      <c r="D802" s="9" t="s">
        <v>35</v>
      </c>
      <c r="E802" s="9" t="s">
        <v>36</v>
      </c>
      <c r="F802" s="9">
        <v>43000</v>
      </c>
      <c r="G802" s="9" t="s">
        <v>1656</v>
      </c>
      <c r="H802" s="9">
        <f t="shared" si="25"/>
        <v>2021</v>
      </c>
      <c r="I802">
        <f t="shared" si="26"/>
        <v>5</v>
      </c>
    </row>
    <row r="803" spans="2:9" ht="16.5" x14ac:dyDescent="0.25">
      <c r="B803" s="9" t="s">
        <v>1658</v>
      </c>
      <c r="C803" s="9" t="s">
        <v>56</v>
      </c>
      <c r="D803" s="9" t="s">
        <v>36</v>
      </c>
      <c r="E803" s="9" t="s">
        <v>35</v>
      </c>
      <c r="F803" s="9">
        <v>142000</v>
      </c>
      <c r="G803" s="9" t="s">
        <v>1659</v>
      </c>
      <c r="H803" s="9">
        <f t="shared" si="25"/>
        <v>2021</v>
      </c>
      <c r="I803">
        <f t="shared" si="26"/>
        <v>5</v>
      </c>
    </row>
    <row r="804" spans="2:9" ht="16.5" x14ac:dyDescent="0.25">
      <c r="B804" s="9" t="s">
        <v>1660</v>
      </c>
      <c r="C804" s="9" t="s">
        <v>35</v>
      </c>
      <c r="D804" s="9" t="s">
        <v>35</v>
      </c>
      <c r="E804" s="9" t="s">
        <v>35</v>
      </c>
      <c r="F804" s="9">
        <v>32000</v>
      </c>
      <c r="G804" s="9" t="s">
        <v>1659</v>
      </c>
      <c r="H804" s="9">
        <f t="shared" si="25"/>
        <v>2021</v>
      </c>
      <c r="I804">
        <f t="shared" si="26"/>
        <v>5</v>
      </c>
    </row>
    <row r="805" spans="2:9" ht="16.5" x14ac:dyDescent="0.25">
      <c r="B805" s="9" t="s">
        <v>1662</v>
      </c>
      <c r="C805" s="9" t="s">
        <v>35</v>
      </c>
      <c r="D805" s="9" t="s">
        <v>36</v>
      </c>
      <c r="E805" s="9" t="s">
        <v>34</v>
      </c>
      <c r="F805" s="9">
        <v>97000</v>
      </c>
      <c r="G805" s="9" t="s">
        <v>1663</v>
      </c>
      <c r="H805" s="9">
        <f t="shared" si="25"/>
        <v>2021</v>
      </c>
      <c r="I805">
        <f t="shared" si="26"/>
        <v>5</v>
      </c>
    </row>
    <row r="806" spans="2:9" ht="16.5" x14ac:dyDescent="0.25">
      <c r="B806" s="9" t="s">
        <v>1664</v>
      </c>
      <c r="C806" s="9" t="s">
        <v>35</v>
      </c>
      <c r="D806" s="9" t="s">
        <v>37</v>
      </c>
      <c r="E806" s="9" t="s">
        <v>35</v>
      </c>
      <c r="F806" s="9">
        <v>215000</v>
      </c>
      <c r="G806" s="9" t="s">
        <v>1665</v>
      </c>
      <c r="H806" s="9">
        <f t="shared" si="25"/>
        <v>2021</v>
      </c>
      <c r="I806">
        <f t="shared" si="26"/>
        <v>5</v>
      </c>
    </row>
    <row r="807" spans="2:9" ht="16.5" x14ac:dyDescent="0.25">
      <c r="B807" s="9" t="s">
        <v>1666</v>
      </c>
      <c r="C807" s="9" t="s">
        <v>36</v>
      </c>
      <c r="D807" s="9" t="s">
        <v>36</v>
      </c>
      <c r="E807" s="9" t="s">
        <v>39</v>
      </c>
      <c r="F807" s="9">
        <v>269000</v>
      </c>
      <c r="G807" s="9" t="s">
        <v>1667</v>
      </c>
      <c r="H807" s="9">
        <f t="shared" si="25"/>
        <v>2021</v>
      </c>
      <c r="I807">
        <f t="shared" si="26"/>
        <v>5</v>
      </c>
    </row>
    <row r="808" spans="2:9" ht="16.5" x14ac:dyDescent="0.25">
      <c r="B808" s="9" t="s">
        <v>1668</v>
      </c>
      <c r="C808" s="9" t="s">
        <v>38</v>
      </c>
      <c r="D808" s="9" t="s">
        <v>35</v>
      </c>
      <c r="E808" s="9" t="s">
        <v>37</v>
      </c>
      <c r="F808" s="9">
        <v>145000</v>
      </c>
      <c r="G808" s="9" t="s">
        <v>1669</v>
      </c>
      <c r="H808" s="9">
        <f t="shared" si="25"/>
        <v>2021</v>
      </c>
      <c r="I808">
        <f t="shared" si="26"/>
        <v>5</v>
      </c>
    </row>
    <row r="809" spans="2:9" ht="16.5" x14ac:dyDescent="0.25">
      <c r="B809" s="9" t="s">
        <v>1670</v>
      </c>
      <c r="C809" s="9" t="s">
        <v>38</v>
      </c>
      <c r="D809" s="9" t="s">
        <v>35</v>
      </c>
      <c r="E809" s="9" t="s">
        <v>36</v>
      </c>
      <c r="F809" s="9">
        <v>180000</v>
      </c>
      <c r="G809" s="9" t="s">
        <v>1669</v>
      </c>
      <c r="H809" s="9">
        <f t="shared" si="25"/>
        <v>2021</v>
      </c>
      <c r="I809">
        <f t="shared" si="26"/>
        <v>5</v>
      </c>
    </row>
    <row r="810" spans="2:9" ht="16.5" x14ac:dyDescent="0.25">
      <c r="B810" s="9" t="s">
        <v>1671</v>
      </c>
      <c r="C810" s="9" t="s">
        <v>39</v>
      </c>
      <c r="D810" s="9" t="s">
        <v>36</v>
      </c>
      <c r="E810" s="9" t="s">
        <v>36</v>
      </c>
      <c r="F810" s="9">
        <v>257000</v>
      </c>
      <c r="G810" s="9" t="s">
        <v>1672</v>
      </c>
      <c r="H810" s="9">
        <f t="shared" si="25"/>
        <v>2021</v>
      </c>
      <c r="I810">
        <f t="shared" si="26"/>
        <v>5</v>
      </c>
    </row>
    <row r="811" spans="2:9" ht="16.5" x14ac:dyDescent="0.25">
      <c r="B811" s="9" t="s">
        <v>1673</v>
      </c>
      <c r="C811" s="9" t="s">
        <v>37</v>
      </c>
      <c r="D811" s="9" t="s">
        <v>34</v>
      </c>
      <c r="E811" s="9" t="s">
        <v>34</v>
      </c>
      <c r="F811" s="9">
        <v>43000</v>
      </c>
      <c r="G811" s="9" t="s">
        <v>1674</v>
      </c>
      <c r="H811" s="9">
        <f t="shared" si="25"/>
        <v>2021</v>
      </c>
      <c r="I811">
        <f t="shared" si="26"/>
        <v>5</v>
      </c>
    </row>
    <row r="812" spans="2:9" ht="16.5" x14ac:dyDescent="0.25">
      <c r="B812" s="9" t="s">
        <v>1675</v>
      </c>
      <c r="C812" s="9" t="s">
        <v>38</v>
      </c>
      <c r="D812" s="9" t="s">
        <v>40</v>
      </c>
      <c r="E812" s="9" t="s">
        <v>34</v>
      </c>
      <c r="F812" s="9">
        <v>254000</v>
      </c>
      <c r="G812" s="9" t="s">
        <v>1676</v>
      </c>
      <c r="H812" s="9">
        <f t="shared" si="25"/>
        <v>2021</v>
      </c>
      <c r="I812">
        <f t="shared" si="26"/>
        <v>6</v>
      </c>
    </row>
    <row r="813" spans="2:9" ht="16.5" x14ac:dyDescent="0.25">
      <c r="B813" s="9" t="s">
        <v>1677</v>
      </c>
      <c r="C813" s="9" t="s">
        <v>36</v>
      </c>
      <c r="D813" s="9" t="s">
        <v>36</v>
      </c>
      <c r="E813" s="9" t="s">
        <v>38</v>
      </c>
      <c r="F813" s="9">
        <v>237000</v>
      </c>
      <c r="G813" s="9" t="s">
        <v>1676</v>
      </c>
      <c r="H813" s="9">
        <f t="shared" si="25"/>
        <v>2021</v>
      </c>
      <c r="I813">
        <f t="shared" si="26"/>
        <v>6</v>
      </c>
    </row>
    <row r="814" spans="2:9" ht="16.5" x14ac:dyDescent="0.25">
      <c r="B814" s="9" t="s">
        <v>1678</v>
      </c>
      <c r="C814" s="9" t="s">
        <v>59</v>
      </c>
      <c r="D814" s="9" t="s">
        <v>36</v>
      </c>
      <c r="E814" s="9" t="s">
        <v>36</v>
      </c>
      <c r="F814" s="9">
        <v>152000</v>
      </c>
      <c r="G814" s="9" t="s">
        <v>1676</v>
      </c>
      <c r="H814" s="9">
        <f t="shared" si="25"/>
        <v>2021</v>
      </c>
      <c r="I814">
        <f t="shared" si="26"/>
        <v>6</v>
      </c>
    </row>
    <row r="815" spans="2:9" ht="16.5" x14ac:dyDescent="0.25">
      <c r="B815" s="9" t="s">
        <v>1679</v>
      </c>
      <c r="C815" s="9" t="s">
        <v>59</v>
      </c>
      <c r="D815" s="9" t="s">
        <v>35</v>
      </c>
      <c r="E815" s="9" t="s">
        <v>39</v>
      </c>
      <c r="F815" s="9">
        <v>299000</v>
      </c>
      <c r="G815" s="9" t="s">
        <v>1680</v>
      </c>
      <c r="H815" s="9">
        <f t="shared" si="25"/>
        <v>2021</v>
      </c>
      <c r="I815">
        <f t="shared" si="26"/>
        <v>6</v>
      </c>
    </row>
    <row r="816" spans="2:9" ht="16.5" x14ac:dyDescent="0.25">
      <c r="B816" s="9" t="s">
        <v>1681</v>
      </c>
      <c r="C816" s="9" t="s">
        <v>38</v>
      </c>
      <c r="D816" s="9" t="s">
        <v>34</v>
      </c>
      <c r="E816" s="9" t="s">
        <v>34</v>
      </c>
      <c r="F816" s="9">
        <v>35000</v>
      </c>
      <c r="G816" s="9" t="s">
        <v>1680</v>
      </c>
      <c r="H816" s="9">
        <f t="shared" si="25"/>
        <v>2021</v>
      </c>
      <c r="I816">
        <f t="shared" si="26"/>
        <v>6</v>
      </c>
    </row>
    <row r="817" spans="2:9" ht="16.5" x14ac:dyDescent="0.25">
      <c r="B817" s="9" t="s">
        <v>1682</v>
      </c>
      <c r="C817" s="9" t="s">
        <v>37</v>
      </c>
      <c r="D817" s="9" t="s">
        <v>38</v>
      </c>
      <c r="E817" s="9" t="s">
        <v>37</v>
      </c>
      <c r="F817" s="9">
        <v>45000</v>
      </c>
      <c r="G817" s="9" t="s">
        <v>1683</v>
      </c>
      <c r="H817" s="9">
        <f t="shared" si="25"/>
        <v>2021</v>
      </c>
      <c r="I817">
        <f t="shared" si="26"/>
        <v>6</v>
      </c>
    </row>
    <row r="818" spans="2:9" ht="16.5" x14ac:dyDescent="0.25">
      <c r="B818" s="9" t="s">
        <v>1684</v>
      </c>
      <c r="C818" s="9" t="s">
        <v>40</v>
      </c>
      <c r="D818" s="9" t="s">
        <v>39</v>
      </c>
      <c r="E818" s="9" t="s">
        <v>37</v>
      </c>
      <c r="F818" s="9">
        <v>132000</v>
      </c>
      <c r="G818" s="9" t="s">
        <v>1683</v>
      </c>
      <c r="H818" s="9">
        <f t="shared" si="25"/>
        <v>2021</v>
      </c>
      <c r="I818">
        <f t="shared" si="26"/>
        <v>6</v>
      </c>
    </row>
    <row r="819" spans="2:9" ht="16.5" x14ac:dyDescent="0.25">
      <c r="B819" s="9" t="s">
        <v>1685</v>
      </c>
      <c r="C819" s="9" t="s">
        <v>39</v>
      </c>
      <c r="D819" s="9" t="s">
        <v>35</v>
      </c>
      <c r="E819" s="9" t="s">
        <v>36</v>
      </c>
      <c r="F819" s="9">
        <v>83000</v>
      </c>
      <c r="G819" s="9" t="s">
        <v>1683</v>
      </c>
      <c r="H819" s="9">
        <f t="shared" si="25"/>
        <v>2021</v>
      </c>
      <c r="I819">
        <f t="shared" si="26"/>
        <v>6</v>
      </c>
    </row>
    <row r="820" spans="2:9" ht="16.5" x14ac:dyDescent="0.25">
      <c r="B820" s="9" t="s">
        <v>1686</v>
      </c>
      <c r="C820" s="9" t="s">
        <v>56</v>
      </c>
      <c r="D820" s="9" t="s">
        <v>40</v>
      </c>
      <c r="E820" s="9" t="s">
        <v>39</v>
      </c>
      <c r="F820" s="9">
        <v>184000</v>
      </c>
      <c r="G820" s="9" t="s">
        <v>1687</v>
      </c>
      <c r="H820" s="9">
        <f t="shared" si="25"/>
        <v>2021</v>
      </c>
      <c r="I820">
        <f t="shared" si="26"/>
        <v>6</v>
      </c>
    </row>
    <row r="821" spans="2:9" ht="16.5" x14ac:dyDescent="0.25">
      <c r="B821" s="9" t="s">
        <v>1688</v>
      </c>
      <c r="C821" s="9" t="s">
        <v>34</v>
      </c>
      <c r="D821" s="9" t="s">
        <v>40</v>
      </c>
      <c r="E821" s="9" t="s">
        <v>37</v>
      </c>
      <c r="F821" s="9">
        <v>43000</v>
      </c>
      <c r="G821" s="9" t="s">
        <v>1689</v>
      </c>
      <c r="H821" s="9">
        <f t="shared" si="25"/>
        <v>2021</v>
      </c>
      <c r="I821">
        <f t="shared" si="26"/>
        <v>6</v>
      </c>
    </row>
    <row r="822" spans="2:9" ht="16.5" x14ac:dyDescent="0.25">
      <c r="B822" s="9" t="s">
        <v>1690</v>
      </c>
      <c r="C822" s="9" t="s">
        <v>59</v>
      </c>
      <c r="D822" s="9" t="s">
        <v>37</v>
      </c>
      <c r="E822" s="9" t="s">
        <v>37</v>
      </c>
      <c r="F822" s="9">
        <v>84000</v>
      </c>
      <c r="G822" s="9" t="s">
        <v>1689</v>
      </c>
      <c r="H822" s="9">
        <f t="shared" si="25"/>
        <v>2021</v>
      </c>
      <c r="I822">
        <f t="shared" si="26"/>
        <v>6</v>
      </c>
    </row>
    <row r="823" spans="2:9" ht="16.5" x14ac:dyDescent="0.25">
      <c r="B823" s="9" t="s">
        <v>1691</v>
      </c>
      <c r="C823" s="9" t="s">
        <v>36</v>
      </c>
      <c r="D823" s="9" t="s">
        <v>38</v>
      </c>
      <c r="E823" s="9" t="s">
        <v>39</v>
      </c>
      <c r="F823" s="9">
        <v>54000</v>
      </c>
      <c r="G823" s="9" t="s">
        <v>1692</v>
      </c>
      <c r="H823" s="9">
        <f t="shared" si="25"/>
        <v>2021</v>
      </c>
      <c r="I823">
        <f t="shared" si="26"/>
        <v>6</v>
      </c>
    </row>
    <row r="824" spans="2:9" ht="16.5" x14ac:dyDescent="0.25">
      <c r="B824" s="9" t="s">
        <v>1693</v>
      </c>
      <c r="C824" s="9" t="s">
        <v>35</v>
      </c>
      <c r="D824" s="9" t="s">
        <v>39</v>
      </c>
      <c r="E824" s="9" t="s">
        <v>38</v>
      </c>
      <c r="F824" s="9">
        <v>211000</v>
      </c>
      <c r="G824" s="9" t="s">
        <v>1694</v>
      </c>
      <c r="H824" s="9">
        <f t="shared" si="25"/>
        <v>2021</v>
      </c>
      <c r="I824">
        <f t="shared" si="26"/>
        <v>6</v>
      </c>
    </row>
    <row r="825" spans="2:9" ht="16.5" x14ac:dyDescent="0.25">
      <c r="B825" s="9" t="s">
        <v>1695</v>
      </c>
      <c r="C825" s="9" t="s">
        <v>59</v>
      </c>
      <c r="D825" s="9" t="s">
        <v>36</v>
      </c>
      <c r="E825" s="9" t="s">
        <v>38</v>
      </c>
      <c r="F825" s="9">
        <v>56000</v>
      </c>
      <c r="G825" s="9" t="s">
        <v>1697</v>
      </c>
      <c r="H825" s="9">
        <f t="shared" si="25"/>
        <v>2021</v>
      </c>
      <c r="I825">
        <f t="shared" si="26"/>
        <v>6</v>
      </c>
    </row>
    <row r="826" spans="2:9" ht="16.5" x14ac:dyDescent="0.25">
      <c r="B826" s="9" t="s">
        <v>1698</v>
      </c>
      <c r="C826" s="9" t="s">
        <v>34</v>
      </c>
      <c r="D826" s="9" t="s">
        <v>34</v>
      </c>
      <c r="E826" s="9" t="s">
        <v>38</v>
      </c>
      <c r="F826" s="9">
        <v>243000</v>
      </c>
      <c r="G826" s="9" t="s">
        <v>1697</v>
      </c>
      <c r="H826" s="9">
        <f t="shared" si="25"/>
        <v>2021</v>
      </c>
      <c r="I826">
        <f t="shared" si="26"/>
        <v>6</v>
      </c>
    </row>
    <row r="827" spans="2:9" ht="16.5" x14ac:dyDescent="0.25">
      <c r="B827" s="9" t="s">
        <v>1699</v>
      </c>
      <c r="C827" s="9" t="s">
        <v>37</v>
      </c>
      <c r="D827" s="9" t="s">
        <v>35</v>
      </c>
      <c r="E827" s="9" t="s">
        <v>36</v>
      </c>
      <c r="F827" s="9">
        <v>90000</v>
      </c>
      <c r="G827" s="9" t="s">
        <v>1700</v>
      </c>
      <c r="H827" s="9">
        <f t="shared" si="25"/>
        <v>2021</v>
      </c>
      <c r="I827">
        <f t="shared" si="26"/>
        <v>6</v>
      </c>
    </row>
    <row r="828" spans="2:9" ht="16.5" x14ac:dyDescent="0.25">
      <c r="B828" s="9" t="s">
        <v>1701</v>
      </c>
      <c r="C828" s="9" t="s">
        <v>56</v>
      </c>
      <c r="D828" s="9" t="s">
        <v>35</v>
      </c>
      <c r="E828" s="9" t="s">
        <v>37</v>
      </c>
      <c r="F828" s="9">
        <v>119000</v>
      </c>
      <c r="G828" s="9" t="s">
        <v>1700</v>
      </c>
      <c r="H828" s="9">
        <f t="shared" si="25"/>
        <v>2021</v>
      </c>
      <c r="I828">
        <f t="shared" si="26"/>
        <v>6</v>
      </c>
    </row>
    <row r="829" spans="2:9" ht="16.5" x14ac:dyDescent="0.25">
      <c r="B829" s="9" t="s">
        <v>1702</v>
      </c>
      <c r="C829" s="9" t="s">
        <v>34</v>
      </c>
      <c r="D829" s="9" t="s">
        <v>34</v>
      </c>
      <c r="E829" s="9" t="s">
        <v>34</v>
      </c>
      <c r="F829" s="9">
        <v>242000</v>
      </c>
      <c r="G829" s="9" t="s">
        <v>1703</v>
      </c>
      <c r="H829" s="9">
        <f t="shared" si="25"/>
        <v>2021</v>
      </c>
      <c r="I829">
        <f t="shared" si="26"/>
        <v>6</v>
      </c>
    </row>
    <row r="830" spans="2:9" ht="16.5" x14ac:dyDescent="0.25">
      <c r="B830" s="9" t="s">
        <v>1704</v>
      </c>
      <c r="C830" s="9" t="s">
        <v>37</v>
      </c>
      <c r="D830" s="9" t="s">
        <v>37</v>
      </c>
      <c r="E830" s="9" t="s">
        <v>39</v>
      </c>
      <c r="F830" s="9">
        <v>115000</v>
      </c>
      <c r="G830" s="9" t="s">
        <v>1705</v>
      </c>
      <c r="H830" s="9">
        <f t="shared" si="25"/>
        <v>2021</v>
      </c>
      <c r="I830">
        <f t="shared" si="26"/>
        <v>6</v>
      </c>
    </row>
    <row r="831" spans="2:9" ht="16.5" x14ac:dyDescent="0.25">
      <c r="B831" s="9" t="s">
        <v>1706</v>
      </c>
      <c r="C831" s="9" t="s">
        <v>34</v>
      </c>
      <c r="D831" s="9" t="s">
        <v>36</v>
      </c>
      <c r="E831" s="9" t="s">
        <v>38</v>
      </c>
      <c r="F831" s="9">
        <v>64000</v>
      </c>
      <c r="G831" s="9" t="s">
        <v>1707</v>
      </c>
      <c r="H831" s="9">
        <f t="shared" si="25"/>
        <v>2021</v>
      </c>
      <c r="I831">
        <f t="shared" si="26"/>
        <v>6</v>
      </c>
    </row>
    <row r="832" spans="2:9" ht="16.5" x14ac:dyDescent="0.25">
      <c r="B832" s="9" t="s">
        <v>1708</v>
      </c>
      <c r="C832" s="9" t="s">
        <v>59</v>
      </c>
      <c r="D832" s="9" t="s">
        <v>39</v>
      </c>
      <c r="E832" s="9" t="s">
        <v>38</v>
      </c>
      <c r="F832" s="9">
        <v>247000</v>
      </c>
      <c r="G832" s="9" t="s">
        <v>1709</v>
      </c>
      <c r="H832" s="9">
        <f t="shared" si="25"/>
        <v>2021</v>
      </c>
      <c r="I832">
        <f t="shared" si="26"/>
        <v>6</v>
      </c>
    </row>
    <row r="833" spans="2:9" ht="16.5" x14ac:dyDescent="0.25">
      <c r="B833" s="9" t="s">
        <v>1710</v>
      </c>
      <c r="C833" s="9" t="s">
        <v>37</v>
      </c>
      <c r="D833" s="9" t="s">
        <v>35</v>
      </c>
      <c r="E833" s="9" t="s">
        <v>34</v>
      </c>
      <c r="F833" s="9">
        <v>221000</v>
      </c>
      <c r="G833" s="9" t="s">
        <v>1711</v>
      </c>
      <c r="H833" s="9">
        <f t="shared" si="25"/>
        <v>2021</v>
      </c>
      <c r="I833">
        <f t="shared" si="26"/>
        <v>6</v>
      </c>
    </row>
    <row r="834" spans="2:9" ht="16.5" x14ac:dyDescent="0.25">
      <c r="B834" s="9" t="s">
        <v>1712</v>
      </c>
      <c r="C834" s="9" t="s">
        <v>36</v>
      </c>
      <c r="D834" s="9" t="s">
        <v>35</v>
      </c>
      <c r="E834" s="9" t="s">
        <v>34</v>
      </c>
      <c r="F834" s="9">
        <v>161000</v>
      </c>
      <c r="G834" s="9" t="s">
        <v>1713</v>
      </c>
      <c r="H834" s="9">
        <f t="shared" si="25"/>
        <v>2021</v>
      </c>
      <c r="I834">
        <f t="shared" si="26"/>
        <v>6</v>
      </c>
    </row>
    <row r="835" spans="2:9" ht="16.5" x14ac:dyDescent="0.25">
      <c r="B835" s="9" t="s">
        <v>1714</v>
      </c>
      <c r="C835" s="9" t="s">
        <v>59</v>
      </c>
      <c r="D835" s="9" t="s">
        <v>39</v>
      </c>
      <c r="E835" s="9" t="s">
        <v>35</v>
      </c>
      <c r="F835" s="9">
        <v>133000</v>
      </c>
      <c r="G835" s="9" t="s">
        <v>1715</v>
      </c>
      <c r="H835" s="9">
        <f t="shared" ref="H835:H898" si="27">YEAR(G835)</f>
        <v>2021</v>
      </c>
      <c r="I835">
        <f t="shared" ref="I835:I898" si="28">MONTH(G835)</f>
        <v>6</v>
      </c>
    </row>
    <row r="836" spans="2:9" ht="16.5" x14ac:dyDescent="0.25">
      <c r="B836" s="9" t="s">
        <v>1716</v>
      </c>
      <c r="C836" s="9" t="s">
        <v>36</v>
      </c>
      <c r="D836" s="9" t="s">
        <v>35</v>
      </c>
      <c r="E836" s="9" t="s">
        <v>36</v>
      </c>
      <c r="F836" s="9">
        <v>155000</v>
      </c>
      <c r="G836" s="9" t="s">
        <v>1715</v>
      </c>
      <c r="H836" s="9">
        <f t="shared" si="27"/>
        <v>2021</v>
      </c>
      <c r="I836">
        <f t="shared" si="28"/>
        <v>6</v>
      </c>
    </row>
    <row r="837" spans="2:9" ht="16.5" x14ac:dyDescent="0.25">
      <c r="B837" s="9" t="s">
        <v>1717</v>
      </c>
      <c r="C837" s="9" t="s">
        <v>56</v>
      </c>
      <c r="D837" s="9" t="s">
        <v>36</v>
      </c>
      <c r="E837" s="9" t="s">
        <v>39</v>
      </c>
      <c r="F837" s="9">
        <v>225000</v>
      </c>
      <c r="G837" s="9" t="s">
        <v>1718</v>
      </c>
      <c r="H837" s="9">
        <f t="shared" si="27"/>
        <v>2021</v>
      </c>
      <c r="I837">
        <f t="shared" si="28"/>
        <v>6</v>
      </c>
    </row>
    <row r="838" spans="2:9" ht="16.5" x14ac:dyDescent="0.25">
      <c r="B838" s="9" t="s">
        <v>1719</v>
      </c>
      <c r="C838" s="9" t="s">
        <v>56</v>
      </c>
      <c r="D838" s="9" t="s">
        <v>37</v>
      </c>
      <c r="E838" s="9" t="s">
        <v>34</v>
      </c>
      <c r="F838" s="9">
        <v>159000</v>
      </c>
      <c r="G838" s="9" t="s">
        <v>1718</v>
      </c>
      <c r="H838" s="9">
        <f t="shared" si="27"/>
        <v>2021</v>
      </c>
      <c r="I838">
        <f t="shared" si="28"/>
        <v>6</v>
      </c>
    </row>
    <row r="839" spans="2:9" ht="16.5" x14ac:dyDescent="0.25">
      <c r="B839" s="9" t="s">
        <v>1720</v>
      </c>
      <c r="C839" s="9" t="s">
        <v>36</v>
      </c>
      <c r="D839" s="9" t="s">
        <v>36</v>
      </c>
      <c r="E839" s="9" t="s">
        <v>39</v>
      </c>
      <c r="F839" s="9">
        <v>295000</v>
      </c>
      <c r="G839" s="9" t="s">
        <v>1721</v>
      </c>
      <c r="H839" s="9">
        <f t="shared" si="27"/>
        <v>2021</v>
      </c>
      <c r="I839">
        <f t="shared" si="28"/>
        <v>6</v>
      </c>
    </row>
    <row r="840" spans="2:9" ht="16.5" x14ac:dyDescent="0.25">
      <c r="B840" s="9" t="s">
        <v>1722</v>
      </c>
      <c r="C840" s="9" t="s">
        <v>40</v>
      </c>
      <c r="D840" s="9" t="s">
        <v>35</v>
      </c>
      <c r="E840" s="9" t="s">
        <v>39</v>
      </c>
      <c r="F840" s="9">
        <v>49000</v>
      </c>
      <c r="G840" s="9" t="s">
        <v>1724</v>
      </c>
      <c r="H840" s="9">
        <f t="shared" si="27"/>
        <v>2021</v>
      </c>
      <c r="I840">
        <f t="shared" si="28"/>
        <v>6</v>
      </c>
    </row>
    <row r="841" spans="2:9" ht="16.5" x14ac:dyDescent="0.25">
      <c r="B841" s="9" t="s">
        <v>1725</v>
      </c>
      <c r="C841" s="9" t="s">
        <v>59</v>
      </c>
      <c r="D841" s="9" t="s">
        <v>40</v>
      </c>
      <c r="E841" s="9" t="s">
        <v>37</v>
      </c>
      <c r="F841" s="9">
        <v>217000</v>
      </c>
      <c r="G841" s="9" t="s">
        <v>1724</v>
      </c>
      <c r="H841" s="9">
        <f t="shared" si="27"/>
        <v>2021</v>
      </c>
      <c r="I841">
        <f t="shared" si="28"/>
        <v>6</v>
      </c>
    </row>
    <row r="842" spans="2:9" ht="16.5" x14ac:dyDescent="0.25">
      <c r="B842" s="9" t="s">
        <v>1726</v>
      </c>
      <c r="C842" s="9" t="s">
        <v>56</v>
      </c>
      <c r="D842" s="9" t="s">
        <v>36</v>
      </c>
      <c r="E842" s="9" t="s">
        <v>36</v>
      </c>
      <c r="F842" s="9">
        <v>92000</v>
      </c>
      <c r="G842" s="9" t="s">
        <v>1724</v>
      </c>
      <c r="H842" s="9">
        <f t="shared" si="27"/>
        <v>2021</v>
      </c>
      <c r="I842">
        <f t="shared" si="28"/>
        <v>6</v>
      </c>
    </row>
    <row r="843" spans="2:9" ht="16.5" x14ac:dyDescent="0.25">
      <c r="B843" s="9" t="s">
        <v>1727</v>
      </c>
      <c r="C843" s="9" t="s">
        <v>37</v>
      </c>
      <c r="D843" s="9" t="s">
        <v>34</v>
      </c>
      <c r="E843" s="9" t="s">
        <v>35</v>
      </c>
      <c r="F843" s="9">
        <v>118000</v>
      </c>
      <c r="G843" s="9" t="s">
        <v>1728</v>
      </c>
      <c r="H843" s="9">
        <f t="shared" si="27"/>
        <v>2021</v>
      </c>
      <c r="I843">
        <f t="shared" si="28"/>
        <v>6</v>
      </c>
    </row>
    <row r="844" spans="2:9" ht="16.5" x14ac:dyDescent="0.25">
      <c r="B844" s="9" t="s">
        <v>1729</v>
      </c>
      <c r="C844" s="9" t="s">
        <v>40</v>
      </c>
      <c r="D844" s="9" t="s">
        <v>37</v>
      </c>
      <c r="E844" s="9" t="s">
        <v>35</v>
      </c>
      <c r="F844" s="9">
        <v>36000</v>
      </c>
      <c r="G844" s="9" t="s">
        <v>1730</v>
      </c>
      <c r="H844" s="9">
        <f t="shared" si="27"/>
        <v>2021</v>
      </c>
      <c r="I844">
        <f t="shared" si="28"/>
        <v>7</v>
      </c>
    </row>
    <row r="845" spans="2:9" ht="16.5" x14ac:dyDescent="0.25">
      <c r="B845" s="9" t="s">
        <v>1731</v>
      </c>
      <c r="C845" s="9" t="s">
        <v>39</v>
      </c>
      <c r="D845" s="9" t="s">
        <v>35</v>
      </c>
      <c r="E845" s="9" t="s">
        <v>35</v>
      </c>
      <c r="F845" s="9">
        <v>92000</v>
      </c>
      <c r="G845" s="9" t="s">
        <v>1732</v>
      </c>
      <c r="H845" s="9">
        <f t="shared" si="27"/>
        <v>2021</v>
      </c>
      <c r="I845">
        <f t="shared" si="28"/>
        <v>7</v>
      </c>
    </row>
    <row r="846" spans="2:9" ht="16.5" x14ac:dyDescent="0.25">
      <c r="B846" s="9" t="s">
        <v>1733</v>
      </c>
      <c r="C846" s="9" t="s">
        <v>40</v>
      </c>
      <c r="D846" s="9" t="s">
        <v>36</v>
      </c>
      <c r="E846" s="9" t="s">
        <v>39</v>
      </c>
      <c r="F846" s="9">
        <v>148000</v>
      </c>
      <c r="G846" s="9" t="s">
        <v>1734</v>
      </c>
      <c r="H846" s="9">
        <f t="shared" si="27"/>
        <v>2021</v>
      </c>
      <c r="I846">
        <f t="shared" si="28"/>
        <v>7</v>
      </c>
    </row>
    <row r="847" spans="2:9" ht="16.5" x14ac:dyDescent="0.25">
      <c r="B847" s="9" t="s">
        <v>1735</v>
      </c>
      <c r="C847" s="9" t="s">
        <v>59</v>
      </c>
      <c r="D847" s="9" t="s">
        <v>34</v>
      </c>
      <c r="E847" s="9" t="s">
        <v>38</v>
      </c>
      <c r="F847" s="9">
        <v>199000</v>
      </c>
      <c r="G847" s="9" t="s">
        <v>1734</v>
      </c>
      <c r="H847" s="9">
        <f t="shared" si="27"/>
        <v>2021</v>
      </c>
      <c r="I847">
        <f t="shared" si="28"/>
        <v>7</v>
      </c>
    </row>
    <row r="848" spans="2:9" ht="16.5" x14ac:dyDescent="0.25">
      <c r="B848" s="9" t="s">
        <v>1736</v>
      </c>
      <c r="C848" s="9" t="s">
        <v>56</v>
      </c>
      <c r="D848" s="9" t="s">
        <v>39</v>
      </c>
      <c r="E848" s="9" t="s">
        <v>34</v>
      </c>
      <c r="F848" s="9">
        <v>101000</v>
      </c>
      <c r="G848" s="9" t="s">
        <v>1737</v>
      </c>
      <c r="H848" s="9">
        <f t="shared" si="27"/>
        <v>2021</v>
      </c>
      <c r="I848">
        <f t="shared" si="28"/>
        <v>7</v>
      </c>
    </row>
    <row r="849" spans="2:9" ht="16.5" x14ac:dyDescent="0.25">
      <c r="B849" s="9" t="s">
        <v>1738</v>
      </c>
      <c r="C849" s="9" t="s">
        <v>59</v>
      </c>
      <c r="D849" s="9" t="s">
        <v>36</v>
      </c>
      <c r="E849" s="9" t="s">
        <v>37</v>
      </c>
      <c r="F849" s="9">
        <v>55000</v>
      </c>
      <c r="G849" s="9" t="s">
        <v>1739</v>
      </c>
      <c r="H849" s="9">
        <f t="shared" si="27"/>
        <v>2021</v>
      </c>
      <c r="I849">
        <f t="shared" si="28"/>
        <v>7</v>
      </c>
    </row>
    <row r="850" spans="2:9" ht="16.5" x14ac:dyDescent="0.25">
      <c r="B850" s="9" t="s">
        <v>1740</v>
      </c>
      <c r="C850" s="9" t="s">
        <v>56</v>
      </c>
      <c r="D850" s="9" t="s">
        <v>35</v>
      </c>
      <c r="E850" s="9" t="s">
        <v>35</v>
      </c>
      <c r="F850" s="9">
        <v>273000</v>
      </c>
      <c r="G850" s="9" t="s">
        <v>1741</v>
      </c>
      <c r="H850" s="9">
        <f t="shared" si="27"/>
        <v>2021</v>
      </c>
      <c r="I850">
        <f t="shared" si="28"/>
        <v>7</v>
      </c>
    </row>
    <row r="851" spans="2:9" ht="16.5" x14ac:dyDescent="0.25">
      <c r="B851" s="9" t="s">
        <v>1742</v>
      </c>
      <c r="C851" s="9" t="s">
        <v>59</v>
      </c>
      <c r="D851" s="9" t="s">
        <v>37</v>
      </c>
      <c r="E851" s="9" t="s">
        <v>35</v>
      </c>
      <c r="F851" s="9">
        <v>57000</v>
      </c>
      <c r="G851" s="9" t="s">
        <v>1743</v>
      </c>
      <c r="H851" s="9">
        <f t="shared" si="27"/>
        <v>2021</v>
      </c>
      <c r="I851">
        <f t="shared" si="28"/>
        <v>7</v>
      </c>
    </row>
    <row r="852" spans="2:9" ht="16.5" x14ac:dyDescent="0.25">
      <c r="B852" s="9" t="s">
        <v>1744</v>
      </c>
      <c r="C852" s="9" t="s">
        <v>34</v>
      </c>
      <c r="D852" s="9" t="s">
        <v>40</v>
      </c>
      <c r="E852" s="9" t="s">
        <v>37</v>
      </c>
      <c r="F852" s="9">
        <v>52000</v>
      </c>
      <c r="G852" s="9" t="s">
        <v>1745</v>
      </c>
      <c r="H852" s="9">
        <f t="shared" si="27"/>
        <v>2021</v>
      </c>
      <c r="I852">
        <f t="shared" si="28"/>
        <v>7</v>
      </c>
    </row>
    <row r="853" spans="2:9" ht="16.5" x14ac:dyDescent="0.25">
      <c r="B853" s="9" t="s">
        <v>1746</v>
      </c>
      <c r="C853" s="9" t="s">
        <v>36</v>
      </c>
      <c r="D853" s="9" t="s">
        <v>34</v>
      </c>
      <c r="E853" s="9" t="s">
        <v>39</v>
      </c>
      <c r="F853" s="9">
        <v>204000</v>
      </c>
      <c r="G853" s="9" t="s">
        <v>1747</v>
      </c>
      <c r="H853" s="9">
        <f t="shared" si="27"/>
        <v>2021</v>
      </c>
      <c r="I853">
        <f t="shared" si="28"/>
        <v>7</v>
      </c>
    </row>
    <row r="854" spans="2:9" ht="16.5" x14ac:dyDescent="0.25">
      <c r="B854" s="9" t="s">
        <v>1748</v>
      </c>
      <c r="C854" s="9" t="s">
        <v>37</v>
      </c>
      <c r="D854" s="9" t="s">
        <v>38</v>
      </c>
      <c r="E854" s="9" t="s">
        <v>36</v>
      </c>
      <c r="F854" s="9">
        <v>281000</v>
      </c>
      <c r="G854" s="9" t="s">
        <v>1749</v>
      </c>
      <c r="H854" s="9">
        <f t="shared" si="27"/>
        <v>2021</v>
      </c>
      <c r="I854">
        <f t="shared" si="28"/>
        <v>7</v>
      </c>
    </row>
    <row r="855" spans="2:9" ht="16.5" x14ac:dyDescent="0.25">
      <c r="B855" s="9" t="s">
        <v>1750</v>
      </c>
      <c r="C855" s="9" t="s">
        <v>39</v>
      </c>
      <c r="D855" s="9" t="s">
        <v>38</v>
      </c>
      <c r="E855" s="9" t="s">
        <v>39</v>
      </c>
      <c r="F855" s="9">
        <v>131000</v>
      </c>
      <c r="G855" s="9" t="s">
        <v>1749</v>
      </c>
      <c r="H855" s="9">
        <f t="shared" si="27"/>
        <v>2021</v>
      </c>
      <c r="I855">
        <f t="shared" si="28"/>
        <v>7</v>
      </c>
    </row>
    <row r="856" spans="2:9" ht="16.5" x14ac:dyDescent="0.25">
      <c r="B856" s="9" t="s">
        <v>1751</v>
      </c>
      <c r="C856" s="9" t="s">
        <v>34</v>
      </c>
      <c r="D856" s="9" t="s">
        <v>35</v>
      </c>
      <c r="E856" s="9" t="s">
        <v>34</v>
      </c>
      <c r="F856" s="9">
        <v>260000</v>
      </c>
      <c r="G856" s="9" t="s">
        <v>1749</v>
      </c>
      <c r="H856" s="9">
        <f t="shared" si="27"/>
        <v>2021</v>
      </c>
      <c r="I856">
        <f t="shared" si="28"/>
        <v>7</v>
      </c>
    </row>
    <row r="857" spans="2:9" ht="16.5" x14ac:dyDescent="0.25">
      <c r="B857" s="9" t="s">
        <v>1752</v>
      </c>
      <c r="C857" s="9" t="s">
        <v>39</v>
      </c>
      <c r="D857" s="9" t="s">
        <v>36</v>
      </c>
      <c r="E857" s="9" t="s">
        <v>36</v>
      </c>
      <c r="F857" s="9">
        <v>162000</v>
      </c>
      <c r="G857" s="9" t="s">
        <v>1753</v>
      </c>
      <c r="H857" s="9">
        <f t="shared" si="27"/>
        <v>2021</v>
      </c>
      <c r="I857">
        <f t="shared" si="28"/>
        <v>7</v>
      </c>
    </row>
    <row r="858" spans="2:9" ht="16.5" x14ac:dyDescent="0.25">
      <c r="B858" s="9" t="s">
        <v>1754</v>
      </c>
      <c r="C858" s="9" t="s">
        <v>36</v>
      </c>
      <c r="D858" s="9" t="s">
        <v>39</v>
      </c>
      <c r="E858" s="9" t="s">
        <v>34</v>
      </c>
      <c r="F858" s="9">
        <v>243000</v>
      </c>
      <c r="G858" s="9" t="s">
        <v>1753</v>
      </c>
      <c r="H858" s="9">
        <f t="shared" si="27"/>
        <v>2021</v>
      </c>
      <c r="I858">
        <f t="shared" si="28"/>
        <v>7</v>
      </c>
    </row>
    <row r="859" spans="2:9" ht="16.5" x14ac:dyDescent="0.25">
      <c r="B859" s="9" t="s">
        <v>1755</v>
      </c>
      <c r="C859" s="9" t="s">
        <v>38</v>
      </c>
      <c r="D859" s="9" t="s">
        <v>36</v>
      </c>
      <c r="E859" s="9" t="s">
        <v>35</v>
      </c>
      <c r="F859" s="9">
        <v>219000</v>
      </c>
      <c r="G859" s="9" t="s">
        <v>1756</v>
      </c>
      <c r="H859" s="9">
        <f t="shared" si="27"/>
        <v>2021</v>
      </c>
      <c r="I859">
        <f t="shared" si="28"/>
        <v>7</v>
      </c>
    </row>
    <row r="860" spans="2:9" ht="16.5" x14ac:dyDescent="0.25">
      <c r="B860" s="9" t="s">
        <v>1757</v>
      </c>
      <c r="C860" s="9" t="s">
        <v>34</v>
      </c>
      <c r="D860" s="9" t="s">
        <v>36</v>
      </c>
      <c r="E860" s="9" t="s">
        <v>37</v>
      </c>
      <c r="F860" s="9">
        <v>99000</v>
      </c>
      <c r="G860" s="9" t="s">
        <v>1758</v>
      </c>
      <c r="H860" s="9">
        <f t="shared" si="27"/>
        <v>2021</v>
      </c>
      <c r="I860">
        <f t="shared" si="28"/>
        <v>7</v>
      </c>
    </row>
    <row r="861" spans="2:9" ht="16.5" x14ac:dyDescent="0.25">
      <c r="B861" s="9" t="s">
        <v>1759</v>
      </c>
      <c r="C861" s="9" t="s">
        <v>56</v>
      </c>
      <c r="D861" s="9" t="s">
        <v>36</v>
      </c>
      <c r="E861" s="9" t="s">
        <v>39</v>
      </c>
      <c r="F861" s="9">
        <v>299000</v>
      </c>
      <c r="G861" s="9" t="s">
        <v>1758</v>
      </c>
      <c r="H861" s="9">
        <f t="shared" si="27"/>
        <v>2021</v>
      </c>
      <c r="I861">
        <f t="shared" si="28"/>
        <v>7</v>
      </c>
    </row>
    <row r="862" spans="2:9" ht="16.5" x14ac:dyDescent="0.25">
      <c r="B862" s="9" t="s">
        <v>1760</v>
      </c>
      <c r="C862" s="9" t="s">
        <v>59</v>
      </c>
      <c r="D862" s="9" t="s">
        <v>36</v>
      </c>
      <c r="E862" s="9" t="s">
        <v>39</v>
      </c>
      <c r="F862" s="9">
        <v>292000</v>
      </c>
      <c r="G862" s="9" t="s">
        <v>1758</v>
      </c>
      <c r="H862" s="9">
        <f t="shared" si="27"/>
        <v>2021</v>
      </c>
      <c r="I862">
        <f t="shared" si="28"/>
        <v>7</v>
      </c>
    </row>
    <row r="863" spans="2:9" ht="16.5" x14ac:dyDescent="0.25">
      <c r="B863" s="9" t="s">
        <v>1762</v>
      </c>
      <c r="C863" s="9" t="s">
        <v>37</v>
      </c>
      <c r="D863" s="9" t="s">
        <v>35</v>
      </c>
      <c r="E863" s="9" t="s">
        <v>36</v>
      </c>
      <c r="F863" s="9">
        <v>163000</v>
      </c>
      <c r="G863" s="9" t="s">
        <v>1763</v>
      </c>
      <c r="H863" s="9">
        <f t="shared" si="27"/>
        <v>2021</v>
      </c>
      <c r="I863">
        <f t="shared" si="28"/>
        <v>7</v>
      </c>
    </row>
    <row r="864" spans="2:9" ht="16.5" x14ac:dyDescent="0.25">
      <c r="B864" s="9" t="s">
        <v>1764</v>
      </c>
      <c r="C864" s="9" t="s">
        <v>38</v>
      </c>
      <c r="D864" s="9" t="s">
        <v>37</v>
      </c>
      <c r="E864" s="9" t="s">
        <v>34</v>
      </c>
      <c r="F864" s="9">
        <v>240000</v>
      </c>
      <c r="G864" s="9" t="s">
        <v>1765</v>
      </c>
      <c r="H864" s="9">
        <f t="shared" si="27"/>
        <v>2021</v>
      </c>
      <c r="I864">
        <f t="shared" si="28"/>
        <v>7</v>
      </c>
    </row>
    <row r="865" spans="2:9" ht="16.5" x14ac:dyDescent="0.25">
      <c r="B865" s="9" t="s">
        <v>1766</v>
      </c>
      <c r="C865" s="9" t="s">
        <v>36</v>
      </c>
      <c r="D865" s="9" t="s">
        <v>37</v>
      </c>
      <c r="E865" s="9" t="s">
        <v>38</v>
      </c>
      <c r="F865" s="9">
        <v>232000</v>
      </c>
      <c r="G865" s="9" t="s">
        <v>1767</v>
      </c>
      <c r="H865" s="9">
        <f t="shared" si="27"/>
        <v>2021</v>
      </c>
      <c r="I865">
        <f t="shared" si="28"/>
        <v>7</v>
      </c>
    </row>
    <row r="866" spans="2:9" ht="16.5" x14ac:dyDescent="0.25">
      <c r="B866" s="9" t="s">
        <v>1768</v>
      </c>
      <c r="C866" s="9" t="s">
        <v>38</v>
      </c>
      <c r="D866" s="9" t="s">
        <v>40</v>
      </c>
      <c r="E866" s="9" t="s">
        <v>38</v>
      </c>
      <c r="F866" s="9">
        <v>187000</v>
      </c>
      <c r="G866" s="9" t="s">
        <v>1769</v>
      </c>
      <c r="H866" s="9">
        <f t="shared" si="27"/>
        <v>2021</v>
      </c>
      <c r="I866">
        <f t="shared" si="28"/>
        <v>8</v>
      </c>
    </row>
    <row r="867" spans="2:9" ht="16.5" x14ac:dyDescent="0.25">
      <c r="B867" s="9" t="s">
        <v>1770</v>
      </c>
      <c r="C867" s="9" t="s">
        <v>39</v>
      </c>
      <c r="D867" s="9" t="s">
        <v>38</v>
      </c>
      <c r="E867" s="9" t="s">
        <v>37</v>
      </c>
      <c r="F867" s="9">
        <v>40000</v>
      </c>
      <c r="G867" s="9" t="s">
        <v>1769</v>
      </c>
      <c r="H867" s="9">
        <f t="shared" si="27"/>
        <v>2021</v>
      </c>
      <c r="I867">
        <f t="shared" si="28"/>
        <v>8</v>
      </c>
    </row>
    <row r="868" spans="2:9" ht="16.5" x14ac:dyDescent="0.25">
      <c r="B868" s="9" t="s">
        <v>1771</v>
      </c>
      <c r="C868" s="9" t="s">
        <v>36</v>
      </c>
      <c r="D868" s="9" t="s">
        <v>38</v>
      </c>
      <c r="E868" s="9" t="s">
        <v>35</v>
      </c>
      <c r="F868" s="9">
        <v>57000</v>
      </c>
      <c r="G868" s="9" t="s">
        <v>1772</v>
      </c>
      <c r="H868" s="9">
        <f t="shared" si="27"/>
        <v>2021</v>
      </c>
      <c r="I868">
        <f t="shared" si="28"/>
        <v>8</v>
      </c>
    </row>
    <row r="869" spans="2:9" ht="16.5" x14ac:dyDescent="0.25">
      <c r="B869" s="9" t="s">
        <v>1773</v>
      </c>
      <c r="C869" s="9" t="s">
        <v>59</v>
      </c>
      <c r="D869" s="9" t="s">
        <v>40</v>
      </c>
      <c r="E869" s="9" t="s">
        <v>35</v>
      </c>
      <c r="F869" s="9">
        <v>63000</v>
      </c>
      <c r="G869" s="9" t="s">
        <v>1772</v>
      </c>
      <c r="H869" s="9">
        <f t="shared" si="27"/>
        <v>2021</v>
      </c>
      <c r="I869">
        <f t="shared" si="28"/>
        <v>8</v>
      </c>
    </row>
    <row r="870" spans="2:9" ht="16.5" x14ac:dyDescent="0.25">
      <c r="B870" s="9" t="s">
        <v>1774</v>
      </c>
      <c r="C870" s="9" t="s">
        <v>38</v>
      </c>
      <c r="D870" s="9" t="s">
        <v>36</v>
      </c>
      <c r="E870" s="9" t="s">
        <v>39</v>
      </c>
      <c r="F870" s="9">
        <v>212000</v>
      </c>
      <c r="G870" s="9" t="s">
        <v>1775</v>
      </c>
      <c r="H870" s="9">
        <f t="shared" si="27"/>
        <v>2021</v>
      </c>
      <c r="I870">
        <f t="shared" si="28"/>
        <v>8</v>
      </c>
    </row>
    <row r="871" spans="2:9" ht="16.5" x14ac:dyDescent="0.25">
      <c r="B871" s="9" t="s">
        <v>1776</v>
      </c>
      <c r="C871" s="9" t="s">
        <v>56</v>
      </c>
      <c r="D871" s="9" t="s">
        <v>35</v>
      </c>
      <c r="E871" s="9" t="s">
        <v>36</v>
      </c>
      <c r="F871" s="9">
        <v>37000</v>
      </c>
      <c r="G871" s="9" t="s">
        <v>1777</v>
      </c>
      <c r="H871" s="9">
        <f t="shared" si="27"/>
        <v>2021</v>
      </c>
      <c r="I871">
        <f t="shared" si="28"/>
        <v>8</v>
      </c>
    </row>
    <row r="872" spans="2:9" ht="16.5" x14ac:dyDescent="0.25">
      <c r="B872" s="9" t="s">
        <v>1778</v>
      </c>
      <c r="C872" s="9" t="s">
        <v>37</v>
      </c>
      <c r="D872" s="9" t="s">
        <v>37</v>
      </c>
      <c r="E872" s="9" t="s">
        <v>36</v>
      </c>
      <c r="F872" s="9">
        <v>53000</v>
      </c>
      <c r="G872" s="9" t="s">
        <v>1779</v>
      </c>
      <c r="H872" s="9">
        <f t="shared" si="27"/>
        <v>2021</v>
      </c>
      <c r="I872">
        <f t="shared" si="28"/>
        <v>8</v>
      </c>
    </row>
    <row r="873" spans="2:9" ht="16.5" x14ac:dyDescent="0.25">
      <c r="B873" s="9" t="s">
        <v>1780</v>
      </c>
      <c r="C873" s="9" t="s">
        <v>36</v>
      </c>
      <c r="D873" s="9" t="s">
        <v>38</v>
      </c>
      <c r="E873" s="9" t="s">
        <v>35</v>
      </c>
      <c r="F873" s="9">
        <v>32000</v>
      </c>
      <c r="G873" s="9" t="s">
        <v>1779</v>
      </c>
      <c r="H873" s="9">
        <f t="shared" si="27"/>
        <v>2021</v>
      </c>
      <c r="I873">
        <f t="shared" si="28"/>
        <v>8</v>
      </c>
    </row>
    <row r="874" spans="2:9" ht="16.5" x14ac:dyDescent="0.25">
      <c r="B874" s="9" t="s">
        <v>1781</v>
      </c>
      <c r="C874" s="9" t="s">
        <v>56</v>
      </c>
      <c r="D874" s="9" t="s">
        <v>38</v>
      </c>
      <c r="E874" s="9" t="s">
        <v>39</v>
      </c>
      <c r="F874" s="9">
        <v>109000</v>
      </c>
      <c r="G874" s="9" t="s">
        <v>1782</v>
      </c>
      <c r="H874" s="9">
        <f t="shared" si="27"/>
        <v>2021</v>
      </c>
      <c r="I874">
        <f t="shared" si="28"/>
        <v>8</v>
      </c>
    </row>
    <row r="875" spans="2:9" ht="16.5" x14ac:dyDescent="0.25">
      <c r="B875" s="9" t="s">
        <v>1783</v>
      </c>
      <c r="C875" s="9" t="s">
        <v>38</v>
      </c>
      <c r="D875" s="9" t="s">
        <v>39</v>
      </c>
      <c r="E875" s="9" t="s">
        <v>37</v>
      </c>
      <c r="F875" s="9">
        <v>292000</v>
      </c>
      <c r="G875" s="9" t="s">
        <v>1782</v>
      </c>
      <c r="H875" s="9">
        <f t="shared" si="27"/>
        <v>2021</v>
      </c>
      <c r="I875">
        <f t="shared" si="28"/>
        <v>8</v>
      </c>
    </row>
    <row r="876" spans="2:9" ht="16.5" x14ac:dyDescent="0.25">
      <c r="B876" s="9" t="s">
        <v>1784</v>
      </c>
      <c r="C876" s="9" t="s">
        <v>40</v>
      </c>
      <c r="D876" s="9" t="s">
        <v>39</v>
      </c>
      <c r="E876" s="9" t="s">
        <v>38</v>
      </c>
      <c r="F876" s="9">
        <v>202000</v>
      </c>
      <c r="G876" s="9" t="s">
        <v>1782</v>
      </c>
      <c r="H876" s="9">
        <f t="shared" si="27"/>
        <v>2021</v>
      </c>
      <c r="I876">
        <f t="shared" si="28"/>
        <v>8</v>
      </c>
    </row>
    <row r="877" spans="2:9" ht="16.5" x14ac:dyDescent="0.25">
      <c r="B877" s="9" t="s">
        <v>1785</v>
      </c>
      <c r="C877" s="9" t="s">
        <v>38</v>
      </c>
      <c r="D877" s="9" t="s">
        <v>35</v>
      </c>
      <c r="E877" s="9" t="s">
        <v>36</v>
      </c>
      <c r="F877" s="9">
        <v>101000</v>
      </c>
      <c r="G877" s="9" t="s">
        <v>1786</v>
      </c>
      <c r="H877" s="9">
        <f t="shared" si="27"/>
        <v>2021</v>
      </c>
      <c r="I877">
        <f t="shared" si="28"/>
        <v>8</v>
      </c>
    </row>
    <row r="878" spans="2:9" ht="16.5" x14ac:dyDescent="0.25">
      <c r="B878" s="9" t="s">
        <v>1787</v>
      </c>
      <c r="C878" s="9" t="s">
        <v>59</v>
      </c>
      <c r="D878" s="9" t="s">
        <v>37</v>
      </c>
      <c r="E878" s="9" t="s">
        <v>34</v>
      </c>
      <c r="F878" s="9">
        <v>114000</v>
      </c>
      <c r="G878" s="9" t="s">
        <v>1788</v>
      </c>
      <c r="H878" s="9">
        <f t="shared" si="27"/>
        <v>2021</v>
      </c>
      <c r="I878">
        <f t="shared" si="28"/>
        <v>8</v>
      </c>
    </row>
    <row r="879" spans="2:9" ht="16.5" x14ac:dyDescent="0.25">
      <c r="B879" s="9" t="s">
        <v>1789</v>
      </c>
      <c r="C879" s="9" t="s">
        <v>36</v>
      </c>
      <c r="D879" s="9" t="s">
        <v>39</v>
      </c>
      <c r="E879" s="9" t="s">
        <v>34</v>
      </c>
      <c r="F879" s="9">
        <v>205000</v>
      </c>
      <c r="G879" s="9" t="s">
        <v>1790</v>
      </c>
      <c r="H879" s="9">
        <f t="shared" si="27"/>
        <v>2021</v>
      </c>
      <c r="I879">
        <f t="shared" si="28"/>
        <v>8</v>
      </c>
    </row>
    <row r="880" spans="2:9" ht="16.5" x14ac:dyDescent="0.25">
      <c r="B880" s="9" t="s">
        <v>1791</v>
      </c>
      <c r="C880" s="9" t="s">
        <v>37</v>
      </c>
      <c r="D880" s="9" t="s">
        <v>34</v>
      </c>
      <c r="E880" s="9" t="s">
        <v>38</v>
      </c>
      <c r="F880" s="9">
        <v>279000</v>
      </c>
      <c r="G880" s="9" t="s">
        <v>1792</v>
      </c>
      <c r="H880" s="9">
        <f t="shared" si="27"/>
        <v>2021</v>
      </c>
      <c r="I880">
        <f t="shared" si="28"/>
        <v>8</v>
      </c>
    </row>
    <row r="881" spans="2:9" ht="16.5" x14ac:dyDescent="0.25">
      <c r="B881" s="9" t="s">
        <v>1793</v>
      </c>
      <c r="C881" s="9" t="s">
        <v>36</v>
      </c>
      <c r="D881" s="9" t="s">
        <v>38</v>
      </c>
      <c r="E881" s="9" t="s">
        <v>34</v>
      </c>
      <c r="F881" s="9">
        <v>231000</v>
      </c>
      <c r="G881" s="9" t="s">
        <v>1794</v>
      </c>
      <c r="H881" s="9">
        <f t="shared" si="27"/>
        <v>2021</v>
      </c>
      <c r="I881">
        <f t="shared" si="28"/>
        <v>8</v>
      </c>
    </row>
    <row r="882" spans="2:9" ht="16.5" x14ac:dyDescent="0.25">
      <c r="B882" s="9" t="s">
        <v>1795</v>
      </c>
      <c r="C882" s="9" t="s">
        <v>59</v>
      </c>
      <c r="D882" s="9" t="s">
        <v>35</v>
      </c>
      <c r="E882" s="9" t="s">
        <v>35</v>
      </c>
      <c r="F882" s="9">
        <v>299000</v>
      </c>
      <c r="G882" s="9" t="s">
        <v>1794</v>
      </c>
      <c r="H882" s="9">
        <f t="shared" si="27"/>
        <v>2021</v>
      </c>
      <c r="I882">
        <f t="shared" si="28"/>
        <v>8</v>
      </c>
    </row>
    <row r="883" spans="2:9" ht="16.5" x14ac:dyDescent="0.25">
      <c r="B883" s="9" t="s">
        <v>1796</v>
      </c>
      <c r="C883" s="9" t="s">
        <v>56</v>
      </c>
      <c r="D883" s="9" t="s">
        <v>39</v>
      </c>
      <c r="E883" s="9" t="s">
        <v>38</v>
      </c>
      <c r="F883" s="9">
        <v>290000</v>
      </c>
      <c r="G883" s="9" t="s">
        <v>1794</v>
      </c>
      <c r="H883" s="9">
        <f t="shared" si="27"/>
        <v>2021</v>
      </c>
      <c r="I883">
        <f t="shared" si="28"/>
        <v>8</v>
      </c>
    </row>
    <row r="884" spans="2:9" ht="16.5" x14ac:dyDescent="0.25">
      <c r="B884" s="9" t="s">
        <v>1797</v>
      </c>
      <c r="C884" s="9" t="s">
        <v>40</v>
      </c>
      <c r="D884" s="9" t="s">
        <v>39</v>
      </c>
      <c r="E884" s="9" t="s">
        <v>34</v>
      </c>
      <c r="F884" s="9">
        <v>36000</v>
      </c>
      <c r="G884" s="9" t="s">
        <v>1798</v>
      </c>
      <c r="H884" s="9">
        <f t="shared" si="27"/>
        <v>2021</v>
      </c>
      <c r="I884">
        <f t="shared" si="28"/>
        <v>8</v>
      </c>
    </row>
    <row r="885" spans="2:9" ht="16.5" x14ac:dyDescent="0.25">
      <c r="B885" s="9" t="s">
        <v>1799</v>
      </c>
      <c r="C885" s="9" t="s">
        <v>36</v>
      </c>
      <c r="D885" s="9" t="s">
        <v>38</v>
      </c>
      <c r="E885" s="9" t="s">
        <v>35</v>
      </c>
      <c r="F885" s="9">
        <v>185000</v>
      </c>
      <c r="G885" s="9" t="s">
        <v>1798</v>
      </c>
      <c r="H885" s="9">
        <f t="shared" si="27"/>
        <v>2021</v>
      </c>
      <c r="I885">
        <f t="shared" si="28"/>
        <v>8</v>
      </c>
    </row>
    <row r="886" spans="2:9" ht="16.5" x14ac:dyDescent="0.25">
      <c r="B886" s="9" t="s">
        <v>1800</v>
      </c>
      <c r="C886" s="9" t="s">
        <v>40</v>
      </c>
      <c r="D886" s="9" t="s">
        <v>34</v>
      </c>
      <c r="E886" s="9" t="s">
        <v>39</v>
      </c>
      <c r="F886" s="9">
        <v>227000</v>
      </c>
      <c r="G886" s="9" t="s">
        <v>1801</v>
      </c>
      <c r="H886" s="9">
        <f t="shared" si="27"/>
        <v>2021</v>
      </c>
      <c r="I886">
        <f t="shared" si="28"/>
        <v>8</v>
      </c>
    </row>
    <row r="887" spans="2:9" ht="16.5" x14ac:dyDescent="0.25">
      <c r="B887" s="9" t="s">
        <v>1802</v>
      </c>
      <c r="C887" s="9" t="s">
        <v>39</v>
      </c>
      <c r="D887" s="9" t="s">
        <v>38</v>
      </c>
      <c r="E887" s="9" t="s">
        <v>34</v>
      </c>
      <c r="F887" s="9">
        <v>237000</v>
      </c>
      <c r="G887" s="9" t="s">
        <v>1801</v>
      </c>
      <c r="H887" s="9">
        <f t="shared" si="27"/>
        <v>2021</v>
      </c>
      <c r="I887">
        <f t="shared" si="28"/>
        <v>8</v>
      </c>
    </row>
    <row r="888" spans="2:9" ht="16.5" x14ac:dyDescent="0.25">
      <c r="B888" s="9" t="s">
        <v>1803</v>
      </c>
      <c r="C888" s="9" t="s">
        <v>39</v>
      </c>
      <c r="D888" s="9" t="s">
        <v>39</v>
      </c>
      <c r="E888" s="9" t="s">
        <v>36</v>
      </c>
      <c r="F888" s="9">
        <v>119000</v>
      </c>
      <c r="G888" s="9" t="s">
        <v>1801</v>
      </c>
      <c r="H888" s="9">
        <f t="shared" si="27"/>
        <v>2021</v>
      </c>
      <c r="I888">
        <f t="shared" si="28"/>
        <v>8</v>
      </c>
    </row>
    <row r="889" spans="2:9" ht="16.5" x14ac:dyDescent="0.25">
      <c r="B889" s="9" t="s">
        <v>1804</v>
      </c>
      <c r="C889" s="9" t="s">
        <v>40</v>
      </c>
      <c r="D889" s="9" t="s">
        <v>40</v>
      </c>
      <c r="E889" s="9" t="s">
        <v>39</v>
      </c>
      <c r="F889" s="9">
        <v>220000</v>
      </c>
      <c r="G889" s="9" t="s">
        <v>1805</v>
      </c>
      <c r="H889" s="9">
        <f t="shared" si="27"/>
        <v>2021</v>
      </c>
      <c r="I889">
        <f t="shared" si="28"/>
        <v>8</v>
      </c>
    </row>
    <row r="890" spans="2:9" ht="16.5" x14ac:dyDescent="0.25">
      <c r="B890" s="9" t="s">
        <v>1806</v>
      </c>
      <c r="C890" s="9" t="s">
        <v>40</v>
      </c>
      <c r="D890" s="9" t="s">
        <v>34</v>
      </c>
      <c r="E890" s="9" t="s">
        <v>36</v>
      </c>
      <c r="F890" s="9">
        <v>207000</v>
      </c>
      <c r="G890" s="9" t="s">
        <v>1807</v>
      </c>
      <c r="H890" s="9">
        <f t="shared" si="27"/>
        <v>2021</v>
      </c>
      <c r="I890">
        <f t="shared" si="28"/>
        <v>8</v>
      </c>
    </row>
    <row r="891" spans="2:9" ht="16.5" x14ac:dyDescent="0.25">
      <c r="B891" s="9" t="s">
        <v>1808</v>
      </c>
      <c r="C891" s="9" t="s">
        <v>34</v>
      </c>
      <c r="D891" s="9" t="s">
        <v>39</v>
      </c>
      <c r="E891" s="9" t="s">
        <v>39</v>
      </c>
      <c r="F891" s="9">
        <v>109000</v>
      </c>
      <c r="G891" s="9" t="s">
        <v>1807</v>
      </c>
      <c r="H891" s="9">
        <f t="shared" si="27"/>
        <v>2021</v>
      </c>
      <c r="I891">
        <f t="shared" si="28"/>
        <v>8</v>
      </c>
    </row>
    <row r="892" spans="2:9" ht="16.5" x14ac:dyDescent="0.25">
      <c r="B892" s="9" t="s">
        <v>1809</v>
      </c>
      <c r="C892" s="9" t="s">
        <v>35</v>
      </c>
      <c r="D892" s="9" t="s">
        <v>34</v>
      </c>
      <c r="E892" s="9" t="s">
        <v>37</v>
      </c>
      <c r="F892" s="9">
        <v>79000</v>
      </c>
      <c r="G892" s="9" t="s">
        <v>1810</v>
      </c>
      <c r="H892" s="9">
        <f t="shared" si="27"/>
        <v>2021</v>
      </c>
      <c r="I892">
        <f t="shared" si="28"/>
        <v>8</v>
      </c>
    </row>
    <row r="893" spans="2:9" ht="16.5" x14ac:dyDescent="0.25">
      <c r="B893" s="9" t="s">
        <v>1811</v>
      </c>
      <c r="C893" s="9" t="s">
        <v>37</v>
      </c>
      <c r="D893" s="9" t="s">
        <v>35</v>
      </c>
      <c r="E893" s="9" t="s">
        <v>38</v>
      </c>
      <c r="F893" s="9">
        <v>49000</v>
      </c>
      <c r="G893" s="9" t="s">
        <v>1810</v>
      </c>
      <c r="H893" s="9">
        <f t="shared" si="27"/>
        <v>2021</v>
      </c>
      <c r="I893">
        <f t="shared" si="28"/>
        <v>8</v>
      </c>
    </row>
    <row r="894" spans="2:9" ht="16.5" x14ac:dyDescent="0.25">
      <c r="B894" s="9" t="s">
        <v>1812</v>
      </c>
      <c r="C894" s="9" t="s">
        <v>39</v>
      </c>
      <c r="D894" s="9" t="s">
        <v>38</v>
      </c>
      <c r="E894" s="9" t="s">
        <v>36</v>
      </c>
      <c r="F894" s="9">
        <v>139000</v>
      </c>
      <c r="G894" s="9" t="s">
        <v>1810</v>
      </c>
      <c r="H894" s="9">
        <f t="shared" si="27"/>
        <v>2021</v>
      </c>
      <c r="I894">
        <f t="shared" si="28"/>
        <v>8</v>
      </c>
    </row>
    <row r="895" spans="2:9" ht="16.5" x14ac:dyDescent="0.25">
      <c r="B895" s="9" t="s">
        <v>1813</v>
      </c>
      <c r="C895" s="9" t="s">
        <v>34</v>
      </c>
      <c r="D895" s="9" t="s">
        <v>38</v>
      </c>
      <c r="E895" s="9" t="s">
        <v>35</v>
      </c>
      <c r="F895" s="9">
        <v>241000</v>
      </c>
      <c r="G895" s="9" t="s">
        <v>1814</v>
      </c>
      <c r="H895" s="9">
        <f t="shared" si="27"/>
        <v>2021</v>
      </c>
      <c r="I895">
        <f t="shared" si="28"/>
        <v>8</v>
      </c>
    </row>
    <row r="896" spans="2:9" ht="16.5" x14ac:dyDescent="0.25">
      <c r="B896" s="9" t="s">
        <v>1815</v>
      </c>
      <c r="C896" s="9" t="s">
        <v>37</v>
      </c>
      <c r="D896" s="9" t="s">
        <v>37</v>
      </c>
      <c r="E896" s="9" t="s">
        <v>34</v>
      </c>
      <c r="F896" s="9">
        <v>68000</v>
      </c>
      <c r="G896" s="9" t="s">
        <v>1814</v>
      </c>
      <c r="H896" s="9">
        <f t="shared" si="27"/>
        <v>2021</v>
      </c>
      <c r="I896">
        <f t="shared" si="28"/>
        <v>8</v>
      </c>
    </row>
    <row r="897" spans="2:9" ht="16.5" x14ac:dyDescent="0.25">
      <c r="B897" s="9" t="s">
        <v>1816</v>
      </c>
      <c r="C897" s="9" t="s">
        <v>38</v>
      </c>
      <c r="D897" s="9" t="s">
        <v>38</v>
      </c>
      <c r="E897" s="9" t="s">
        <v>37</v>
      </c>
      <c r="F897" s="9">
        <v>193000</v>
      </c>
      <c r="G897" s="9" t="s">
        <v>1814</v>
      </c>
      <c r="H897" s="9">
        <f t="shared" si="27"/>
        <v>2021</v>
      </c>
      <c r="I897">
        <f t="shared" si="28"/>
        <v>8</v>
      </c>
    </row>
    <row r="898" spans="2:9" ht="16.5" x14ac:dyDescent="0.25">
      <c r="B898" s="9" t="s">
        <v>1817</v>
      </c>
      <c r="C898" s="9" t="s">
        <v>36</v>
      </c>
      <c r="D898" s="9" t="s">
        <v>34</v>
      </c>
      <c r="E898" s="9" t="s">
        <v>38</v>
      </c>
      <c r="F898" s="9">
        <v>96000</v>
      </c>
      <c r="G898" s="9" t="s">
        <v>1818</v>
      </c>
      <c r="H898" s="9">
        <f t="shared" si="27"/>
        <v>2021</v>
      </c>
      <c r="I898">
        <f t="shared" si="28"/>
        <v>8</v>
      </c>
    </row>
    <row r="899" spans="2:9" ht="16.5" x14ac:dyDescent="0.25">
      <c r="B899" s="9" t="s">
        <v>1819</v>
      </c>
      <c r="C899" s="9" t="s">
        <v>39</v>
      </c>
      <c r="D899" s="9" t="s">
        <v>37</v>
      </c>
      <c r="E899" s="9" t="s">
        <v>38</v>
      </c>
      <c r="F899" s="9">
        <v>252000</v>
      </c>
      <c r="G899" s="9" t="s">
        <v>1818</v>
      </c>
      <c r="H899" s="9">
        <f t="shared" ref="H899:H962" si="29">YEAR(G899)</f>
        <v>2021</v>
      </c>
      <c r="I899">
        <f t="shared" ref="I899:I962" si="30">MONTH(G899)</f>
        <v>8</v>
      </c>
    </row>
    <row r="900" spans="2:9" ht="16.5" x14ac:dyDescent="0.25">
      <c r="B900" s="9" t="s">
        <v>1820</v>
      </c>
      <c r="C900" s="9" t="s">
        <v>38</v>
      </c>
      <c r="D900" s="9" t="s">
        <v>37</v>
      </c>
      <c r="E900" s="9" t="s">
        <v>36</v>
      </c>
      <c r="F900" s="9">
        <v>108000</v>
      </c>
      <c r="G900" s="9" t="s">
        <v>1818</v>
      </c>
      <c r="H900" s="9">
        <f t="shared" si="29"/>
        <v>2021</v>
      </c>
      <c r="I900">
        <f t="shared" si="30"/>
        <v>8</v>
      </c>
    </row>
    <row r="901" spans="2:9" ht="16.5" x14ac:dyDescent="0.25">
      <c r="B901" s="9" t="s">
        <v>1821</v>
      </c>
      <c r="C901" s="9" t="s">
        <v>56</v>
      </c>
      <c r="D901" s="9" t="s">
        <v>36</v>
      </c>
      <c r="E901" s="9" t="s">
        <v>34</v>
      </c>
      <c r="F901" s="9">
        <v>274000</v>
      </c>
      <c r="G901" s="9" t="s">
        <v>1822</v>
      </c>
      <c r="H901" s="9">
        <f t="shared" si="29"/>
        <v>2021</v>
      </c>
      <c r="I901">
        <f t="shared" si="30"/>
        <v>8</v>
      </c>
    </row>
    <row r="902" spans="2:9" ht="16.5" x14ac:dyDescent="0.25">
      <c r="B902" s="9" t="s">
        <v>1823</v>
      </c>
      <c r="C902" s="9" t="s">
        <v>56</v>
      </c>
      <c r="D902" s="9" t="s">
        <v>34</v>
      </c>
      <c r="E902" s="9" t="s">
        <v>37</v>
      </c>
      <c r="F902" s="9">
        <v>184000</v>
      </c>
      <c r="G902" s="9" t="s">
        <v>1824</v>
      </c>
      <c r="H902" s="9">
        <f t="shared" si="29"/>
        <v>2021</v>
      </c>
      <c r="I902">
        <f t="shared" si="30"/>
        <v>8</v>
      </c>
    </row>
    <row r="903" spans="2:9" ht="16.5" x14ac:dyDescent="0.25">
      <c r="B903" s="9" t="s">
        <v>1825</v>
      </c>
      <c r="C903" s="9" t="s">
        <v>59</v>
      </c>
      <c r="D903" s="9" t="s">
        <v>34</v>
      </c>
      <c r="E903" s="9" t="s">
        <v>34</v>
      </c>
      <c r="F903" s="9">
        <v>193000</v>
      </c>
      <c r="G903" s="9" t="s">
        <v>1824</v>
      </c>
      <c r="H903" s="9">
        <f t="shared" si="29"/>
        <v>2021</v>
      </c>
      <c r="I903">
        <f t="shared" si="30"/>
        <v>8</v>
      </c>
    </row>
    <row r="904" spans="2:9" ht="16.5" x14ac:dyDescent="0.25">
      <c r="B904" s="9" t="s">
        <v>1826</v>
      </c>
      <c r="C904" s="9" t="s">
        <v>39</v>
      </c>
      <c r="D904" s="9" t="s">
        <v>37</v>
      </c>
      <c r="E904" s="9" t="s">
        <v>38</v>
      </c>
      <c r="F904" s="9">
        <v>240000</v>
      </c>
      <c r="G904" s="9" t="s">
        <v>1827</v>
      </c>
      <c r="H904" s="9">
        <f t="shared" si="29"/>
        <v>2021</v>
      </c>
      <c r="I904">
        <f t="shared" si="30"/>
        <v>8</v>
      </c>
    </row>
    <row r="905" spans="2:9" ht="16.5" x14ac:dyDescent="0.25">
      <c r="B905" s="9" t="s">
        <v>1828</v>
      </c>
      <c r="C905" s="9" t="s">
        <v>56</v>
      </c>
      <c r="D905" s="9" t="s">
        <v>35</v>
      </c>
      <c r="E905" s="9" t="s">
        <v>35</v>
      </c>
      <c r="F905" s="9">
        <v>213000</v>
      </c>
      <c r="G905" s="9" t="s">
        <v>1829</v>
      </c>
      <c r="H905" s="9">
        <f t="shared" si="29"/>
        <v>2021</v>
      </c>
      <c r="I905">
        <f t="shared" si="30"/>
        <v>8</v>
      </c>
    </row>
    <row r="906" spans="2:9" ht="16.5" x14ac:dyDescent="0.25">
      <c r="B906" s="9" t="s">
        <v>1830</v>
      </c>
      <c r="C906" s="9" t="s">
        <v>40</v>
      </c>
      <c r="D906" s="9" t="s">
        <v>35</v>
      </c>
      <c r="E906" s="9" t="s">
        <v>38</v>
      </c>
      <c r="F906" s="9">
        <v>237000</v>
      </c>
      <c r="G906" s="9" t="s">
        <v>1831</v>
      </c>
      <c r="H906" s="9">
        <f t="shared" si="29"/>
        <v>2021</v>
      </c>
      <c r="I906">
        <f t="shared" si="30"/>
        <v>8</v>
      </c>
    </row>
    <row r="907" spans="2:9" ht="16.5" x14ac:dyDescent="0.25">
      <c r="B907" s="9" t="s">
        <v>1832</v>
      </c>
      <c r="C907" s="9" t="s">
        <v>35</v>
      </c>
      <c r="D907" s="9" t="s">
        <v>37</v>
      </c>
      <c r="E907" s="9" t="s">
        <v>37</v>
      </c>
      <c r="F907" s="9">
        <v>189000</v>
      </c>
      <c r="G907" s="9" t="s">
        <v>1833</v>
      </c>
      <c r="H907" s="9">
        <f t="shared" si="29"/>
        <v>2021</v>
      </c>
      <c r="I907">
        <f t="shared" si="30"/>
        <v>9</v>
      </c>
    </row>
    <row r="908" spans="2:9" ht="16.5" x14ac:dyDescent="0.25">
      <c r="B908" s="9" t="s">
        <v>1834</v>
      </c>
      <c r="C908" s="9" t="s">
        <v>56</v>
      </c>
      <c r="D908" s="9" t="s">
        <v>36</v>
      </c>
      <c r="E908" s="9" t="s">
        <v>36</v>
      </c>
      <c r="F908" s="9">
        <v>232000</v>
      </c>
      <c r="G908" s="9" t="s">
        <v>1835</v>
      </c>
      <c r="H908" s="9">
        <f t="shared" si="29"/>
        <v>2021</v>
      </c>
      <c r="I908">
        <f t="shared" si="30"/>
        <v>9</v>
      </c>
    </row>
    <row r="909" spans="2:9" ht="16.5" x14ac:dyDescent="0.25">
      <c r="B909" s="9" t="s">
        <v>1836</v>
      </c>
      <c r="C909" s="9" t="s">
        <v>56</v>
      </c>
      <c r="D909" s="9" t="s">
        <v>36</v>
      </c>
      <c r="E909" s="9" t="s">
        <v>39</v>
      </c>
      <c r="F909" s="9">
        <v>82000</v>
      </c>
      <c r="G909" s="9" t="s">
        <v>1835</v>
      </c>
      <c r="H909" s="9">
        <f t="shared" si="29"/>
        <v>2021</v>
      </c>
      <c r="I909">
        <f t="shared" si="30"/>
        <v>9</v>
      </c>
    </row>
    <row r="910" spans="2:9" ht="16.5" x14ac:dyDescent="0.25">
      <c r="B910" s="9" t="s">
        <v>1837</v>
      </c>
      <c r="C910" s="9" t="s">
        <v>35</v>
      </c>
      <c r="D910" s="9" t="s">
        <v>40</v>
      </c>
      <c r="E910" s="9" t="s">
        <v>36</v>
      </c>
      <c r="F910" s="9">
        <v>300000</v>
      </c>
      <c r="G910" s="9" t="s">
        <v>1835</v>
      </c>
      <c r="H910" s="9">
        <f t="shared" si="29"/>
        <v>2021</v>
      </c>
      <c r="I910">
        <f t="shared" si="30"/>
        <v>9</v>
      </c>
    </row>
    <row r="911" spans="2:9" ht="16.5" x14ac:dyDescent="0.25">
      <c r="B911" s="9" t="s">
        <v>1838</v>
      </c>
      <c r="C911" s="9" t="s">
        <v>35</v>
      </c>
      <c r="D911" s="9" t="s">
        <v>36</v>
      </c>
      <c r="E911" s="9" t="s">
        <v>34</v>
      </c>
      <c r="F911" s="9">
        <v>73000</v>
      </c>
      <c r="G911" s="9" t="s">
        <v>1835</v>
      </c>
      <c r="H911" s="9">
        <f t="shared" si="29"/>
        <v>2021</v>
      </c>
      <c r="I911">
        <f t="shared" si="30"/>
        <v>9</v>
      </c>
    </row>
    <row r="912" spans="2:9" ht="16.5" x14ac:dyDescent="0.25">
      <c r="B912" s="9" t="s">
        <v>1839</v>
      </c>
      <c r="C912" s="9" t="s">
        <v>35</v>
      </c>
      <c r="D912" s="9" t="s">
        <v>36</v>
      </c>
      <c r="E912" s="9" t="s">
        <v>35</v>
      </c>
      <c r="F912" s="9">
        <v>175000</v>
      </c>
      <c r="G912" s="9" t="s">
        <v>1840</v>
      </c>
      <c r="H912" s="9">
        <f t="shared" si="29"/>
        <v>2021</v>
      </c>
      <c r="I912">
        <f t="shared" si="30"/>
        <v>9</v>
      </c>
    </row>
    <row r="913" spans="2:9" ht="16.5" x14ac:dyDescent="0.25">
      <c r="B913" s="9" t="s">
        <v>1841</v>
      </c>
      <c r="C913" s="9" t="s">
        <v>56</v>
      </c>
      <c r="D913" s="9" t="s">
        <v>38</v>
      </c>
      <c r="E913" s="9" t="s">
        <v>37</v>
      </c>
      <c r="F913" s="9">
        <v>223000</v>
      </c>
      <c r="G913" s="9" t="s">
        <v>1842</v>
      </c>
      <c r="H913" s="9">
        <f t="shared" si="29"/>
        <v>2021</v>
      </c>
      <c r="I913">
        <f t="shared" si="30"/>
        <v>9</v>
      </c>
    </row>
    <row r="914" spans="2:9" ht="16.5" x14ac:dyDescent="0.25">
      <c r="B914" s="9" t="s">
        <v>1843</v>
      </c>
      <c r="C914" s="9" t="s">
        <v>36</v>
      </c>
      <c r="D914" s="9" t="s">
        <v>37</v>
      </c>
      <c r="E914" s="9" t="s">
        <v>34</v>
      </c>
      <c r="F914" s="9">
        <v>81000</v>
      </c>
      <c r="G914" s="9" t="s">
        <v>1844</v>
      </c>
      <c r="H914" s="9">
        <f t="shared" si="29"/>
        <v>2021</v>
      </c>
      <c r="I914">
        <f t="shared" si="30"/>
        <v>9</v>
      </c>
    </row>
    <row r="915" spans="2:9" ht="16.5" x14ac:dyDescent="0.25">
      <c r="B915" s="9" t="s">
        <v>1845</v>
      </c>
      <c r="C915" s="9" t="s">
        <v>39</v>
      </c>
      <c r="D915" s="9" t="s">
        <v>36</v>
      </c>
      <c r="E915" s="9" t="s">
        <v>36</v>
      </c>
      <c r="F915" s="9">
        <v>277000</v>
      </c>
      <c r="G915" s="9" t="s">
        <v>1846</v>
      </c>
      <c r="H915" s="9">
        <f t="shared" si="29"/>
        <v>2021</v>
      </c>
      <c r="I915">
        <f t="shared" si="30"/>
        <v>9</v>
      </c>
    </row>
    <row r="916" spans="2:9" ht="16.5" x14ac:dyDescent="0.25">
      <c r="B916" s="9" t="s">
        <v>1847</v>
      </c>
      <c r="C916" s="9" t="s">
        <v>40</v>
      </c>
      <c r="D916" s="9" t="s">
        <v>35</v>
      </c>
      <c r="E916" s="9" t="s">
        <v>37</v>
      </c>
      <c r="F916" s="9">
        <v>277000</v>
      </c>
      <c r="G916" s="9" t="s">
        <v>1848</v>
      </c>
      <c r="H916" s="9">
        <f t="shared" si="29"/>
        <v>2021</v>
      </c>
      <c r="I916">
        <f t="shared" si="30"/>
        <v>9</v>
      </c>
    </row>
    <row r="917" spans="2:9" ht="16.5" x14ac:dyDescent="0.25">
      <c r="B917" s="9" t="s">
        <v>1849</v>
      </c>
      <c r="C917" s="9" t="s">
        <v>35</v>
      </c>
      <c r="D917" s="9" t="s">
        <v>35</v>
      </c>
      <c r="E917" s="9" t="s">
        <v>38</v>
      </c>
      <c r="F917" s="9">
        <v>90000</v>
      </c>
      <c r="G917" s="9" t="s">
        <v>1848</v>
      </c>
      <c r="H917" s="9">
        <f t="shared" si="29"/>
        <v>2021</v>
      </c>
      <c r="I917">
        <f t="shared" si="30"/>
        <v>9</v>
      </c>
    </row>
    <row r="918" spans="2:9" ht="16.5" x14ac:dyDescent="0.25">
      <c r="B918" s="9" t="s">
        <v>1850</v>
      </c>
      <c r="C918" s="9" t="s">
        <v>39</v>
      </c>
      <c r="D918" s="9" t="s">
        <v>40</v>
      </c>
      <c r="E918" s="9" t="s">
        <v>37</v>
      </c>
      <c r="F918" s="9">
        <v>38000</v>
      </c>
      <c r="G918" s="9" t="s">
        <v>1848</v>
      </c>
      <c r="H918" s="9">
        <f t="shared" si="29"/>
        <v>2021</v>
      </c>
      <c r="I918">
        <f t="shared" si="30"/>
        <v>9</v>
      </c>
    </row>
    <row r="919" spans="2:9" ht="16.5" x14ac:dyDescent="0.25">
      <c r="B919" s="9" t="s">
        <v>1851</v>
      </c>
      <c r="C919" s="9" t="s">
        <v>34</v>
      </c>
      <c r="D919" s="9" t="s">
        <v>35</v>
      </c>
      <c r="E919" s="9" t="s">
        <v>39</v>
      </c>
      <c r="F919" s="9">
        <v>292000</v>
      </c>
      <c r="G919" s="9" t="s">
        <v>1852</v>
      </c>
      <c r="H919" s="9">
        <f t="shared" si="29"/>
        <v>2021</v>
      </c>
      <c r="I919">
        <f t="shared" si="30"/>
        <v>9</v>
      </c>
    </row>
    <row r="920" spans="2:9" ht="16.5" x14ac:dyDescent="0.25">
      <c r="B920" s="9" t="s">
        <v>1853</v>
      </c>
      <c r="C920" s="9" t="s">
        <v>39</v>
      </c>
      <c r="D920" s="9" t="s">
        <v>38</v>
      </c>
      <c r="E920" s="9" t="s">
        <v>39</v>
      </c>
      <c r="F920" s="9">
        <v>88000</v>
      </c>
      <c r="G920" s="9" t="s">
        <v>1854</v>
      </c>
      <c r="H920" s="9">
        <f t="shared" si="29"/>
        <v>2021</v>
      </c>
      <c r="I920">
        <f t="shared" si="30"/>
        <v>9</v>
      </c>
    </row>
    <row r="921" spans="2:9" ht="16.5" x14ac:dyDescent="0.25">
      <c r="B921" s="9" t="s">
        <v>1855</v>
      </c>
      <c r="C921" s="9" t="s">
        <v>39</v>
      </c>
      <c r="D921" s="9" t="s">
        <v>37</v>
      </c>
      <c r="E921" s="9" t="s">
        <v>34</v>
      </c>
      <c r="F921" s="9">
        <v>292000</v>
      </c>
      <c r="G921" s="9" t="s">
        <v>1856</v>
      </c>
      <c r="H921" s="9">
        <f t="shared" si="29"/>
        <v>2021</v>
      </c>
      <c r="I921">
        <f t="shared" si="30"/>
        <v>9</v>
      </c>
    </row>
    <row r="922" spans="2:9" ht="16.5" x14ac:dyDescent="0.25">
      <c r="B922" s="9" t="s">
        <v>1857</v>
      </c>
      <c r="C922" s="9" t="s">
        <v>35</v>
      </c>
      <c r="D922" s="9" t="s">
        <v>36</v>
      </c>
      <c r="E922" s="9" t="s">
        <v>35</v>
      </c>
      <c r="F922" s="9">
        <v>69000</v>
      </c>
      <c r="G922" s="9" t="s">
        <v>1856</v>
      </c>
      <c r="H922" s="9">
        <f t="shared" si="29"/>
        <v>2021</v>
      </c>
      <c r="I922">
        <f t="shared" si="30"/>
        <v>9</v>
      </c>
    </row>
    <row r="923" spans="2:9" ht="16.5" x14ac:dyDescent="0.25">
      <c r="B923" s="9" t="s">
        <v>1858</v>
      </c>
      <c r="C923" s="9" t="s">
        <v>34</v>
      </c>
      <c r="D923" s="9" t="s">
        <v>37</v>
      </c>
      <c r="E923" s="9" t="s">
        <v>38</v>
      </c>
      <c r="F923" s="9">
        <v>83000</v>
      </c>
      <c r="G923" s="9" t="s">
        <v>1859</v>
      </c>
      <c r="H923" s="9">
        <f t="shared" si="29"/>
        <v>2021</v>
      </c>
      <c r="I923">
        <f t="shared" si="30"/>
        <v>9</v>
      </c>
    </row>
    <row r="924" spans="2:9" ht="16.5" x14ac:dyDescent="0.25">
      <c r="B924" s="9" t="s">
        <v>1860</v>
      </c>
      <c r="C924" s="9" t="s">
        <v>40</v>
      </c>
      <c r="D924" s="9" t="s">
        <v>39</v>
      </c>
      <c r="E924" s="9" t="s">
        <v>36</v>
      </c>
      <c r="F924" s="9">
        <v>42000</v>
      </c>
      <c r="G924" s="9" t="s">
        <v>1861</v>
      </c>
      <c r="H924" s="9">
        <f t="shared" si="29"/>
        <v>2021</v>
      </c>
      <c r="I924">
        <f t="shared" si="30"/>
        <v>9</v>
      </c>
    </row>
    <row r="925" spans="2:9" ht="16.5" x14ac:dyDescent="0.25">
      <c r="B925" s="9" t="s">
        <v>1862</v>
      </c>
      <c r="C925" s="9" t="s">
        <v>39</v>
      </c>
      <c r="D925" s="9" t="s">
        <v>35</v>
      </c>
      <c r="E925" s="9" t="s">
        <v>39</v>
      </c>
      <c r="F925" s="9">
        <v>144000</v>
      </c>
      <c r="G925" s="9" t="s">
        <v>1863</v>
      </c>
      <c r="H925" s="9">
        <f t="shared" si="29"/>
        <v>2021</v>
      </c>
      <c r="I925">
        <f t="shared" si="30"/>
        <v>9</v>
      </c>
    </row>
    <row r="926" spans="2:9" ht="16.5" x14ac:dyDescent="0.25">
      <c r="B926" s="9" t="s">
        <v>1864</v>
      </c>
      <c r="C926" s="9" t="s">
        <v>56</v>
      </c>
      <c r="D926" s="9" t="s">
        <v>36</v>
      </c>
      <c r="E926" s="9" t="s">
        <v>35</v>
      </c>
      <c r="F926" s="9">
        <v>88000</v>
      </c>
      <c r="G926" s="9" t="s">
        <v>1865</v>
      </c>
      <c r="H926" s="9">
        <f t="shared" si="29"/>
        <v>2021</v>
      </c>
      <c r="I926">
        <f t="shared" si="30"/>
        <v>9</v>
      </c>
    </row>
    <row r="927" spans="2:9" ht="16.5" x14ac:dyDescent="0.25">
      <c r="B927" s="9" t="s">
        <v>1866</v>
      </c>
      <c r="C927" s="9" t="s">
        <v>34</v>
      </c>
      <c r="D927" s="9" t="s">
        <v>38</v>
      </c>
      <c r="E927" s="9" t="s">
        <v>35</v>
      </c>
      <c r="F927" s="9">
        <v>217000</v>
      </c>
      <c r="G927" s="9" t="s">
        <v>1865</v>
      </c>
      <c r="H927" s="9">
        <f t="shared" si="29"/>
        <v>2021</v>
      </c>
      <c r="I927">
        <f t="shared" si="30"/>
        <v>9</v>
      </c>
    </row>
    <row r="928" spans="2:9" ht="16.5" x14ac:dyDescent="0.25">
      <c r="B928" s="9" t="s">
        <v>1867</v>
      </c>
      <c r="C928" s="9" t="s">
        <v>56</v>
      </c>
      <c r="D928" s="9" t="s">
        <v>39</v>
      </c>
      <c r="E928" s="9" t="s">
        <v>37</v>
      </c>
      <c r="F928" s="9">
        <v>30000</v>
      </c>
      <c r="G928" s="9" t="s">
        <v>1868</v>
      </c>
      <c r="H928" s="9">
        <f t="shared" si="29"/>
        <v>2021</v>
      </c>
      <c r="I928">
        <f t="shared" si="30"/>
        <v>9</v>
      </c>
    </row>
    <row r="929" spans="2:9" ht="16.5" x14ac:dyDescent="0.25">
      <c r="B929" s="9" t="s">
        <v>1869</v>
      </c>
      <c r="C929" s="9" t="s">
        <v>39</v>
      </c>
      <c r="D929" s="9" t="s">
        <v>36</v>
      </c>
      <c r="E929" s="9" t="s">
        <v>36</v>
      </c>
      <c r="F929" s="9">
        <v>143000</v>
      </c>
      <c r="G929" s="9" t="s">
        <v>1871</v>
      </c>
      <c r="H929" s="9">
        <f t="shared" si="29"/>
        <v>2021</v>
      </c>
      <c r="I929">
        <f t="shared" si="30"/>
        <v>10</v>
      </c>
    </row>
    <row r="930" spans="2:9" ht="16.5" x14ac:dyDescent="0.25">
      <c r="B930" s="9" t="s">
        <v>1872</v>
      </c>
      <c r="C930" s="9" t="s">
        <v>34</v>
      </c>
      <c r="D930" s="9" t="s">
        <v>39</v>
      </c>
      <c r="E930" s="9" t="s">
        <v>36</v>
      </c>
      <c r="F930" s="9">
        <v>163000</v>
      </c>
      <c r="G930" s="9" t="s">
        <v>1873</v>
      </c>
      <c r="H930" s="9">
        <f t="shared" si="29"/>
        <v>2021</v>
      </c>
      <c r="I930">
        <f t="shared" si="30"/>
        <v>10</v>
      </c>
    </row>
    <row r="931" spans="2:9" ht="16.5" x14ac:dyDescent="0.25">
      <c r="B931" s="9" t="s">
        <v>1874</v>
      </c>
      <c r="C931" s="9" t="s">
        <v>39</v>
      </c>
      <c r="D931" s="9" t="s">
        <v>37</v>
      </c>
      <c r="E931" s="9" t="s">
        <v>38</v>
      </c>
      <c r="F931" s="9">
        <v>124000</v>
      </c>
      <c r="G931" s="9" t="s">
        <v>1875</v>
      </c>
      <c r="H931" s="9">
        <f t="shared" si="29"/>
        <v>2021</v>
      </c>
      <c r="I931">
        <f t="shared" si="30"/>
        <v>10</v>
      </c>
    </row>
    <row r="932" spans="2:9" ht="16.5" x14ac:dyDescent="0.25">
      <c r="B932" s="9" t="s">
        <v>1876</v>
      </c>
      <c r="C932" s="9" t="s">
        <v>59</v>
      </c>
      <c r="D932" s="9" t="s">
        <v>35</v>
      </c>
      <c r="E932" s="9" t="s">
        <v>39</v>
      </c>
      <c r="F932" s="9">
        <v>184000</v>
      </c>
      <c r="G932" s="9" t="s">
        <v>1877</v>
      </c>
      <c r="H932" s="9">
        <f t="shared" si="29"/>
        <v>2021</v>
      </c>
      <c r="I932">
        <f t="shared" si="30"/>
        <v>10</v>
      </c>
    </row>
    <row r="933" spans="2:9" ht="16.5" x14ac:dyDescent="0.25">
      <c r="B933" s="9" t="s">
        <v>1878</v>
      </c>
      <c r="C933" s="9" t="s">
        <v>35</v>
      </c>
      <c r="D933" s="9" t="s">
        <v>38</v>
      </c>
      <c r="E933" s="9" t="s">
        <v>38</v>
      </c>
      <c r="F933" s="9">
        <v>111000</v>
      </c>
      <c r="G933" s="9" t="s">
        <v>1879</v>
      </c>
      <c r="H933" s="9">
        <f t="shared" si="29"/>
        <v>2021</v>
      </c>
      <c r="I933">
        <f t="shared" si="30"/>
        <v>10</v>
      </c>
    </row>
    <row r="934" spans="2:9" ht="16.5" x14ac:dyDescent="0.25">
      <c r="B934" s="9" t="s">
        <v>1880</v>
      </c>
      <c r="C934" s="9" t="s">
        <v>39</v>
      </c>
      <c r="D934" s="9" t="s">
        <v>35</v>
      </c>
      <c r="E934" s="9" t="s">
        <v>36</v>
      </c>
      <c r="F934" s="9">
        <v>297000</v>
      </c>
      <c r="G934" s="9" t="s">
        <v>1881</v>
      </c>
      <c r="H934" s="9">
        <f t="shared" si="29"/>
        <v>2021</v>
      </c>
      <c r="I934">
        <f t="shared" si="30"/>
        <v>10</v>
      </c>
    </row>
    <row r="935" spans="2:9" ht="16.5" x14ac:dyDescent="0.25">
      <c r="B935" s="9" t="s">
        <v>1882</v>
      </c>
      <c r="C935" s="9" t="s">
        <v>38</v>
      </c>
      <c r="D935" s="9" t="s">
        <v>40</v>
      </c>
      <c r="E935" s="9" t="s">
        <v>36</v>
      </c>
      <c r="F935" s="9">
        <v>139000</v>
      </c>
      <c r="G935" s="9" t="s">
        <v>1883</v>
      </c>
      <c r="H935" s="9">
        <f t="shared" si="29"/>
        <v>2021</v>
      </c>
      <c r="I935">
        <f t="shared" si="30"/>
        <v>10</v>
      </c>
    </row>
    <row r="936" spans="2:9" ht="16.5" x14ac:dyDescent="0.25">
      <c r="B936" s="9" t="s">
        <v>1884</v>
      </c>
      <c r="C936" s="9" t="s">
        <v>37</v>
      </c>
      <c r="D936" s="9" t="s">
        <v>35</v>
      </c>
      <c r="E936" s="9" t="s">
        <v>34</v>
      </c>
      <c r="F936" s="9">
        <v>252000</v>
      </c>
      <c r="G936" s="9" t="s">
        <v>1883</v>
      </c>
      <c r="H936" s="9">
        <f t="shared" si="29"/>
        <v>2021</v>
      </c>
      <c r="I936">
        <f t="shared" si="30"/>
        <v>10</v>
      </c>
    </row>
    <row r="937" spans="2:9" ht="16.5" x14ac:dyDescent="0.25">
      <c r="B937" s="9" t="s">
        <v>1885</v>
      </c>
      <c r="C937" s="9" t="s">
        <v>39</v>
      </c>
      <c r="D937" s="9" t="s">
        <v>38</v>
      </c>
      <c r="E937" s="9" t="s">
        <v>36</v>
      </c>
      <c r="F937" s="9">
        <v>69000</v>
      </c>
      <c r="G937" s="9" t="s">
        <v>1886</v>
      </c>
      <c r="H937" s="9">
        <f t="shared" si="29"/>
        <v>2021</v>
      </c>
      <c r="I937">
        <f t="shared" si="30"/>
        <v>10</v>
      </c>
    </row>
    <row r="938" spans="2:9" ht="16.5" x14ac:dyDescent="0.25">
      <c r="B938" s="9" t="s">
        <v>1887</v>
      </c>
      <c r="C938" s="9" t="s">
        <v>39</v>
      </c>
      <c r="D938" s="9" t="s">
        <v>38</v>
      </c>
      <c r="E938" s="9" t="s">
        <v>37</v>
      </c>
      <c r="F938" s="9">
        <v>64000</v>
      </c>
      <c r="G938" s="9" t="s">
        <v>1886</v>
      </c>
      <c r="H938" s="9">
        <f t="shared" si="29"/>
        <v>2021</v>
      </c>
      <c r="I938">
        <f t="shared" si="30"/>
        <v>10</v>
      </c>
    </row>
    <row r="939" spans="2:9" ht="16.5" x14ac:dyDescent="0.25">
      <c r="B939" s="9" t="s">
        <v>1888</v>
      </c>
      <c r="C939" s="9" t="s">
        <v>38</v>
      </c>
      <c r="D939" s="9" t="s">
        <v>40</v>
      </c>
      <c r="E939" s="9" t="s">
        <v>38</v>
      </c>
      <c r="F939" s="9">
        <v>86000</v>
      </c>
      <c r="G939" s="9" t="s">
        <v>1886</v>
      </c>
      <c r="H939" s="9">
        <f t="shared" si="29"/>
        <v>2021</v>
      </c>
      <c r="I939">
        <f t="shared" si="30"/>
        <v>10</v>
      </c>
    </row>
    <row r="940" spans="2:9" ht="16.5" x14ac:dyDescent="0.25">
      <c r="B940" s="9" t="s">
        <v>1889</v>
      </c>
      <c r="C940" s="9" t="s">
        <v>35</v>
      </c>
      <c r="D940" s="9" t="s">
        <v>36</v>
      </c>
      <c r="E940" s="9" t="s">
        <v>35</v>
      </c>
      <c r="F940" s="9">
        <v>113000</v>
      </c>
      <c r="G940" s="9" t="s">
        <v>1890</v>
      </c>
      <c r="H940" s="9">
        <f t="shared" si="29"/>
        <v>2021</v>
      </c>
      <c r="I940">
        <f t="shared" si="30"/>
        <v>10</v>
      </c>
    </row>
    <row r="941" spans="2:9" ht="16.5" x14ac:dyDescent="0.25">
      <c r="B941" s="9" t="s">
        <v>1891</v>
      </c>
      <c r="C941" s="9" t="s">
        <v>40</v>
      </c>
      <c r="D941" s="9" t="s">
        <v>34</v>
      </c>
      <c r="E941" s="9" t="s">
        <v>34</v>
      </c>
      <c r="F941" s="9">
        <v>257000</v>
      </c>
      <c r="G941" s="9" t="s">
        <v>1892</v>
      </c>
      <c r="H941" s="9">
        <f t="shared" si="29"/>
        <v>2021</v>
      </c>
      <c r="I941">
        <f t="shared" si="30"/>
        <v>10</v>
      </c>
    </row>
    <row r="942" spans="2:9" ht="16.5" x14ac:dyDescent="0.25">
      <c r="B942" s="9" t="s">
        <v>1893</v>
      </c>
      <c r="C942" s="9" t="s">
        <v>34</v>
      </c>
      <c r="D942" s="9" t="s">
        <v>40</v>
      </c>
      <c r="E942" s="9" t="s">
        <v>34</v>
      </c>
      <c r="F942" s="9">
        <v>200000</v>
      </c>
      <c r="G942" s="9" t="s">
        <v>1894</v>
      </c>
      <c r="H942" s="9">
        <f t="shared" si="29"/>
        <v>2021</v>
      </c>
      <c r="I942">
        <f t="shared" si="30"/>
        <v>10</v>
      </c>
    </row>
    <row r="943" spans="2:9" ht="16.5" x14ac:dyDescent="0.25">
      <c r="B943" s="9" t="s">
        <v>1895</v>
      </c>
      <c r="C943" s="9" t="s">
        <v>35</v>
      </c>
      <c r="D943" s="9" t="s">
        <v>36</v>
      </c>
      <c r="E943" s="9" t="s">
        <v>35</v>
      </c>
      <c r="F943" s="9">
        <v>71000</v>
      </c>
      <c r="G943" s="9" t="s">
        <v>1894</v>
      </c>
      <c r="H943" s="9">
        <f t="shared" si="29"/>
        <v>2021</v>
      </c>
      <c r="I943">
        <f t="shared" si="30"/>
        <v>10</v>
      </c>
    </row>
    <row r="944" spans="2:9" ht="16.5" x14ac:dyDescent="0.25">
      <c r="B944" s="9" t="s">
        <v>1896</v>
      </c>
      <c r="C944" s="9" t="s">
        <v>39</v>
      </c>
      <c r="D944" s="9" t="s">
        <v>37</v>
      </c>
      <c r="E944" s="9" t="s">
        <v>37</v>
      </c>
      <c r="F944" s="9">
        <v>32000</v>
      </c>
      <c r="G944" s="9" t="s">
        <v>1897</v>
      </c>
      <c r="H944" s="9">
        <f t="shared" si="29"/>
        <v>2021</v>
      </c>
      <c r="I944">
        <f t="shared" si="30"/>
        <v>10</v>
      </c>
    </row>
    <row r="945" spans="2:9" ht="16.5" x14ac:dyDescent="0.25">
      <c r="B945" s="9" t="s">
        <v>1898</v>
      </c>
      <c r="C945" s="9" t="s">
        <v>59</v>
      </c>
      <c r="D945" s="9" t="s">
        <v>40</v>
      </c>
      <c r="E945" s="9" t="s">
        <v>35</v>
      </c>
      <c r="F945" s="9">
        <v>154000</v>
      </c>
      <c r="G945" s="9" t="s">
        <v>1897</v>
      </c>
      <c r="H945" s="9">
        <f t="shared" si="29"/>
        <v>2021</v>
      </c>
      <c r="I945">
        <f t="shared" si="30"/>
        <v>10</v>
      </c>
    </row>
    <row r="946" spans="2:9" ht="16.5" x14ac:dyDescent="0.25">
      <c r="B946" s="9" t="s">
        <v>1899</v>
      </c>
      <c r="C946" s="9" t="s">
        <v>39</v>
      </c>
      <c r="D946" s="9" t="s">
        <v>37</v>
      </c>
      <c r="E946" s="9" t="s">
        <v>35</v>
      </c>
      <c r="F946" s="9">
        <v>106000</v>
      </c>
      <c r="G946" s="9" t="s">
        <v>1897</v>
      </c>
      <c r="H946" s="9">
        <f t="shared" si="29"/>
        <v>2021</v>
      </c>
      <c r="I946">
        <f t="shared" si="30"/>
        <v>10</v>
      </c>
    </row>
    <row r="947" spans="2:9" ht="16.5" x14ac:dyDescent="0.25">
      <c r="B947" s="9" t="s">
        <v>1900</v>
      </c>
      <c r="C947" s="9" t="s">
        <v>34</v>
      </c>
      <c r="D947" s="9" t="s">
        <v>39</v>
      </c>
      <c r="E947" s="9" t="s">
        <v>37</v>
      </c>
      <c r="F947" s="9">
        <v>298000</v>
      </c>
      <c r="G947" s="9" t="s">
        <v>1901</v>
      </c>
      <c r="H947" s="9">
        <f t="shared" si="29"/>
        <v>2021</v>
      </c>
      <c r="I947">
        <f t="shared" si="30"/>
        <v>10</v>
      </c>
    </row>
    <row r="948" spans="2:9" ht="16.5" x14ac:dyDescent="0.25">
      <c r="B948" s="9" t="s">
        <v>1902</v>
      </c>
      <c r="C948" s="9" t="s">
        <v>35</v>
      </c>
      <c r="D948" s="9" t="s">
        <v>34</v>
      </c>
      <c r="E948" s="9" t="s">
        <v>38</v>
      </c>
      <c r="F948" s="9">
        <v>72000</v>
      </c>
      <c r="G948" s="9" t="s">
        <v>1903</v>
      </c>
      <c r="H948" s="9">
        <f t="shared" si="29"/>
        <v>2021</v>
      </c>
      <c r="I948">
        <f t="shared" si="30"/>
        <v>10</v>
      </c>
    </row>
    <row r="949" spans="2:9" ht="16.5" x14ac:dyDescent="0.25">
      <c r="B949" s="9" t="s">
        <v>1904</v>
      </c>
      <c r="C949" s="9" t="s">
        <v>37</v>
      </c>
      <c r="D949" s="9" t="s">
        <v>34</v>
      </c>
      <c r="E949" s="9" t="s">
        <v>34</v>
      </c>
      <c r="F949" s="9">
        <v>98000</v>
      </c>
      <c r="G949" s="9" t="s">
        <v>1905</v>
      </c>
      <c r="H949" s="9">
        <f t="shared" si="29"/>
        <v>2021</v>
      </c>
      <c r="I949">
        <f t="shared" si="30"/>
        <v>10</v>
      </c>
    </row>
    <row r="950" spans="2:9" ht="16.5" x14ac:dyDescent="0.25">
      <c r="B950" s="9" t="s">
        <v>1906</v>
      </c>
      <c r="C950" s="9" t="s">
        <v>59</v>
      </c>
      <c r="D950" s="9" t="s">
        <v>37</v>
      </c>
      <c r="E950" s="9" t="s">
        <v>38</v>
      </c>
      <c r="F950" s="9">
        <v>41000</v>
      </c>
      <c r="G950" s="9" t="s">
        <v>1907</v>
      </c>
      <c r="H950" s="9">
        <f t="shared" si="29"/>
        <v>2021</v>
      </c>
      <c r="I950">
        <f t="shared" si="30"/>
        <v>10</v>
      </c>
    </row>
    <row r="951" spans="2:9" ht="16.5" x14ac:dyDescent="0.25">
      <c r="B951" s="9" t="s">
        <v>1908</v>
      </c>
      <c r="C951" s="9" t="s">
        <v>59</v>
      </c>
      <c r="D951" s="9" t="s">
        <v>40</v>
      </c>
      <c r="E951" s="9" t="s">
        <v>38</v>
      </c>
      <c r="F951" s="9">
        <v>260000</v>
      </c>
      <c r="G951" s="9" t="s">
        <v>1909</v>
      </c>
      <c r="H951" s="9">
        <f t="shared" si="29"/>
        <v>2021</v>
      </c>
      <c r="I951">
        <f t="shared" si="30"/>
        <v>10</v>
      </c>
    </row>
    <row r="952" spans="2:9" ht="16.5" x14ac:dyDescent="0.25">
      <c r="B952" s="9" t="s">
        <v>1910</v>
      </c>
      <c r="C952" s="9" t="s">
        <v>37</v>
      </c>
      <c r="D952" s="9" t="s">
        <v>35</v>
      </c>
      <c r="E952" s="9" t="s">
        <v>37</v>
      </c>
      <c r="F952" s="9">
        <v>230000</v>
      </c>
      <c r="G952" s="9" t="s">
        <v>1911</v>
      </c>
      <c r="H952" s="9">
        <f t="shared" si="29"/>
        <v>2021</v>
      </c>
      <c r="I952">
        <f t="shared" si="30"/>
        <v>11</v>
      </c>
    </row>
    <row r="953" spans="2:9" ht="16.5" x14ac:dyDescent="0.25">
      <c r="B953" s="9" t="s">
        <v>1912</v>
      </c>
      <c r="C953" s="9" t="s">
        <v>34</v>
      </c>
      <c r="D953" s="9" t="s">
        <v>34</v>
      </c>
      <c r="E953" s="9" t="s">
        <v>35</v>
      </c>
      <c r="F953" s="9">
        <v>95000</v>
      </c>
      <c r="G953" s="9" t="s">
        <v>1913</v>
      </c>
      <c r="H953" s="9">
        <f t="shared" si="29"/>
        <v>2021</v>
      </c>
      <c r="I953">
        <f t="shared" si="30"/>
        <v>11</v>
      </c>
    </row>
    <row r="954" spans="2:9" ht="16.5" x14ac:dyDescent="0.25">
      <c r="B954" s="9" t="s">
        <v>1914</v>
      </c>
      <c r="C954" s="9" t="s">
        <v>35</v>
      </c>
      <c r="D954" s="9" t="s">
        <v>38</v>
      </c>
      <c r="E954" s="9" t="s">
        <v>34</v>
      </c>
      <c r="F954" s="9">
        <v>285000</v>
      </c>
      <c r="G954" s="9" t="s">
        <v>1915</v>
      </c>
      <c r="H954" s="9">
        <f t="shared" si="29"/>
        <v>2021</v>
      </c>
      <c r="I954">
        <f t="shared" si="30"/>
        <v>11</v>
      </c>
    </row>
    <row r="955" spans="2:9" ht="16.5" x14ac:dyDescent="0.25">
      <c r="B955" s="9" t="s">
        <v>1916</v>
      </c>
      <c r="C955" s="9" t="s">
        <v>40</v>
      </c>
      <c r="D955" s="9" t="s">
        <v>37</v>
      </c>
      <c r="E955" s="9" t="s">
        <v>37</v>
      </c>
      <c r="F955" s="9">
        <v>115000</v>
      </c>
      <c r="G955" s="9" t="s">
        <v>1917</v>
      </c>
      <c r="H955" s="9">
        <f t="shared" si="29"/>
        <v>2021</v>
      </c>
      <c r="I955">
        <f t="shared" si="30"/>
        <v>11</v>
      </c>
    </row>
    <row r="956" spans="2:9" ht="16.5" x14ac:dyDescent="0.25">
      <c r="B956" s="9" t="s">
        <v>1918</v>
      </c>
      <c r="C956" s="9" t="s">
        <v>40</v>
      </c>
      <c r="D956" s="9" t="s">
        <v>40</v>
      </c>
      <c r="E956" s="9" t="s">
        <v>37</v>
      </c>
      <c r="F956" s="9">
        <v>232000</v>
      </c>
      <c r="G956" s="9" t="s">
        <v>1919</v>
      </c>
      <c r="H956" s="9">
        <f t="shared" si="29"/>
        <v>2021</v>
      </c>
      <c r="I956">
        <f t="shared" si="30"/>
        <v>11</v>
      </c>
    </row>
    <row r="957" spans="2:9" ht="16.5" x14ac:dyDescent="0.25">
      <c r="B957" s="9" t="s">
        <v>1920</v>
      </c>
      <c r="C957" s="9" t="s">
        <v>36</v>
      </c>
      <c r="D957" s="9" t="s">
        <v>40</v>
      </c>
      <c r="E957" s="9" t="s">
        <v>37</v>
      </c>
      <c r="F957" s="9">
        <v>279000</v>
      </c>
      <c r="G957" s="9" t="s">
        <v>1921</v>
      </c>
      <c r="H957" s="9">
        <f t="shared" si="29"/>
        <v>2021</v>
      </c>
      <c r="I957">
        <f t="shared" si="30"/>
        <v>11</v>
      </c>
    </row>
    <row r="958" spans="2:9" ht="16.5" x14ac:dyDescent="0.25">
      <c r="B958" s="9" t="s">
        <v>1922</v>
      </c>
      <c r="C958" s="9" t="s">
        <v>37</v>
      </c>
      <c r="D958" s="9" t="s">
        <v>34</v>
      </c>
      <c r="E958" s="9" t="s">
        <v>36</v>
      </c>
      <c r="F958" s="9">
        <v>275000</v>
      </c>
      <c r="G958" s="9" t="s">
        <v>1921</v>
      </c>
      <c r="H958" s="9">
        <f t="shared" si="29"/>
        <v>2021</v>
      </c>
      <c r="I958">
        <f t="shared" si="30"/>
        <v>11</v>
      </c>
    </row>
    <row r="959" spans="2:9" ht="16.5" x14ac:dyDescent="0.25">
      <c r="B959" s="9" t="s">
        <v>1923</v>
      </c>
      <c r="C959" s="9" t="s">
        <v>59</v>
      </c>
      <c r="D959" s="9" t="s">
        <v>36</v>
      </c>
      <c r="E959" s="9" t="s">
        <v>36</v>
      </c>
      <c r="F959" s="9">
        <v>181000</v>
      </c>
      <c r="G959" s="9" t="s">
        <v>1921</v>
      </c>
      <c r="H959" s="9">
        <f t="shared" si="29"/>
        <v>2021</v>
      </c>
      <c r="I959">
        <f t="shared" si="30"/>
        <v>11</v>
      </c>
    </row>
    <row r="960" spans="2:9" ht="16.5" x14ac:dyDescent="0.25">
      <c r="B960" s="9" t="s">
        <v>1924</v>
      </c>
      <c r="C960" s="9" t="s">
        <v>37</v>
      </c>
      <c r="D960" s="9" t="s">
        <v>35</v>
      </c>
      <c r="E960" s="9" t="s">
        <v>39</v>
      </c>
      <c r="F960" s="9">
        <v>257000</v>
      </c>
      <c r="G960" s="9" t="s">
        <v>1925</v>
      </c>
      <c r="H960" s="9">
        <f t="shared" si="29"/>
        <v>2021</v>
      </c>
      <c r="I960">
        <f t="shared" si="30"/>
        <v>11</v>
      </c>
    </row>
    <row r="961" spans="2:9" ht="16.5" x14ac:dyDescent="0.25">
      <c r="B961" s="9" t="s">
        <v>1926</v>
      </c>
      <c r="C961" s="9" t="s">
        <v>35</v>
      </c>
      <c r="D961" s="9" t="s">
        <v>40</v>
      </c>
      <c r="E961" s="9" t="s">
        <v>37</v>
      </c>
      <c r="F961" s="9">
        <v>178000</v>
      </c>
      <c r="G961" s="9" t="s">
        <v>1927</v>
      </c>
      <c r="H961" s="9">
        <f t="shared" si="29"/>
        <v>2021</v>
      </c>
      <c r="I961">
        <f t="shared" si="30"/>
        <v>11</v>
      </c>
    </row>
    <row r="962" spans="2:9" ht="16.5" x14ac:dyDescent="0.25">
      <c r="B962" s="9" t="s">
        <v>1928</v>
      </c>
      <c r="C962" s="9" t="s">
        <v>37</v>
      </c>
      <c r="D962" s="9" t="s">
        <v>38</v>
      </c>
      <c r="E962" s="9" t="s">
        <v>35</v>
      </c>
      <c r="F962" s="9">
        <v>271000</v>
      </c>
      <c r="G962" s="9" t="s">
        <v>1929</v>
      </c>
      <c r="H962" s="9">
        <f t="shared" si="29"/>
        <v>2021</v>
      </c>
      <c r="I962">
        <f t="shared" si="30"/>
        <v>11</v>
      </c>
    </row>
    <row r="963" spans="2:9" ht="16.5" x14ac:dyDescent="0.25">
      <c r="B963" s="9" t="s">
        <v>1930</v>
      </c>
      <c r="C963" s="9" t="s">
        <v>39</v>
      </c>
      <c r="D963" s="9" t="s">
        <v>34</v>
      </c>
      <c r="E963" s="9" t="s">
        <v>38</v>
      </c>
      <c r="F963" s="9">
        <v>299000</v>
      </c>
      <c r="G963" s="9" t="s">
        <v>1931</v>
      </c>
      <c r="H963" s="9">
        <f t="shared" ref="H963:H1001" si="31">YEAR(G963)</f>
        <v>2021</v>
      </c>
      <c r="I963">
        <f t="shared" ref="I963:I1001" si="32">MONTH(G963)</f>
        <v>11</v>
      </c>
    </row>
    <row r="964" spans="2:9" ht="16.5" x14ac:dyDescent="0.25">
      <c r="B964" s="9" t="s">
        <v>1932</v>
      </c>
      <c r="C964" s="9" t="s">
        <v>37</v>
      </c>
      <c r="D964" s="9" t="s">
        <v>34</v>
      </c>
      <c r="E964" s="9" t="s">
        <v>35</v>
      </c>
      <c r="F964" s="9">
        <v>110000</v>
      </c>
      <c r="G964" s="9" t="s">
        <v>1931</v>
      </c>
      <c r="H964" s="9">
        <f t="shared" si="31"/>
        <v>2021</v>
      </c>
      <c r="I964">
        <f t="shared" si="32"/>
        <v>11</v>
      </c>
    </row>
    <row r="965" spans="2:9" ht="16.5" x14ac:dyDescent="0.25">
      <c r="B965" s="9" t="s">
        <v>1933</v>
      </c>
      <c r="C965" s="9" t="s">
        <v>39</v>
      </c>
      <c r="D965" s="9" t="s">
        <v>34</v>
      </c>
      <c r="E965" s="9" t="s">
        <v>37</v>
      </c>
      <c r="F965" s="9">
        <v>276000</v>
      </c>
      <c r="G965" s="9" t="s">
        <v>1934</v>
      </c>
      <c r="H965" s="9">
        <f t="shared" si="31"/>
        <v>2021</v>
      </c>
      <c r="I965">
        <f t="shared" si="32"/>
        <v>11</v>
      </c>
    </row>
    <row r="966" spans="2:9" ht="16.5" x14ac:dyDescent="0.25">
      <c r="B966" s="9" t="s">
        <v>1935</v>
      </c>
      <c r="C966" s="9" t="s">
        <v>59</v>
      </c>
      <c r="D966" s="9" t="s">
        <v>35</v>
      </c>
      <c r="E966" s="9" t="s">
        <v>38</v>
      </c>
      <c r="F966" s="9">
        <v>268000</v>
      </c>
      <c r="G966" s="9" t="s">
        <v>1934</v>
      </c>
      <c r="H966" s="9">
        <f t="shared" si="31"/>
        <v>2021</v>
      </c>
      <c r="I966">
        <f t="shared" si="32"/>
        <v>11</v>
      </c>
    </row>
    <row r="967" spans="2:9" ht="16.5" x14ac:dyDescent="0.25">
      <c r="B967" s="9" t="s">
        <v>1936</v>
      </c>
      <c r="C967" s="9" t="s">
        <v>40</v>
      </c>
      <c r="D967" s="9" t="s">
        <v>38</v>
      </c>
      <c r="E967" s="9" t="s">
        <v>34</v>
      </c>
      <c r="F967" s="9">
        <v>210000</v>
      </c>
      <c r="G967" s="9" t="s">
        <v>1937</v>
      </c>
      <c r="H967" s="9">
        <f t="shared" si="31"/>
        <v>2021</v>
      </c>
      <c r="I967">
        <f t="shared" si="32"/>
        <v>11</v>
      </c>
    </row>
    <row r="968" spans="2:9" ht="16.5" x14ac:dyDescent="0.25">
      <c r="B968" s="9" t="s">
        <v>1938</v>
      </c>
      <c r="C968" s="9" t="s">
        <v>35</v>
      </c>
      <c r="D968" s="9" t="s">
        <v>39</v>
      </c>
      <c r="E968" s="9" t="s">
        <v>39</v>
      </c>
      <c r="F968" s="9">
        <v>169000</v>
      </c>
      <c r="G968" s="9" t="s">
        <v>1939</v>
      </c>
      <c r="H968" s="9">
        <f t="shared" si="31"/>
        <v>2021</v>
      </c>
      <c r="I968">
        <f t="shared" si="32"/>
        <v>11</v>
      </c>
    </row>
    <row r="969" spans="2:9" ht="16.5" x14ac:dyDescent="0.25">
      <c r="B969" s="9" t="s">
        <v>1940</v>
      </c>
      <c r="C969" s="9" t="s">
        <v>59</v>
      </c>
      <c r="D969" s="9" t="s">
        <v>37</v>
      </c>
      <c r="E969" s="9" t="s">
        <v>38</v>
      </c>
      <c r="F969" s="9">
        <v>284000</v>
      </c>
      <c r="G969" s="9" t="s">
        <v>1939</v>
      </c>
      <c r="H969" s="9">
        <f t="shared" si="31"/>
        <v>2021</v>
      </c>
      <c r="I969">
        <f t="shared" si="32"/>
        <v>11</v>
      </c>
    </row>
    <row r="970" spans="2:9" ht="16.5" x14ac:dyDescent="0.25">
      <c r="B970" s="9" t="s">
        <v>1941</v>
      </c>
      <c r="C970" s="9" t="s">
        <v>38</v>
      </c>
      <c r="D970" s="9" t="s">
        <v>34</v>
      </c>
      <c r="E970" s="9" t="s">
        <v>35</v>
      </c>
      <c r="F970" s="9">
        <v>160000</v>
      </c>
      <c r="G970" s="9" t="s">
        <v>1939</v>
      </c>
      <c r="H970" s="9">
        <f t="shared" si="31"/>
        <v>2021</v>
      </c>
      <c r="I970">
        <f t="shared" si="32"/>
        <v>11</v>
      </c>
    </row>
    <row r="971" spans="2:9" ht="16.5" x14ac:dyDescent="0.25">
      <c r="B971" s="9" t="s">
        <v>1942</v>
      </c>
      <c r="C971" s="9" t="s">
        <v>37</v>
      </c>
      <c r="D971" s="9" t="s">
        <v>39</v>
      </c>
      <c r="E971" s="9" t="s">
        <v>39</v>
      </c>
      <c r="F971" s="9">
        <v>288000</v>
      </c>
      <c r="G971" s="9" t="s">
        <v>1943</v>
      </c>
      <c r="H971" s="9">
        <f t="shared" si="31"/>
        <v>2021</v>
      </c>
      <c r="I971">
        <f t="shared" si="32"/>
        <v>11</v>
      </c>
    </row>
    <row r="972" spans="2:9" ht="16.5" x14ac:dyDescent="0.25">
      <c r="B972" s="9" t="s">
        <v>1944</v>
      </c>
      <c r="C972" s="9" t="s">
        <v>40</v>
      </c>
      <c r="D972" s="9" t="s">
        <v>34</v>
      </c>
      <c r="E972" s="9" t="s">
        <v>35</v>
      </c>
      <c r="F972" s="9">
        <v>92000</v>
      </c>
      <c r="G972" s="9" t="s">
        <v>1945</v>
      </c>
      <c r="H972" s="9">
        <f t="shared" si="31"/>
        <v>2021</v>
      </c>
      <c r="I972">
        <f t="shared" si="32"/>
        <v>11</v>
      </c>
    </row>
    <row r="973" spans="2:9" ht="16.5" x14ac:dyDescent="0.25">
      <c r="B973" s="9" t="s">
        <v>1946</v>
      </c>
      <c r="C973" s="9" t="s">
        <v>35</v>
      </c>
      <c r="D973" s="9" t="s">
        <v>37</v>
      </c>
      <c r="E973" s="9" t="s">
        <v>34</v>
      </c>
      <c r="F973" s="9">
        <v>61000</v>
      </c>
      <c r="G973" s="9" t="s">
        <v>1947</v>
      </c>
      <c r="H973" s="9">
        <f t="shared" si="31"/>
        <v>2021</v>
      </c>
      <c r="I973">
        <f t="shared" si="32"/>
        <v>11</v>
      </c>
    </row>
    <row r="974" spans="2:9" ht="16.5" x14ac:dyDescent="0.25">
      <c r="B974" s="9" t="s">
        <v>1948</v>
      </c>
      <c r="C974" s="9" t="s">
        <v>38</v>
      </c>
      <c r="D974" s="9" t="s">
        <v>34</v>
      </c>
      <c r="E974" s="9" t="s">
        <v>35</v>
      </c>
      <c r="F974" s="9">
        <v>137000</v>
      </c>
      <c r="G974" s="9" t="s">
        <v>1949</v>
      </c>
      <c r="H974" s="9">
        <f t="shared" si="31"/>
        <v>2021</v>
      </c>
      <c r="I974">
        <f t="shared" si="32"/>
        <v>11</v>
      </c>
    </row>
    <row r="975" spans="2:9" ht="16.5" x14ac:dyDescent="0.25">
      <c r="B975" s="9" t="s">
        <v>1950</v>
      </c>
      <c r="C975" s="9" t="s">
        <v>35</v>
      </c>
      <c r="D975" s="9" t="s">
        <v>37</v>
      </c>
      <c r="E975" s="9" t="s">
        <v>34</v>
      </c>
      <c r="F975" s="9">
        <v>263000</v>
      </c>
      <c r="G975" s="9" t="s">
        <v>1951</v>
      </c>
      <c r="H975" s="9">
        <f t="shared" si="31"/>
        <v>2021</v>
      </c>
      <c r="I975">
        <f t="shared" si="32"/>
        <v>11</v>
      </c>
    </row>
    <row r="976" spans="2:9" ht="16.5" x14ac:dyDescent="0.25">
      <c r="B976" s="9" t="s">
        <v>1952</v>
      </c>
      <c r="C976" s="9" t="s">
        <v>34</v>
      </c>
      <c r="D976" s="9" t="s">
        <v>39</v>
      </c>
      <c r="E976" s="9" t="s">
        <v>39</v>
      </c>
      <c r="F976" s="9">
        <v>234000</v>
      </c>
      <c r="G976" s="9" t="s">
        <v>1953</v>
      </c>
      <c r="H976" s="9">
        <f t="shared" si="31"/>
        <v>2021</v>
      </c>
      <c r="I976">
        <f t="shared" si="32"/>
        <v>11</v>
      </c>
    </row>
    <row r="977" spans="2:9" ht="16.5" x14ac:dyDescent="0.25">
      <c r="B977" s="9" t="s">
        <v>1954</v>
      </c>
      <c r="C977" s="9" t="s">
        <v>36</v>
      </c>
      <c r="D977" s="9" t="s">
        <v>37</v>
      </c>
      <c r="E977" s="9" t="s">
        <v>34</v>
      </c>
      <c r="F977" s="9">
        <v>270000</v>
      </c>
      <c r="G977" s="9" t="s">
        <v>1955</v>
      </c>
      <c r="H977" s="9">
        <f t="shared" si="31"/>
        <v>2021</v>
      </c>
      <c r="I977">
        <f t="shared" si="32"/>
        <v>11</v>
      </c>
    </row>
    <row r="978" spans="2:9" ht="16.5" x14ac:dyDescent="0.25">
      <c r="B978" s="9" t="s">
        <v>1956</v>
      </c>
      <c r="C978" s="9" t="s">
        <v>34</v>
      </c>
      <c r="D978" s="9" t="s">
        <v>37</v>
      </c>
      <c r="E978" s="9" t="s">
        <v>39</v>
      </c>
      <c r="F978" s="9">
        <v>114000</v>
      </c>
      <c r="G978" s="9" t="s">
        <v>1955</v>
      </c>
      <c r="H978" s="9">
        <f t="shared" si="31"/>
        <v>2021</v>
      </c>
      <c r="I978">
        <f t="shared" si="32"/>
        <v>11</v>
      </c>
    </row>
    <row r="979" spans="2:9" ht="16.5" x14ac:dyDescent="0.25">
      <c r="B979" s="9" t="s">
        <v>1957</v>
      </c>
      <c r="C979" s="9" t="s">
        <v>56</v>
      </c>
      <c r="D979" s="9" t="s">
        <v>36</v>
      </c>
      <c r="E979" s="9" t="s">
        <v>39</v>
      </c>
      <c r="F979" s="9">
        <v>224000</v>
      </c>
      <c r="G979" s="9" t="s">
        <v>1958</v>
      </c>
      <c r="H979" s="9">
        <f t="shared" si="31"/>
        <v>2021</v>
      </c>
      <c r="I979">
        <f t="shared" si="32"/>
        <v>11</v>
      </c>
    </row>
    <row r="980" spans="2:9" ht="16.5" x14ac:dyDescent="0.25">
      <c r="B980" s="9" t="s">
        <v>1959</v>
      </c>
      <c r="C980" s="9" t="s">
        <v>38</v>
      </c>
      <c r="D980" s="9" t="s">
        <v>38</v>
      </c>
      <c r="E980" s="9" t="s">
        <v>35</v>
      </c>
      <c r="F980" s="9">
        <v>207000</v>
      </c>
      <c r="G980" s="9" t="s">
        <v>1958</v>
      </c>
      <c r="H980" s="9">
        <f t="shared" si="31"/>
        <v>2021</v>
      </c>
      <c r="I980">
        <f t="shared" si="32"/>
        <v>11</v>
      </c>
    </row>
    <row r="981" spans="2:9" ht="16.5" x14ac:dyDescent="0.25">
      <c r="B981" s="9" t="s">
        <v>1960</v>
      </c>
      <c r="C981" s="9" t="s">
        <v>56</v>
      </c>
      <c r="D981" s="9" t="s">
        <v>36</v>
      </c>
      <c r="E981" s="9" t="s">
        <v>37</v>
      </c>
      <c r="F981" s="9">
        <v>137000</v>
      </c>
      <c r="G981" s="9" t="s">
        <v>1961</v>
      </c>
      <c r="H981" s="9">
        <f t="shared" si="31"/>
        <v>2021</v>
      </c>
      <c r="I981">
        <f t="shared" si="32"/>
        <v>11</v>
      </c>
    </row>
    <row r="982" spans="2:9" ht="16.5" x14ac:dyDescent="0.25">
      <c r="B982" s="9" t="s">
        <v>1962</v>
      </c>
      <c r="C982" s="9" t="s">
        <v>36</v>
      </c>
      <c r="D982" s="9" t="s">
        <v>36</v>
      </c>
      <c r="E982" s="9" t="s">
        <v>36</v>
      </c>
      <c r="F982" s="9">
        <v>257000</v>
      </c>
      <c r="G982" s="9" t="s">
        <v>1963</v>
      </c>
      <c r="H982" s="9">
        <f t="shared" si="31"/>
        <v>2021</v>
      </c>
      <c r="I982">
        <f t="shared" si="32"/>
        <v>12</v>
      </c>
    </row>
    <row r="983" spans="2:9" ht="16.5" x14ac:dyDescent="0.25">
      <c r="B983" s="9" t="s">
        <v>1964</v>
      </c>
      <c r="C983" s="9" t="s">
        <v>39</v>
      </c>
      <c r="D983" s="9" t="s">
        <v>37</v>
      </c>
      <c r="E983" s="9" t="s">
        <v>34</v>
      </c>
      <c r="F983" s="9">
        <v>46000</v>
      </c>
      <c r="G983" s="9" t="s">
        <v>1965</v>
      </c>
      <c r="H983" s="9">
        <f t="shared" si="31"/>
        <v>2021</v>
      </c>
      <c r="I983">
        <f t="shared" si="32"/>
        <v>12</v>
      </c>
    </row>
    <row r="984" spans="2:9" ht="16.5" x14ac:dyDescent="0.25">
      <c r="B984" s="9" t="s">
        <v>1966</v>
      </c>
      <c r="C984" s="9" t="s">
        <v>37</v>
      </c>
      <c r="D984" s="9" t="s">
        <v>35</v>
      </c>
      <c r="E984" s="9" t="s">
        <v>39</v>
      </c>
      <c r="F984" s="9">
        <v>155000</v>
      </c>
      <c r="G984" s="9" t="s">
        <v>1967</v>
      </c>
      <c r="H984" s="9">
        <f t="shared" si="31"/>
        <v>2021</v>
      </c>
      <c r="I984">
        <f t="shared" si="32"/>
        <v>12</v>
      </c>
    </row>
    <row r="985" spans="2:9" ht="16.5" x14ac:dyDescent="0.25">
      <c r="B985" s="9" t="s">
        <v>1968</v>
      </c>
      <c r="C985" s="9" t="s">
        <v>37</v>
      </c>
      <c r="D985" s="9" t="s">
        <v>35</v>
      </c>
      <c r="E985" s="9" t="s">
        <v>34</v>
      </c>
      <c r="F985" s="9">
        <v>121000</v>
      </c>
      <c r="G985" s="9" t="s">
        <v>1969</v>
      </c>
      <c r="H985" s="9">
        <f t="shared" si="31"/>
        <v>2021</v>
      </c>
      <c r="I985">
        <f t="shared" si="32"/>
        <v>12</v>
      </c>
    </row>
    <row r="986" spans="2:9" ht="16.5" x14ac:dyDescent="0.25">
      <c r="B986" s="9" t="s">
        <v>1970</v>
      </c>
      <c r="C986" s="9" t="s">
        <v>35</v>
      </c>
      <c r="D986" s="9" t="s">
        <v>35</v>
      </c>
      <c r="E986" s="9" t="s">
        <v>37</v>
      </c>
      <c r="F986" s="9">
        <v>283000</v>
      </c>
      <c r="G986" s="9" t="s">
        <v>1969</v>
      </c>
      <c r="H986" s="9">
        <f t="shared" si="31"/>
        <v>2021</v>
      </c>
      <c r="I986">
        <f t="shared" si="32"/>
        <v>12</v>
      </c>
    </row>
    <row r="987" spans="2:9" ht="16.5" x14ac:dyDescent="0.25">
      <c r="B987" s="9" t="s">
        <v>1971</v>
      </c>
      <c r="C987" s="9" t="s">
        <v>34</v>
      </c>
      <c r="D987" s="9" t="s">
        <v>39</v>
      </c>
      <c r="E987" s="9" t="s">
        <v>37</v>
      </c>
      <c r="F987" s="9">
        <v>289000</v>
      </c>
      <c r="G987" s="9" t="s">
        <v>1972</v>
      </c>
      <c r="H987" s="9">
        <f t="shared" si="31"/>
        <v>2021</v>
      </c>
      <c r="I987">
        <f t="shared" si="32"/>
        <v>12</v>
      </c>
    </row>
    <row r="988" spans="2:9" ht="16.5" x14ac:dyDescent="0.25">
      <c r="B988" s="9" t="s">
        <v>1973</v>
      </c>
      <c r="C988" s="9" t="s">
        <v>56</v>
      </c>
      <c r="D988" s="9" t="s">
        <v>35</v>
      </c>
      <c r="E988" s="9" t="s">
        <v>37</v>
      </c>
      <c r="F988" s="9">
        <v>120000</v>
      </c>
      <c r="G988" s="9" t="s">
        <v>1974</v>
      </c>
      <c r="H988" s="9">
        <f t="shared" si="31"/>
        <v>2021</v>
      </c>
      <c r="I988">
        <f t="shared" si="32"/>
        <v>12</v>
      </c>
    </row>
    <row r="989" spans="2:9" ht="16.5" x14ac:dyDescent="0.25">
      <c r="B989" s="9" t="s">
        <v>1975</v>
      </c>
      <c r="C989" s="9" t="s">
        <v>40</v>
      </c>
      <c r="D989" s="9" t="s">
        <v>37</v>
      </c>
      <c r="E989" s="9" t="s">
        <v>38</v>
      </c>
      <c r="F989" s="9">
        <v>236000</v>
      </c>
      <c r="G989" s="9" t="s">
        <v>1974</v>
      </c>
      <c r="H989" s="9">
        <f t="shared" si="31"/>
        <v>2021</v>
      </c>
      <c r="I989">
        <f t="shared" si="32"/>
        <v>12</v>
      </c>
    </row>
    <row r="990" spans="2:9" ht="16.5" x14ac:dyDescent="0.25">
      <c r="B990" s="9" t="s">
        <v>1976</v>
      </c>
      <c r="C990" s="9" t="s">
        <v>56</v>
      </c>
      <c r="D990" s="9" t="s">
        <v>40</v>
      </c>
      <c r="E990" s="9" t="s">
        <v>34</v>
      </c>
      <c r="F990" s="9">
        <v>227000</v>
      </c>
      <c r="G990" s="9" t="s">
        <v>1977</v>
      </c>
      <c r="H990" s="9">
        <f t="shared" si="31"/>
        <v>2021</v>
      </c>
      <c r="I990">
        <f t="shared" si="32"/>
        <v>12</v>
      </c>
    </row>
    <row r="991" spans="2:9" ht="16.5" x14ac:dyDescent="0.25">
      <c r="B991" s="9" t="s">
        <v>1978</v>
      </c>
      <c r="C991" s="9" t="s">
        <v>36</v>
      </c>
      <c r="D991" s="9" t="s">
        <v>34</v>
      </c>
      <c r="E991" s="9" t="s">
        <v>36</v>
      </c>
      <c r="F991" s="9">
        <v>278000</v>
      </c>
      <c r="G991" s="9" t="s">
        <v>1977</v>
      </c>
      <c r="H991" s="9">
        <f t="shared" si="31"/>
        <v>2021</v>
      </c>
      <c r="I991">
        <f t="shared" si="32"/>
        <v>12</v>
      </c>
    </row>
    <row r="992" spans="2:9" ht="16.5" x14ac:dyDescent="0.25">
      <c r="B992" s="9" t="s">
        <v>1979</v>
      </c>
      <c r="C992" s="9" t="s">
        <v>38</v>
      </c>
      <c r="D992" s="9" t="s">
        <v>35</v>
      </c>
      <c r="E992" s="9" t="s">
        <v>38</v>
      </c>
      <c r="F992" s="9">
        <v>126000</v>
      </c>
      <c r="G992" s="9" t="s">
        <v>1980</v>
      </c>
      <c r="H992" s="9">
        <f t="shared" si="31"/>
        <v>2021</v>
      </c>
      <c r="I992">
        <f t="shared" si="32"/>
        <v>12</v>
      </c>
    </row>
    <row r="993" spans="2:9" ht="16.5" x14ac:dyDescent="0.25">
      <c r="B993" s="9" t="s">
        <v>1981</v>
      </c>
      <c r="C993" s="9" t="s">
        <v>59</v>
      </c>
      <c r="D993" s="9" t="s">
        <v>38</v>
      </c>
      <c r="E993" s="9" t="s">
        <v>39</v>
      </c>
      <c r="F993" s="9">
        <v>96000</v>
      </c>
      <c r="G993" s="9" t="s">
        <v>1982</v>
      </c>
      <c r="H993" s="9">
        <f t="shared" si="31"/>
        <v>2021</v>
      </c>
      <c r="I993">
        <f t="shared" si="32"/>
        <v>12</v>
      </c>
    </row>
    <row r="994" spans="2:9" ht="16.5" x14ac:dyDescent="0.25">
      <c r="B994" s="9" t="s">
        <v>1983</v>
      </c>
      <c r="C994" s="9" t="s">
        <v>37</v>
      </c>
      <c r="D994" s="9" t="s">
        <v>34</v>
      </c>
      <c r="E994" s="9" t="s">
        <v>36</v>
      </c>
      <c r="F994" s="9">
        <v>291000</v>
      </c>
      <c r="G994" s="9" t="s">
        <v>1984</v>
      </c>
      <c r="H994" s="9">
        <f t="shared" si="31"/>
        <v>2021</v>
      </c>
      <c r="I994">
        <f t="shared" si="32"/>
        <v>12</v>
      </c>
    </row>
    <row r="995" spans="2:9" ht="16.5" x14ac:dyDescent="0.25">
      <c r="B995" s="9" t="s">
        <v>1985</v>
      </c>
      <c r="C995" s="9" t="s">
        <v>39</v>
      </c>
      <c r="D995" s="9" t="s">
        <v>39</v>
      </c>
      <c r="E995" s="9" t="s">
        <v>35</v>
      </c>
      <c r="F995" s="9">
        <v>106000</v>
      </c>
      <c r="G995" s="9" t="s">
        <v>1986</v>
      </c>
      <c r="H995" s="9">
        <f t="shared" si="31"/>
        <v>2021</v>
      </c>
      <c r="I995">
        <f t="shared" si="32"/>
        <v>12</v>
      </c>
    </row>
    <row r="996" spans="2:9" ht="16.5" x14ac:dyDescent="0.25">
      <c r="B996" s="9" t="s">
        <v>1987</v>
      </c>
      <c r="C996" s="9" t="s">
        <v>38</v>
      </c>
      <c r="D996" s="9" t="s">
        <v>37</v>
      </c>
      <c r="E996" s="9" t="s">
        <v>34</v>
      </c>
      <c r="F996" s="9">
        <v>126000</v>
      </c>
      <c r="G996" s="9" t="s">
        <v>1988</v>
      </c>
      <c r="H996" s="9">
        <f t="shared" si="31"/>
        <v>2021</v>
      </c>
      <c r="I996">
        <f t="shared" si="32"/>
        <v>12</v>
      </c>
    </row>
    <row r="997" spans="2:9" ht="16.5" x14ac:dyDescent="0.25">
      <c r="B997" s="9" t="s">
        <v>1989</v>
      </c>
      <c r="C997" s="9" t="s">
        <v>56</v>
      </c>
      <c r="D997" s="9" t="s">
        <v>36</v>
      </c>
      <c r="E997" s="9" t="s">
        <v>36</v>
      </c>
      <c r="F997" s="9">
        <v>279000</v>
      </c>
      <c r="G997" s="9" t="s">
        <v>1990</v>
      </c>
      <c r="H997" s="9">
        <f t="shared" si="31"/>
        <v>2021</v>
      </c>
      <c r="I997">
        <f t="shared" si="32"/>
        <v>12</v>
      </c>
    </row>
    <row r="998" spans="2:9" ht="16.5" x14ac:dyDescent="0.25">
      <c r="B998" s="9" t="s">
        <v>1991</v>
      </c>
      <c r="C998" s="9" t="s">
        <v>39</v>
      </c>
      <c r="D998" s="9" t="s">
        <v>40</v>
      </c>
      <c r="E998" s="9" t="s">
        <v>37</v>
      </c>
      <c r="F998" s="9">
        <v>277000</v>
      </c>
      <c r="G998" s="9" t="s">
        <v>1992</v>
      </c>
      <c r="H998" s="9">
        <f t="shared" si="31"/>
        <v>2021</v>
      </c>
      <c r="I998">
        <f t="shared" si="32"/>
        <v>12</v>
      </c>
    </row>
    <row r="999" spans="2:9" ht="16.5" x14ac:dyDescent="0.25">
      <c r="B999" s="9" t="s">
        <v>1993</v>
      </c>
      <c r="C999" s="9" t="s">
        <v>34</v>
      </c>
      <c r="D999" s="9" t="s">
        <v>38</v>
      </c>
      <c r="E999" s="9" t="s">
        <v>36</v>
      </c>
      <c r="F999" s="9">
        <v>248000</v>
      </c>
      <c r="G999" s="9" t="s">
        <v>1994</v>
      </c>
      <c r="H999" s="9">
        <f t="shared" si="31"/>
        <v>2021</v>
      </c>
      <c r="I999">
        <f t="shared" si="32"/>
        <v>12</v>
      </c>
    </row>
    <row r="1000" spans="2:9" ht="16.5" x14ac:dyDescent="0.25">
      <c r="B1000" s="9" t="s">
        <v>1995</v>
      </c>
      <c r="C1000" s="9" t="s">
        <v>38</v>
      </c>
      <c r="D1000" s="9" t="s">
        <v>34</v>
      </c>
      <c r="E1000" s="9" t="s">
        <v>37</v>
      </c>
      <c r="F1000" s="9">
        <v>183000</v>
      </c>
      <c r="G1000" s="9" t="s">
        <v>1996</v>
      </c>
      <c r="H1000" s="9">
        <f t="shared" si="31"/>
        <v>2021</v>
      </c>
      <c r="I1000">
        <f t="shared" si="32"/>
        <v>12</v>
      </c>
    </row>
    <row r="1001" spans="2:9" ht="16.5" x14ac:dyDescent="0.25">
      <c r="B1001" s="9" t="s">
        <v>1997</v>
      </c>
      <c r="C1001" s="9" t="s">
        <v>39</v>
      </c>
      <c r="D1001" s="9" t="s">
        <v>40</v>
      </c>
      <c r="E1001" s="9" t="s">
        <v>38</v>
      </c>
      <c r="F1001" s="9">
        <v>77000</v>
      </c>
      <c r="G1001" s="9" t="s">
        <v>1998</v>
      </c>
      <c r="H1001" s="9">
        <f t="shared" si="31"/>
        <v>2021</v>
      </c>
      <c r="I1001">
        <f t="shared" si="32"/>
        <v>12</v>
      </c>
    </row>
  </sheetData>
  <mergeCells count="2">
    <mergeCell ref="N4:T5"/>
    <mergeCell ref="N7:T8"/>
  </mergeCells>
  <phoneticPr fontId="2" type="noConversion"/>
  <conditionalFormatting sqref="M4:M15">
    <cfRule type="containsText" dxfId="9" priority="1" operator="containsText" text="已達標">
      <formula>NOT(ISERROR(SEARCH("已達標",M4)))</formula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2F60-0FF9-4058-951F-85CE4BD93955}">
  <dimension ref="B1:S1001"/>
  <sheetViews>
    <sheetView showGridLines="0" workbookViewId="0">
      <selection activeCell="N7" sqref="N7:S9"/>
    </sheetView>
  </sheetViews>
  <sheetFormatPr defaultRowHeight="16.5" x14ac:dyDescent="0.25"/>
  <cols>
    <col min="2" max="8" width="9" style="9"/>
    <col min="10" max="10" width="10.125" bestFit="1" customWidth="1"/>
    <col min="11" max="11" width="12" bestFit="1" customWidth="1"/>
  </cols>
  <sheetData>
    <row r="1" spans="2:19" x14ac:dyDescent="0.25">
      <c r="B1" s="9" t="s">
        <v>9</v>
      </c>
      <c r="C1" s="9" t="s">
        <v>1999</v>
      </c>
      <c r="D1" s="9" t="s">
        <v>71</v>
      </c>
      <c r="E1" s="9" t="s">
        <v>72</v>
      </c>
      <c r="F1" s="9" t="s">
        <v>2000</v>
      </c>
      <c r="G1" s="9" t="s">
        <v>2001</v>
      </c>
      <c r="H1" s="9" t="s">
        <v>2699</v>
      </c>
    </row>
    <row r="2" spans="2:19" x14ac:dyDescent="0.25">
      <c r="B2" s="9" t="s">
        <v>34</v>
      </c>
      <c r="C2" s="9" t="s">
        <v>18</v>
      </c>
      <c r="D2" s="9">
        <v>41000</v>
      </c>
      <c r="E2" s="9" t="s">
        <v>2002</v>
      </c>
      <c r="F2" s="9" t="s">
        <v>67</v>
      </c>
      <c r="G2" s="9" t="s">
        <v>61</v>
      </c>
      <c r="H2" s="9" t="str">
        <f>_xlfn.XLOOKUP(G2,Employees!C:C,Employees!B:B,FALSE)</f>
        <v>T009</v>
      </c>
      <c r="J2" s="13" t="s">
        <v>2698</v>
      </c>
      <c r="K2" t="s">
        <v>2697</v>
      </c>
      <c r="L2" s="1" t="s">
        <v>2692</v>
      </c>
    </row>
    <row r="3" spans="2:19" x14ac:dyDescent="0.25">
      <c r="B3" s="9" t="s">
        <v>35</v>
      </c>
      <c r="C3" s="9" t="s">
        <v>22</v>
      </c>
      <c r="D3" s="9">
        <v>230000</v>
      </c>
      <c r="E3" s="9" t="s">
        <v>2003</v>
      </c>
      <c r="F3" s="9" t="s">
        <v>65</v>
      </c>
      <c r="G3" s="9" t="s">
        <v>49</v>
      </c>
      <c r="H3" s="9" t="str">
        <f>_xlfn.XLOOKUP(G3,Employees!C:C,Employees!B:B,FALSE)</f>
        <v>T004</v>
      </c>
      <c r="J3" s="6" t="s">
        <v>47</v>
      </c>
      <c r="K3">
        <v>20343000</v>
      </c>
      <c r="L3" t="str">
        <f>IF(K3&gt;18000000,"績效優良","仍須努力")</f>
        <v>績效優良</v>
      </c>
      <c r="N3" s="19" t="s">
        <v>2702</v>
      </c>
      <c r="O3" s="19"/>
      <c r="P3" s="19"/>
      <c r="Q3" s="19"/>
      <c r="R3" s="19"/>
      <c r="S3" s="19"/>
    </row>
    <row r="4" spans="2:19" x14ac:dyDescent="0.25">
      <c r="B4" s="9" t="s">
        <v>36</v>
      </c>
      <c r="C4" s="9" t="s">
        <v>12</v>
      </c>
      <c r="D4" s="9">
        <v>154000</v>
      </c>
      <c r="E4" s="9" t="s">
        <v>2004</v>
      </c>
      <c r="F4" s="9" t="s">
        <v>64</v>
      </c>
      <c r="G4" s="9" t="s">
        <v>45</v>
      </c>
      <c r="H4" s="9" t="str">
        <f>_xlfn.XLOOKUP(G4,Employees!C:C,Employees!B:B,FALSE)</f>
        <v>T002</v>
      </c>
      <c r="J4" s="6" t="s">
        <v>45</v>
      </c>
      <c r="K4">
        <v>19164000</v>
      </c>
      <c r="L4" t="str">
        <f t="shared" ref="L4:L11" si="0">IF(K4&gt;18000000,"績效優良","仍須努力")</f>
        <v>績效優良</v>
      </c>
      <c r="N4" s="19"/>
      <c r="O4" s="19"/>
      <c r="P4" s="19"/>
      <c r="Q4" s="19"/>
      <c r="R4" s="19"/>
      <c r="S4" s="19"/>
    </row>
    <row r="5" spans="2:19" x14ac:dyDescent="0.25">
      <c r="B5" s="9" t="s">
        <v>37</v>
      </c>
      <c r="C5" s="9" t="s">
        <v>16</v>
      </c>
      <c r="D5" s="9">
        <v>170000</v>
      </c>
      <c r="E5" s="9" t="s">
        <v>2005</v>
      </c>
      <c r="F5" s="9" t="s">
        <v>64</v>
      </c>
      <c r="G5" s="9" t="s">
        <v>58</v>
      </c>
      <c r="H5" s="9" t="str">
        <f>_xlfn.XLOOKUP(G5,Employees!C:C,Employees!B:B,FALSE)</f>
        <v>T008</v>
      </c>
      <c r="J5" s="6" t="s">
        <v>49</v>
      </c>
      <c r="K5">
        <v>19145000</v>
      </c>
      <c r="L5" t="str">
        <f t="shared" si="0"/>
        <v>績效優良</v>
      </c>
      <c r="N5" s="19"/>
      <c r="O5" s="19"/>
      <c r="P5" s="19"/>
      <c r="Q5" s="19"/>
      <c r="R5" s="19"/>
      <c r="S5" s="19"/>
    </row>
    <row r="6" spans="2:19" x14ac:dyDescent="0.25">
      <c r="B6" s="9" t="s">
        <v>38</v>
      </c>
      <c r="C6" s="9" t="s">
        <v>20</v>
      </c>
      <c r="D6" s="9">
        <v>100000</v>
      </c>
      <c r="E6" s="9" t="s">
        <v>2005</v>
      </c>
      <c r="F6" s="9" t="s">
        <v>63</v>
      </c>
      <c r="G6" s="9" t="s">
        <v>43</v>
      </c>
      <c r="H6" s="9" t="str">
        <f>_xlfn.XLOOKUP(G6,Employees!C:C,Employees!B:B,FALSE)</f>
        <v>T001</v>
      </c>
      <c r="J6" s="6" t="s">
        <v>58</v>
      </c>
      <c r="K6">
        <v>18840000</v>
      </c>
      <c r="L6" t="str">
        <f t="shared" si="0"/>
        <v>績效優良</v>
      </c>
      <c r="N6" s="19"/>
      <c r="O6" s="19"/>
      <c r="P6" s="19"/>
      <c r="Q6" s="19"/>
      <c r="R6" s="19"/>
      <c r="S6" s="19"/>
    </row>
    <row r="7" spans="2:19" x14ac:dyDescent="0.25">
      <c r="B7" s="9" t="s">
        <v>39</v>
      </c>
      <c r="C7" s="9" t="s">
        <v>14</v>
      </c>
      <c r="D7" s="9">
        <v>139000</v>
      </c>
      <c r="E7" s="9" t="s">
        <v>2006</v>
      </c>
      <c r="F7" s="9" t="s">
        <v>65</v>
      </c>
      <c r="G7" s="9" t="s">
        <v>53</v>
      </c>
      <c r="H7" s="9" t="str">
        <f>_xlfn.XLOOKUP(G7,Employees!C:C,Employees!B:B,FALSE)</f>
        <v>T006</v>
      </c>
      <c r="J7" s="6" t="s">
        <v>51</v>
      </c>
      <c r="K7">
        <v>18450000</v>
      </c>
      <c r="L7" t="str">
        <f t="shared" si="0"/>
        <v>績效優良</v>
      </c>
      <c r="N7" s="19" t="s">
        <v>2703</v>
      </c>
      <c r="O7" s="19"/>
      <c r="P7" s="19"/>
      <c r="Q7" s="19"/>
      <c r="R7" s="19"/>
      <c r="S7" s="19"/>
    </row>
    <row r="8" spans="2:19" x14ac:dyDescent="0.25">
      <c r="B8" s="9" t="s">
        <v>40</v>
      </c>
      <c r="C8" s="9" t="s">
        <v>12</v>
      </c>
      <c r="D8" s="9">
        <v>93000</v>
      </c>
      <c r="E8" s="9" t="s">
        <v>2007</v>
      </c>
      <c r="F8" s="9" t="s">
        <v>62</v>
      </c>
      <c r="G8" s="9" t="s">
        <v>55</v>
      </c>
      <c r="H8" s="9" t="str">
        <f>_xlfn.XLOOKUP(G8,Employees!C:C,Employees!B:B,FALSE)</f>
        <v>T007</v>
      </c>
      <c r="J8" s="6" t="s">
        <v>53</v>
      </c>
      <c r="K8">
        <v>18408000</v>
      </c>
      <c r="L8" t="str">
        <f t="shared" si="0"/>
        <v>績效優良</v>
      </c>
      <c r="N8" s="19"/>
      <c r="O8" s="19"/>
      <c r="P8" s="19"/>
      <c r="Q8" s="19"/>
      <c r="R8" s="19"/>
      <c r="S8" s="19"/>
    </row>
    <row r="9" spans="2:19" x14ac:dyDescent="0.25">
      <c r="B9" s="9" t="s">
        <v>56</v>
      </c>
      <c r="C9" s="9" t="s">
        <v>12</v>
      </c>
      <c r="D9" s="9">
        <v>247000</v>
      </c>
      <c r="E9" s="9" t="s">
        <v>2008</v>
      </c>
      <c r="F9" s="9" t="s">
        <v>64</v>
      </c>
      <c r="G9" s="9" t="s">
        <v>61</v>
      </c>
      <c r="H9" s="9" t="str">
        <f>_xlfn.XLOOKUP(G9,Employees!C:C,Employees!B:B,FALSE)</f>
        <v>T009</v>
      </c>
      <c r="J9" s="6" t="s">
        <v>61</v>
      </c>
      <c r="K9">
        <v>18313000</v>
      </c>
      <c r="L9" t="str">
        <f t="shared" si="0"/>
        <v>績效優良</v>
      </c>
      <c r="N9" s="19"/>
      <c r="O9" s="19"/>
      <c r="P9" s="19"/>
      <c r="Q9" s="19"/>
      <c r="R9" s="19"/>
      <c r="S9" s="19"/>
    </row>
    <row r="10" spans="2:19" x14ac:dyDescent="0.25">
      <c r="B10" s="9" t="s">
        <v>59</v>
      </c>
      <c r="C10" s="9" t="s">
        <v>16</v>
      </c>
      <c r="D10" s="9">
        <v>58000</v>
      </c>
      <c r="E10" s="9" t="s">
        <v>2009</v>
      </c>
      <c r="F10" s="9" t="s">
        <v>66</v>
      </c>
      <c r="G10" s="9" t="s">
        <v>49</v>
      </c>
      <c r="H10" s="9" t="str">
        <f>_xlfn.XLOOKUP(G10,Employees!C:C,Employees!B:B,FALSE)</f>
        <v>T004</v>
      </c>
      <c r="J10" s="6" t="s">
        <v>43</v>
      </c>
      <c r="K10">
        <v>17646000</v>
      </c>
      <c r="L10" t="str">
        <f t="shared" si="0"/>
        <v>仍須努力</v>
      </c>
    </row>
    <row r="11" spans="2:19" x14ac:dyDescent="0.25">
      <c r="B11" s="9" t="s">
        <v>90</v>
      </c>
      <c r="C11" s="9" t="s">
        <v>16</v>
      </c>
      <c r="D11" s="9">
        <v>231000</v>
      </c>
      <c r="E11" s="9" t="s">
        <v>2009</v>
      </c>
      <c r="F11" s="9" t="s">
        <v>62</v>
      </c>
      <c r="G11" s="9" t="s">
        <v>45</v>
      </c>
      <c r="H11" s="9" t="str">
        <f>_xlfn.XLOOKUP(G11,Employees!C:C,Employees!B:B,FALSE)</f>
        <v>T002</v>
      </c>
      <c r="J11" s="6" t="s">
        <v>55</v>
      </c>
      <c r="K11">
        <v>16762000</v>
      </c>
      <c r="L11" t="str">
        <f t="shared" si="0"/>
        <v>仍須努力</v>
      </c>
    </row>
    <row r="12" spans="2:19" x14ac:dyDescent="0.25">
      <c r="B12" s="9" t="s">
        <v>92</v>
      </c>
      <c r="C12" s="9" t="s">
        <v>22</v>
      </c>
      <c r="D12" s="9">
        <v>183000</v>
      </c>
      <c r="E12" s="9" t="s">
        <v>2009</v>
      </c>
      <c r="F12" s="9" t="s">
        <v>67</v>
      </c>
      <c r="G12" s="9" t="s">
        <v>58</v>
      </c>
      <c r="H12" s="9" t="str">
        <f>_xlfn.XLOOKUP(G12,Employees!C:C,Employees!B:B,FALSE)</f>
        <v>T008</v>
      </c>
      <c r="J12" s="6" t="s">
        <v>2680</v>
      </c>
      <c r="K12">
        <v>167071000</v>
      </c>
    </row>
    <row r="13" spans="2:19" x14ac:dyDescent="0.25">
      <c r="B13" s="9" t="s">
        <v>94</v>
      </c>
      <c r="C13" s="9" t="s">
        <v>14</v>
      </c>
      <c r="D13" s="9">
        <v>156000</v>
      </c>
      <c r="E13" s="9" t="s">
        <v>2010</v>
      </c>
      <c r="F13" s="9" t="s">
        <v>64</v>
      </c>
      <c r="G13" s="9" t="s">
        <v>58</v>
      </c>
      <c r="H13" s="9" t="str">
        <f>_xlfn.XLOOKUP(G13,Employees!C:C,Employees!B:B,FALSE)</f>
        <v>T008</v>
      </c>
    </row>
    <row r="14" spans="2:19" x14ac:dyDescent="0.25">
      <c r="B14" s="9" t="s">
        <v>97</v>
      </c>
      <c r="C14" s="9" t="s">
        <v>18</v>
      </c>
      <c r="D14" s="9">
        <v>66000</v>
      </c>
      <c r="E14" s="9" t="s">
        <v>2010</v>
      </c>
      <c r="F14" s="9" t="s">
        <v>64</v>
      </c>
      <c r="G14" s="9" t="s">
        <v>55</v>
      </c>
      <c r="H14" s="9" t="str">
        <f>_xlfn.XLOOKUP(G14,Employees!C:C,Employees!B:B,FALSE)</f>
        <v>T007</v>
      </c>
    </row>
    <row r="15" spans="2:19" x14ac:dyDescent="0.25">
      <c r="B15" s="9" t="s">
        <v>99</v>
      </c>
      <c r="C15" s="9" t="s">
        <v>20</v>
      </c>
      <c r="D15" s="9">
        <v>80000</v>
      </c>
      <c r="E15" s="9" t="s">
        <v>2011</v>
      </c>
      <c r="F15" s="9" t="s">
        <v>63</v>
      </c>
      <c r="G15" s="9" t="s">
        <v>45</v>
      </c>
      <c r="H15" s="9" t="str">
        <f>_xlfn.XLOOKUP(G15,Employees!C:C,Employees!B:B,FALSE)</f>
        <v>T002</v>
      </c>
    </row>
    <row r="16" spans="2:19" x14ac:dyDescent="0.25">
      <c r="B16" s="9" t="s">
        <v>102</v>
      </c>
      <c r="C16" s="9" t="s">
        <v>22</v>
      </c>
      <c r="D16" s="9">
        <v>31000</v>
      </c>
      <c r="E16" s="9" t="s">
        <v>2011</v>
      </c>
      <c r="F16" s="9" t="s">
        <v>65</v>
      </c>
      <c r="G16" s="9" t="s">
        <v>51</v>
      </c>
      <c r="H16" s="9" t="str">
        <f>_xlfn.XLOOKUP(G16,Employees!C:C,Employees!B:B,FALSE)</f>
        <v>T005</v>
      </c>
    </row>
    <row r="17" spans="2:8" x14ac:dyDescent="0.25">
      <c r="B17" s="9" t="s">
        <v>104</v>
      </c>
      <c r="C17" s="9" t="s">
        <v>14</v>
      </c>
      <c r="D17" s="9">
        <v>217000</v>
      </c>
      <c r="E17" s="9" t="s">
        <v>2011</v>
      </c>
      <c r="F17" s="9" t="s">
        <v>66</v>
      </c>
      <c r="G17" s="9" t="s">
        <v>61</v>
      </c>
      <c r="H17" s="9" t="str">
        <f>_xlfn.XLOOKUP(G17,Employees!C:C,Employees!B:B,FALSE)</f>
        <v>T009</v>
      </c>
    </row>
    <row r="18" spans="2:8" x14ac:dyDescent="0.25">
      <c r="B18" s="9" t="s">
        <v>106</v>
      </c>
      <c r="C18" s="9" t="s">
        <v>16</v>
      </c>
      <c r="D18" s="9">
        <v>239000</v>
      </c>
      <c r="E18" s="9" t="s">
        <v>2011</v>
      </c>
      <c r="F18" s="9" t="s">
        <v>62</v>
      </c>
      <c r="G18" s="9" t="s">
        <v>61</v>
      </c>
      <c r="H18" s="9" t="str">
        <f>_xlfn.XLOOKUP(G18,Employees!C:C,Employees!B:B,FALSE)</f>
        <v>T009</v>
      </c>
    </row>
    <row r="19" spans="2:8" x14ac:dyDescent="0.25">
      <c r="B19" s="9" t="s">
        <v>108</v>
      </c>
      <c r="C19" s="9" t="s">
        <v>22</v>
      </c>
      <c r="D19" s="9">
        <v>120000</v>
      </c>
      <c r="E19" s="9" t="s">
        <v>2012</v>
      </c>
      <c r="F19" s="9" t="s">
        <v>65</v>
      </c>
      <c r="G19" s="9" t="s">
        <v>45</v>
      </c>
      <c r="H19" s="9" t="str">
        <f>_xlfn.XLOOKUP(G19,Employees!C:C,Employees!B:B,FALSE)</f>
        <v>T002</v>
      </c>
    </row>
    <row r="20" spans="2:8" x14ac:dyDescent="0.25">
      <c r="B20" s="9" t="s">
        <v>111</v>
      </c>
      <c r="C20" s="9" t="s">
        <v>22</v>
      </c>
      <c r="D20" s="9">
        <v>246000</v>
      </c>
      <c r="E20" s="9" t="s">
        <v>2012</v>
      </c>
      <c r="F20" s="9" t="s">
        <v>62</v>
      </c>
      <c r="G20" s="9" t="s">
        <v>45</v>
      </c>
      <c r="H20" s="9" t="str">
        <f>_xlfn.XLOOKUP(G20,Employees!C:C,Employees!B:B,FALSE)</f>
        <v>T002</v>
      </c>
    </row>
    <row r="21" spans="2:8" x14ac:dyDescent="0.25">
      <c r="B21" s="9" t="s">
        <v>113</v>
      </c>
      <c r="C21" s="9" t="s">
        <v>14</v>
      </c>
      <c r="D21" s="9">
        <v>79000</v>
      </c>
      <c r="E21" s="9" t="s">
        <v>2013</v>
      </c>
      <c r="F21" s="9" t="s">
        <v>66</v>
      </c>
      <c r="G21" s="9" t="s">
        <v>49</v>
      </c>
      <c r="H21" s="9" t="str">
        <f>_xlfn.XLOOKUP(G21,Employees!C:C,Employees!B:B,FALSE)</f>
        <v>T004</v>
      </c>
    </row>
    <row r="22" spans="2:8" x14ac:dyDescent="0.25">
      <c r="B22" s="9" t="s">
        <v>116</v>
      </c>
      <c r="C22" s="9" t="s">
        <v>16</v>
      </c>
      <c r="D22" s="9">
        <v>167000</v>
      </c>
      <c r="E22" s="9" t="s">
        <v>2013</v>
      </c>
      <c r="F22" s="9" t="s">
        <v>65</v>
      </c>
      <c r="G22" s="9" t="s">
        <v>45</v>
      </c>
      <c r="H22" s="9" t="str">
        <f>_xlfn.XLOOKUP(G22,Employees!C:C,Employees!B:B,FALSE)</f>
        <v>T002</v>
      </c>
    </row>
    <row r="23" spans="2:8" x14ac:dyDescent="0.25">
      <c r="B23" s="9" t="s">
        <v>118</v>
      </c>
      <c r="C23" s="9" t="s">
        <v>22</v>
      </c>
      <c r="D23" s="9">
        <v>111000</v>
      </c>
      <c r="E23" s="9" t="s">
        <v>2014</v>
      </c>
      <c r="F23" s="9" t="s">
        <v>67</v>
      </c>
      <c r="G23" s="9" t="s">
        <v>49</v>
      </c>
      <c r="H23" s="9" t="str">
        <f>_xlfn.XLOOKUP(G23,Employees!C:C,Employees!B:B,FALSE)</f>
        <v>T004</v>
      </c>
    </row>
    <row r="24" spans="2:8" x14ac:dyDescent="0.25">
      <c r="B24" s="9" t="s">
        <v>121</v>
      </c>
      <c r="C24" s="9" t="s">
        <v>14</v>
      </c>
      <c r="D24" s="9">
        <v>215000</v>
      </c>
      <c r="E24" s="9" t="s">
        <v>2014</v>
      </c>
      <c r="F24" s="9" t="s">
        <v>66</v>
      </c>
      <c r="G24" s="9" t="s">
        <v>51</v>
      </c>
      <c r="H24" s="9" t="str">
        <f>_xlfn.XLOOKUP(G24,Employees!C:C,Employees!B:B,FALSE)</f>
        <v>T005</v>
      </c>
    </row>
    <row r="25" spans="2:8" x14ac:dyDescent="0.25">
      <c r="B25" s="9" t="s">
        <v>123</v>
      </c>
      <c r="C25" s="9" t="s">
        <v>18</v>
      </c>
      <c r="D25" s="9">
        <v>84000</v>
      </c>
      <c r="E25" s="9" t="s">
        <v>2014</v>
      </c>
      <c r="F25" s="9" t="s">
        <v>63</v>
      </c>
      <c r="G25" s="9" t="s">
        <v>47</v>
      </c>
      <c r="H25" s="9" t="str">
        <f>_xlfn.XLOOKUP(G25,Employees!C:C,Employees!B:B,FALSE)</f>
        <v>T003</v>
      </c>
    </row>
    <row r="26" spans="2:8" x14ac:dyDescent="0.25">
      <c r="B26" s="9" t="s">
        <v>125</v>
      </c>
      <c r="C26" s="9" t="s">
        <v>16</v>
      </c>
      <c r="D26" s="9">
        <v>275000</v>
      </c>
      <c r="E26" s="9" t="s">
        <v>2014</v>
      </c>
      <c r="F26" s="9" t="s">
        <v>62</v>
      </c>
      <c r="G26" s="9" t="s">
        <v>45</v>
      </c>
      <c r="H26" s="9" t="str">
        <f>_xlfn.XLOOKUP(G26,Employees!C:C,Employees!B:B,FALSE)</f>
        <v>T002</v>
      </c>
    </row>
    <row r="27" spans="2:8" x14ac:dyDescent="0.25">
      <c r="B27" s="9" t="s">
        <v>127</v>
      </c>
      <c r="C27" s="9" t="s">
        <v>14</v>
      </c>
      <c r="D27" s="9">
        <v>119000</v>
      </c>
      <c r="E27" s="9" t="s">
        <v>2015</v>
      </c>
      <c r="F27" s="9" t="s">
        <v>63</v>
      </c>
      <c r="G27" s="9" t="s">
        <v>49</v>
      </c>
      <c r="H27" s="9" t="str">
        <f>_xlfn.XLOOKUP(G27,Employees!C:C,Employees!B:B,FALSE)</f>
        <v>T004</v>
      </c>
    </row>
    <row r="28" spans="2:8" x14ac:dyDescent="0.25">
      <c r="B28" s="9" t="s">
        <v>130</v>
      </c>
      <c r="C28" s="9" t="s">
        <v>22</v>
      </c>
      <c r="D28" s="9">
        <v>88000</v>
      </c>
      <c r="E28" s="9" t="s">
        <v>2016</v>
      </c>
      <c r="F28" s="9" t="s">
        <v>63</v>
      </c>
      <c r="G28" s="9" t="s">
        <v>47</v>
      </c>
      <c r="H28" s="9" t="str">
        <f>_xlfn.XLOOKUP(G28,Employees!C:C,Employees!B:B,FALSE)</f>
        <v>T003</v>
      </c>
    </row>
    <row r="29" spans="2:8" x14ac:dyDescent="0.25">
      <c r="B29" s="9" t="s">
        <v>133</v>
      </c>
      <c r="C29" s="9" t="s">
        <v>12</v>
      </c>
      <c r="D29" s="9">
        <v>199000</v>
      </c>
      <c r="E29" s="9" t="s">
        <v>2017</v>
      </c>
      <c r="F29" s="9" t="s">
        <v>64</v>
      </c>
      <c r="G29" s="9" t="s">
        <v>45</v>
      </c>
      <c r="H29" s="9" t="str">
        <f>_xlfn.XLOOKUP(G29,Employees!C:C,Employees!B:B,FALSE)</f>
        <v>T002</v>
      </c>
    </row>
    <row r="30" spans="2:8" x14ac:dyDescent="0.25">
      <c r="B30" s="9" t="s">
        <v>136</v>
      </c>
      <c r="C30" s="9" t="s">
        <v>20</v>
      </c>
      <c r="D30" s="9">
        <v>47000</v>
      </c>
      <c r="E30" s="9" t="s">
        <v>2017</v>
      </c>
      <c r="F30" s="9" t="s">
        <v>64</v>
      </c>
      <c r="G30" s="9" t="s">
        <v>51</v>
      </c>
      <c r="H30" s="9" t="str">
        <f>_xlfn.XLOOKUP(G30,Employees!C:C,Employees!B:B,FALSE)</f>
        <v>T005</v>
      </c>
    </row>
    <row r="31" spans="2:8" x14ac:dyDescent="0.25">
      <c r="B31" s="9" t="s">
        <v>138</v>
      </c>
      <c r="C31" s="9" t="s">
        <v>14</v>
      </c>
      <c r="D31" s="9">
        <v>52000</v>
      </c>
      <c r="E31" s="9" t="s">
        <v>2018</v>
      </c>
      <c r="F31" s="9" t="s">
        <v>62</v>
      </c>
      <c r="G31" s="9" t="s">
        <v>45</v>
      </c>
      <c r="H31" s="9" t="str">
        <f>_xlfn.XLOOKUP(G31,Employees!C:C,Employees!B:B,FALSE)</f>
        <v>T002</v>
      </c>
    </row>
    <row r="32" spans="2:8" x14ac:dyDescent="0.25">
      <c r="B32" s="9" t="s">
        <v>141</v>
      </c>
      <c r="C32" s="9" t="s">
        <v>24</v>
      </c>
      <c r="D32" s="9">
        <v>141000</v>
      </c>
      <c r="E32" s="9" t="s">
        <v>2019</v>
      </c>
      <c r="F32" s="9" t="s">
        <v>64</v>
      </c>
      <c r="G32" s="9" t="s">
        <v>43</v>
      </c>
      <c r="H32" s="9" t="str">
        <f>_xlfn.XLOOKUP(G32,Employees!C:C,Employees!B:B,FALSE)</f>
        <v>T001</v>
      </c>
    </row>
    <row r="33" spans="2:8" x14ac:dyDescent="0.25">
      <c r="B33" s="9" t="s">
        <v>144</v>
      </c>
      <c r="C33" s="9" t="s">
        <v>22</v>
      </c>
      <c r="D33" s="9">
        <v>273000</v>
      </c>
      <c r="E33" s="9" t="s">
        <v>2019</v>
      </c>
      <c r="F33" s="9" t="s">
        <v>63</v>
      </c>
      <c r="G33" s="9" t="s">
        <v>47</v>
      </c>
      <c r="H33" s="9" t="str">
        <f>_xlfn.XLOOKUP(G33,Employees!C:C,Employees!B:B,FALSE)</f>
        <v>T003</v>
      </c>
    </row>
    <row r="34" spans="2:8" x14ac:dyDescent="0.25">
      <c r="B34" s="9" t="s">
        <v>146</v>
      </c>
      <c r="C34" s="9" t="s">
        <v>22</v>
      </c>
      <c r="D34" s="9">
        <v>268000</v>
      </c>
      <c r="E34" s="9" t="s">
        <v>2020</v>
      </c>
      <c r="F34" s="9" t="s">
        <v>66</v>
      </c>
      <c r="G34" s="9" t="s">
        <v>58</v>
      </c>
      <c r="H34" s="9" t="str">
        <f>_xlfn.XLOOKUP(G34,Employees!C:C,Employees!B:B,FALSE)</f>
        <v>T008</v>
      </c>
    </row>
    <row r="35" spans="2:8" x14ac:dyDescent="0.25">
      <c r="B35" s="9" t="s">
        <v>149</v>
      </c>
      <c r="C35" s="9" t="s">
        <v>12</v>
      </c>
      <c r="D35" s="9">
        <v>255000</v>
      </c>
      <c r="E35" s="9" t="s">
        <v>2020</v>
      </c>
      <c r="F35" s="9" t="s">
        <v>66</v>
      </c>
      <c r="G35" s="9" t="s">
        <v>43</v>
      </c>
      <c r="H35" s="9" t="str">
        <f>_xlfn.XLOOKUP(G35,Employees!C:C,Employees!B:B,FALSE)</f>
        <v>T001</v>
      </c>
    </row>
    <row r="36" spans="2:8" x14ac:dyDescent="0.25">
      <c r="B36" s="9" t="s">
        <v>151</v>
      </c>
      <c r="C36" s="9" t="s">
        <v>24</v>
      </c>
      <c r="D36" s="9">
        <v>105000</v>
      </c>
      <c r="E36" s="9" t="s">
        <v>2021</v>
      </c>
      <c r="F36" s="9" t="s">
        <v>67</v>
      </c>
      <c r="G36" s="9" t="s">
        <v>45</v>
      </c>
      <c r="H36" s="9" t="str">
        <f>_xlfn.XLOOKUP(G36,Employees!C:C,Employees!B:B,FALSE)</f>
        <v>T002</v>
      </c>
    </row>
    <row r="37" spans="2:8" x14ac:dyDescent="0.25">
      <c r="B37" s="9" t="s">
        <v>154</v>
      </c>
      <c r="C37" s="9" t="s">
        <v>14</v>
      </c>
      <c r="D37" s="9">
        <v>238000</v>
      </c>
      <c r="E37" s="9" t="s">
        <v>2022</v>
      </c>
      <c r="F37" s="9" t="s">
        <v>67</v>
      </c>
      <c r="G37" s="9" t="s">
        <v>61</v>
      </c>
      <c r="H37" s="9" t="str">
        <f>_xlfn.XLOOKUP(G37,Employees!C:C,Employees!B:B,FALSE)</f>
        <v>T009</v>
      </c>
    </row>
    <row r="38" spans="2:8" x14ac:dyDescent="0.25">
      <c r="B38" s="9" t="s">
        <v>157</v>
      </c>
      <c r="C38" s="9" t="s">
        <v>18</v>
      </c>
      <c r="D38" s="9">
        <v>222000</v>
      </c>
      <c r="E38" s="9" t="s">
        <v>2022</v>
      </c>
      <c r="F38" s="9" t="s">
        <v>64</v>
      </c>
      <c r="G38" s="9" t="s">
        <v>53</v>
      </c>
      <c r="H38" s="9" t="str">
        <f>_xlfn.XLOOKUP(G38,Employees!C:C,Employees!B:B,FALSE)</f>
        <v>T006</v>
      </c>
    </row>
    <row r="39" spans="2:8" x14ac:dyDescent="0.25">
      <c r="B39" s="9" t="s">
        <v>159</v>
      </c>
      <c r="C39" s="9" t="s">
        <v>16</v>
      </c>
      <c r="D39" s="9">
        <v>270000</v>
      </c>
      <c r="E39" s="9" t="s">
        <v>2023</v>
      </c>
      <c r="F39" s="9" t="s">
        <v>63</v>
      </c>
      <c r="G39" s="9" t="s">
        <v>49</v>
      </c>
      <c r="H39" s="9" t="str">
        <f>_xlfn.XLOOKUP(G39,Employees!C:C,Employees!B:B,FALSE)</f>
        <v>T004</v>
      </c>
    </row>
    <row r="40" spans="2:8" x14ac:dyDescent="0.25">
      <c r="B40" s="9" t="s">
        <v>162</v>
      </c>
      <c r="C40" s="9" t="s">
        <v>14</v>
      </c>
      <c r="D40" s="9">
        <v>244000</v>
      </c>
      <c r="E40" s="9" t="s">
        <v>2023</v>
      </c>
      <c r="F40" s="9" t="s">
        <v>67</v>
      </c>
      <c r="G40" s="9" t="s">
        <v>51</v>
      </c>
      <c r="H40" s="9" t="str">
        <f>_xlfn.XLOOKUP(G40,Employees!C:C,Employees!B:B,FALSE)</f>
        <v>T005</v>
      </c>
    </row>
    <row r="41" spans="2:8" x14ac:dyDescent="0.25">
      <c r="B41" s="9" t="s">
        <v>164</v>
      </c>
      <c r="C41" s="9" t="s">
        <v>18</v>
      </c>
      <c r="D41" s="9">
        <v>64000</v>
      </c>
      <c r="E41" s="9" t="s">
        <v>2024</v>
      </c>
      <c r="F41" s="9" t="s">
        <v>67</v>
      </c>
      <c r="G41" s="9" t="s">
        <v>58</v>
      </c>
      <c r="H41" s="9" t="str">
        <f>_xlfn.XLOOKUP(G41,Employees!C:C,Employees!B:B,FALSE)</f>
        <v>T008</v>
      </c>
    </row>
    <row r="42" spans="2:8" x14ac:dyDescent="0.25">
      <c r="B42" s="9" t="s">
        <v>167</v>
      </c>
      <c r="C42" s="9" t="s">
        <v>12</v>
      </c>
      <c r="D42" s="9">
        <v>130000</v>
      </c>
      <c r="E42" s="9" t="s">
        <v>2025</v>
      </c>
      <c r="F42" s="9" t="s">
        <v>67</v>
      </c>
      <c r="G42" s="9" t="s">
        <v>58</v>
      </c>
      <c r="H42" s="9" t="str">
        <f>_xlfn.XLOOKUP(G42,Employees!C:C,Employees!B:B,FALSE)</f>
        <v>T008</v>
      </c>
    </row>
    <row r="43" spans="2:8" x14ac:dyDescent="0.25">
      <c r="B43" s="9" t="s">
        <v>170</v>
      </c>
      <c r="C43" s="9" t="s">
        <v>12</v>
      </c>
      <c r="D43" s="9">
        <v>296000</v>
      </c>
      <c r="E43" s="9" t="s">
        <v>2026</v>
      </c>
      <c r="F43" s="9" t="s">
        <v>62</v>
      </c>
      <c r="G43" s="9" t="s">
        <v>53</v>
      </c>
      <c r="H43" s="9" t="str">
        <f>_xlfn.XLOOKUP(G43,Employees!C:C,Employees!B:B,FALSE)</f>
        <v>T006</v>
      </c>
    </row>
    <row r="44" spans="2:8" x14ac:dyDescent="0.25">
      <c r="B44" s="9" t="s">
        <v>173</v>
      </c>
      <c r="C44" s="9" t="s">
        <v>22</v>
      </c>
      <c r="D44" s="9">
        <v>173000</v>
      </c>
      <c r="E44" s="9" t="s">
        <v>2027</v>
      </c>
      <c r="F44" s="9" t="s">
        <v>66</v>
      </c>
      <c r="G44" s="9" t="s">
        <v>45</v>
      </c>
      <c r="H44" s="9" t="str">
        <f>_xlfn.XLOOKUP(G44,Employees!C:C,Employees!B:B,FALSE)</f>
        <v>T002</v>
      </c>
    </row>
    <row r="45" spans="2:8" x14ac:dyDescent="0.25">
      <c r="B45" s="9" t="s">
        <v>176</v>
      </c>
      <c r="C45" s="9" t="s">
        <v>20</v>
      </c>
      <c r="D45" s="9">
        <v>108000</v>
      </c>
      <c r="E45" s="9" t="s">
        <v>2028</v>
      </c>
      <c r="F45" s="9" t="s">
        <v>67</v>
      </c>
      <c r="G45" s="9" t="s">
        <v>51</v>
      </c>
      <c r="H45" s="9" t="str">
        <f>_xlfn.XLOOKUP(G45,Employees!C:C,Employees!B:B,FALSE)</f>
        <v>T005</v>
      </c>
    </row>
    <row r="46" spans="2:8" x14ac:dyDescent="0.25">
      <c r="B46" s="9" t="s">
        <v>179</v>
      </c>
      <c r="C46" s="9" t="s">
        <v>22</v>
      </c>
      <c r="D46" s="9">
        <v>138000</v>
      </c>
      <c r="E46" s="9" t="s">
        <v>2029</v>
      </c>
      <c r="F46" s="9" t="s">
        <v>64</v>
      </c>
      <c r="G46" s="9" t="s">
        <v>58</v>
      </c>
      <c r="H46" s="9" t="str">
        <f>_xlfn.XLOOKUP(G46,Employees!C:C,Employees!B:B,FALSE)</f>
        <v>T008</v>
      </c>
    </row>
    <row r="47" spans="2:8" x14ac:dyDescent="0.25">
      <c r="B47" s="9" t="s">
        <v>182</v>
      </c>
      <c r="C47" s="9" t="s">
        <v>12</v>
      </c>
      <c r="D47" s="9">
        <v>228000</v>
      </c>
      <c r="E47" s="9" t="s">
        <v>2029</v>
      </c>
      <c r="F47" s="9" t="s">
        <v>62</v>
      </c>
      <c r="G47" s="9" t="s">
        <v>61</v>
      </c>
      <c r="H47" s="9" t="str">
        <f>_xlfn.XLOOKUP(G47,Employees!C:C,Employees!B:B,FALSE)</f>
        <v>T009</v>
      </c>
    </row>
    <row r="48" spans="2:8" x14ac:dyDescent="0.25">
      <c r="B48" s="9" t="s">
        <v>184</v>
      </c>
      <c r="C48" s="9" t="s">
        <v>20</v>
      </c>
      <c r="D48" s="9">
        <v>60000</v>
      </c>
      <c r="E48" s="9" t="s">
        <v>2030</v>
      </c>
      <c r="F48" s="9" t="s">
        <v>66</v>
      </c>
      <c r="G48" s="9" t="s">
        <v>53</v>
      </c>
      <c r="H48" s="9" t="str">
        <f>_xlfn.XLOOKUP(G48,Employees!C:C,Employees!B:B,FALSE)</f>
        <v>T006</v>
      </c>
    </row>
    <row r="49" spans="2:8" x14ac:dyDescent="0.25">
      <c r="B49" s="9" t="s">
        <v>187</v>
      </c>
      <c r="C49" s="9" t="s">
        <v>12</v>
      </c>
      <c r="D49" s="9">
        <v>98000</v>
      </c>
      <c r="E49" s="9" t="s">
        <v>2031</v>
      </c>
      <c r="F49" s="9" t="s">
        <v>67</v>
      </c>
      <c r="G49" s="9" t="s">
        <v>55</v>
      </c>
      <c r="H49" s="9" t="str">
        <f>_xlfn.XLOOKUP(G49,Employees!C:C,Employees!B:B,FALSE)</f>
        <v>T007</v>
      </c>
    </row>
    <row r="50" spans="2:8" x14ac:dyDescent="0.25">
      <c r="B50" s="9" t="s">
        <v>190</v>
      </c>
      <c r="C50" s="9" t="s">
        <v>20</v>
      </c>
      <c r="D50" s="9">
        <v>251000</v>
      </c>
      <c r="E50" s="9" t="s">
        <v>2032</v>
      </c>
      <c r="F50" s="9" t="s">
        <v>66</v>
      </c>
      <c r="G50" s="9" t="s">
        <v>47</v>
      </c>
      <c r="H50" s="9" t="str">
        <f>_xlfn.XLOOKUP(G50,Employees!C:C,Employees!B:B,FALSE)</f>
        <v>T003</v>
      </c>
    </row>
    <row r="51" spans="2:8" x14ac:dyDescent="0.25">
      <c r="B51" s="9" t="s">
        <v>193</v>
      </c>
      <c r="C51" s="9" t="s">
        <v>20</v>
      </c>
      <c r="D51" s="9">
        <v>256000</v>
      </c>
      <c r="E51" s="9" t="s">
        <v>2033</v>
      </c>
      <c r="F51" s="9" t="s">
        <v>63</v>
      </c>
      <c r="G51" s="9" t="s">
        <v>61</v>
      </c>
      <c r="H51" s="9" t="str">
        <f>_xlfn.XLOOKUP(G51,Employees!C:C,Employees!B:B,FALSE)</f>
        <v>T009</v>
      </c>
    </row>
    <row r="52" spans="2:8" x14ac:dyDescent="0.25">
      <c r="B52" s="9" t="s">
        <v>196</v>
      </c>
      <c r="C52" s="9" t="s">
        <v>16</v>
      </c>
      <c r="D52" s="9">
        <v>120000</v>
      </c>
      <c r="E52" s="9" t="s">
        <v>2034</v>
      </c>
      <c r="F52" s="9" t="s">
        <v>63</v>
      </c>
      <c r="G52" s="9" t="s">
        <v>53</v>
      </c>
      <c r="H52" s="9" t="str">
        <f>_xlfn.XLOOKUP(G52,Employees!C:C,Employees!B:B,FALSE)</f>
        <v>T006</v>
      </c>
    </row>
    <row r="53" spans="2:8" x14ac:dyDescent="0.25">
      <c r="B53" s="9" t="s">
        <v>198</v>
      </c>
      <c r="C53" s="9" t="s">
        <v>14</v>
      </c>
      <c r="D53" s="9">
        <v>70000</v>
      </c>
      <c r="E53" s="9" t="s">
        <v>2035</v>
      </c>
      <c r="F53" s="9" t="s">
        <v>63</v>
      </c>
      <c r="G53" s="9" t="s">
        <v>47</v>
      </c>
      <c r="H53" s="9" t="str">
        <f>_xlfn.XLOOKUP(G53,Employees!C:C,Employees!B:B,FALSE)</f>
        <v>T003</v>
      </c>
    </row>
    <row r="54" spans="2:8" x14ac:dyDescent="0.25">
      <c r="B54" s="9" t="s">
        <v>201</v>
      </c>
      <c r="C54" s="9" t="s">
        <v>22</v>
      </c>
      <c r="D54" s="9">
        <v>33000</v>
      </c>
      <c r="E54" s="9" t="s">
        <v>2035</v>
      </c>
      <c r="F54" s="9" t="s">
        <v>62</v>
      </c>
      <c r="G54" s="9" t="s">
        <v>47</v>
      </c>
      <c r="H54" s="9" t="str">
        <f>_xlfn.XLOOKUP(G54,Employees!C:C,Employees!B:B,FALSE)</f>
        <v>T003</v>
      </c>
    </row>
    <row r="55" spans="2:8" x14ac:dyDescent="0.25">
      <c r="B55" s="9" t="s">
        <v>203</v>
      </c>
      <c r="C55" s="9" t="s">
        <v>18</v>
      </c>
      <c r="D55" s="9">
        <v>186000</v>
      </c>
      <c r="E55" s="9" t="s">
        <v>2036</v>
      </c>
      <c r="F55" s="9" t="s">
        <v>63</v>
      </c>
      <c r="G55" s="9" t="s">
        <v>43</v>
      </c>
      <c r="H55" s="9" t="str">
        <f>_xlfn.XLOOKUP(G55,Employees!C:C,Employees!B:B,FALSE)</f>
        <v>T001</v>
      </c>
    </row>
    <row r="56" spans="2:8" x14ac:dyDescent="0.25">
      <c r="B56" s="9" t="s">
        <v>206</v>
      </c>
      <c r="C56" s="9" t="s">
        <v>20</v>
      </c>
      <c r="D56" s="9">
        <v>204000</v>
      </c>
      <c r="E56" s="9" t="s">
        <v>2037</v>
      </c>
      <c r="F56" s="9" t="s">
        <v>63</v>
      </c>
      <c r="G56" s="9" t="s">
        <v>53</v>
      </c>
      <c r="H56" s="9" t="str">
        <f>_xlfn.XLOOKUP(G56,Employees!C:C,Employees!B:B,FALSE)</f>
        <v>T006</v>
      </c>
    </row>
    <row r="57" spans="2:8" x14ac:dyDescent="0.25">
      <c r="B57" s="9" t="s">
        <v>209</v>
      </c>
      <c r="C57" s="9" t="s">
        <v>12</v>
      </c>
      <c r="D57" s="9">
        <v>239000</v>
      </c>
      <c r="E57" s="9" t="s">
        <v>2037</v>
      </c>
      <c r="F57" s="9" t="s">
        <v>66</v>
      </c>
      <c r="G57" s="9" t="s">
        <v>43</v>
      </c>
      <c r="H57" s="9" t="str">
        <f>_xlfn.XLOOKUP(G57,Employees!C:C,Employees!B:B,FALSE)</f>
        <v>T001</v>
      </c>
    </row>
    <row r="58" spans="2:8" x14ac:dyDescent="0.25">
      <c r="B58" s="9" t="s">
        <v>210</v>
      </c>
      <c r="C58" s="9" t="s">
        <v>24</v>
      </c>
      <c r="D58" s="9">
        <v>258000</v>
      </c>
      <c r="E58" s="9" t="s">
        <v>2038</v>
      </c>
      <c r="F58" s="9" t="s">
        <v>67</v>
      </c>
      <c r="G58" s="9" t="s">
        <v>61</v>
      </c>
      <c r="H58" s="9" t="str">
        <f>_xlfn.XLOOKUP(G58,Employees!C:C,Employees!B:B,FALSE)</f>
        <v>T009</v>
      </c>
    </row>
    <row r="59" spans="2:8" x14ac:dyDescent="0.25">
      <c r="B59" s="9" t="s">
        <v>213</v>
      </c>
      <c r="C59" s="9" t="s">
        <v>14</v>
      </c>
      <c r="D59" s="9">
        <v>264000</v>
      </c>
      <c r="E59" s="9" t="s">
        <v>2039</v>
      </c>
      <c r="F59" s="9" t="s">
        <v>67</v>
      </c>
      <c r="G59" s="9" t="s">
        <v>58</v>
      </c>
      <c r="H59" s="9" t="str">
        <f>_xlfn.XLOOKUP(G59,Employees!C:C,Employees!B:B,FALSE)</f>
        <v>T008</v>
      </c>
    </row>
    <row r="60" spans="2:8" x14ac:dyDescent="0.25">
      <c r="B60" s="9" t="s">
        <v>216</v>
      </c>
      <c r="C60" s="9" t="s">
        <v>16</v>
      </c>
      <c r="D60" s="9">
        <v>287000</v>
      </c>
      <c r="E60" s="9" t="s">
        <v>2039</v>
      </c>
      <c r="F60" s="9" t="s">
        <v>62</v>
      </c>
      <c r="G60" s="9" t="s">
        <v>49</v>
      </c>
      <c r="H60" s="9" t="str">
        <f>_xlfn.XLOOKUP(G60,Employees!C:C,Employees!B:B,FALSE)</f>
        <v>T004</v>
      </c>
    </row>
    <row r="61" spans="2:8" x14ac:dyDescent="0.25">
      <c r="B61" s="9" t="s">
        <v>218</v>
      </c>
      <c r="C61" s="9" t="s">
        <v>14</v>
      </c>
      <c r="D61" s="9">
        <v>226000</v>
      </c>
      <c r="E61" s="9" t="s">
        <v>2039</v>
      </c>
      <c r="F61" s="9" t="s">
        <v>64</v>
      </c>
      <c r="G61" s="9" t="s">
        <v>58</v>
      </c>
      <c r="H61" s="9" t="str">
        <f>_xlfn.XLOOKUP(G61,Employees!C:C,Employees!B:B,FALSE)</f>
        <v>T008</v>
      </c>
    </row>
    <row r="62" spans="2:8" x14ac:dyDescent="0.25">
      <c r="B62" s="9" t="s">
        <v>220</v>
      </c>
      <c r="C62" s="9" t="s">
        <v>24</v>
      </c>
      <c r="D62" s="9">
        <v>246000</v>
      </c>
      <c r="E62" s="9" t="s">
        <v>2039</v>
      </c>
      <c r="F62" s="9" t="s">
        <v>62</v>
      </c>
      <c r="G62" s="9" t="s">
        <v>45</v>
      </c>
      <c r="H62" s="9" t="str">
        <f>_xlfn.XLOOKUP(G62,Employees!C:C,Employees!B:B,FALSE)</f>
        <v>T002</v>
      </c>
    </row>
    <row r="63" spans="2:8" x14ac:dyDescent="0.25">
      <c r="B63" s="9" t="s">
        <v>221</v>
      </c>
      <c r="C63" s="9" t="s">
        <v>16</v>
      </c>
      <c r="D63" s="9">
        <v>213000</v>
      </c>
      <c r="E63" s="9" t="s">
        <v>2040</v>
      </c>
      <c r="F63" s="9" t="s">
        <v>65</v>
      </c>
      <c r="G63" s="9" t="s">
        <v>61</v>
      </c>
      <c r="H63" s="9" t="str">
        <f>_xlfn.XLOOKUP(G63,Employees!C:C,Employees!B:B,FALSE)</f>
        <v>T009</v>
      </c>
    </row>
    <row r="64" spans="2:8" x14ac:dyDescent="0.25">
      <c r="B64" s="9" t="s">
        <v>224</v>
      </c>
      <c r="C64" s="9" t="s">
        <v>16</v>
      </c>
      <c r="D64" s="9">
        <v>249000</v>
      </c>
      <c r="E64" s="9" t="s">
        <v>2041</v>
      </c>
      <c r="F64" s="9" t="s">
        <v>64</v>
      </c>
      <c r="G64" s="9" t="s">
        <v>45</v>
      </c>
      <c r="H64" s="9" t="str">
        <f>_xlfn.XLOOKUP(G64,Employees!C:C,Employees!B:B,FALSE)</f>
        <v>T002</v>
      </c>
    </row>
    <row r="65" spans="2:8" x14ac:dyDescent="0.25">
      <c r="B65" s="9" t="s">
        <v>227</v>
      </c>
      <c r="C65" s="9" t="s">
        <v>18</v>
      </c>
      <c r="D65" s="9">
        <v>297000</v>
      </c>
      <c r="E65" s="9" t="s">
        <v>2041</v>
      </c>
      <c r="F65" s="9" t="s">
        <v>66</v>
      </c>
      <c r="G65" s="9" t="s">
        <v>49</v>
      </c>
      <c r="H65" s="9" t="str">
        <f>_xlfn.XLOOKUP(G65,Employees!C:C,Employees!B:B,FALSE)</f>
        <v>T004</v>
      </c>
    </row>
    <row r="66" spans="2:8" x14ac:dyDescent="0.25">
      <c r="B66" s="9" t="s">
        <v>229</v>
      </c>
      <c r="C66" s="9" t="s">
        <v>16</v>
      </c>
      <c r="D66" s="9">
        <v>180000</v>
      </c>
      <c r="E66" s="9" t="s">
        <v>2042</v>
      </c>
      <c r="F66" s="9" t="s">
        <v>63</v>
      </c>
      <c r="G66" s="9" t="s">
        <v>55</v>
      </c>
      <c r="H66" s="9" t="str">
        <f>_xlfn.XLOOKUP(G66,Employees!C:C,Employees!B:B,FALSE)</f>
        <v>T007</v>
      </c>
    </row>
    <row r="67" spans="2:8" x14ac:dyDescent="0.25">
      <c r="B67" s="9" t="s">
        <v>232</v>
      </c>
      <c r="C67" s="9" t="s">
        <v>20</v>
      </c>
      <c r="D67" s="9">
        <v>30000</v>
      </c>
      <c r="E67" s="9" t="s">
        <v>2043</v>
      </c>
      <c r="F67" s="9" t="s">
        <v>63</v>
      </c>
      <c r="G67" s="9" t="s">
        <v>58</v>
      </c>
      <c r="H67" s="9" t="str">
        <f>_xlfn.XLOOKUP(G67,Employees!C:C,Employees!B:B,FALSE)</f>
        <v>T008</v>
      </c>
    </row>
    <row r="68" spans="2:8" x14ac:dyDescent="0.25">
      <c r="B68" s="9" t="s">
        <v>235</v>
      </c>
      <c r="C68" s="9" t="s">
        <v>14</v>
      </c>
      <c r="D68" s="9">
        <v>106000</v>
      </c>
      <c r="E68" s="9" t="s">
        <v>2044</v>
      </c>
      <c r="F68" s="9" t="s">
        <v>67</v>
      </c>
      <c r="G68" s="9" t="s">
        <v>49</v>
      </c>
      <c r="H68" s="9" t="str">
        <f>_xlfn.XLOOKUP(G68,Employees!C:C,Employees!B:B,FALSE)</f>
        <v>T004</v>
      </c>
    </row>
    <row r="69" spans="2:8" x14ac:dyDescent="0.25">
      <c r="B69" s="9" t="s">
        <v>238</v>
      </c>
      <c r="C69" s="9" t="s">
        <v>20</v>
      </c>
      <c r="D69" s="9">
        <v>281000</v>
      </c>
      <c r="E69" s="9" t="s">
        <v>2045</v>
      </c>
      <c r="F69" s="9" t="s">
        <v>64</v>
      </c>
      <c r="G69" s="9" t="s">
        <v>45</v>
      </c>
      <c r="H69" s="9" t="str">
        <f>_xlfn.XLOOKUP(G69,Employees!C:C,Employees!B:B,FALSE)</f>
        <v>T002</v>
      </c>
    </row>
    <row r="70" spans="2:8" x14ac:dyDescent="0.25">
      <c r="B70" s="9" t="s">
        <v>241</v>
      </c>
      <c r="C70" s="9" t="s">
        <v>18</v>
      </c>
      <c r="D70" s="9">
        <v>92000</v>
      </c>
      <c r="E70" s="9" t="s">
        <v>2045</v>
      </c>
      <c r="F70" s="9" t="s">
        <v>66</v>
      </c>
      <c r="G70" s="9" t="s">
        <v>61</v>
      </c>
      <c r="H70" s="9" t="str">
        <f>_xlfn.XLOOKUP(G70,Employees!C:C,Employees!B:B,FALSE)</f>
        <v>T009</v>
      </c>
    </row>
    <row r="71" spans="2:8" x14ac:dyDescent="0.25">
      <c r="B71" s="9" t="s">
        <v>243</v>
      </c>
      <c r="C71" s="9" t="s">
        <v>16</v>
      </c>
      <c r="D71" s="9">
        <v>78000</v>
      </c>
      <c r="E71" s="9" t="s">
        <v>2046</v>
      </c>
      <c r="F71" s="9" t="s">
        <v>65</v>
      </c>
      <c r="G71" s="9" t="s">
        <v>45</v>
      </c>
      <c r="H71" s="9" t="str">
        <f>_xlfn.XLOOKUP(G71,Employees!C:C,Employees!B:B,FALSE)</f>
        <v>T002</v>
      </c>
    </row>
    <row r="72" spans="2:8" x14ac:dyDescent="0.25">
      <c r="B72" s="9" t="s">
        <v>246</v>
      </c>
      <c r="C72" s="9" t="s">
        <v>18</v>
      </c>
      <c r="D72" s="9">
        <v>192000</v>
      </c>
      <c r="E72" s="9" t="s">
        <v>2046</v>
      </c>
      <c r="F72" s="9" t="s">
        <v>67</v>
      </c>
      <c r="G72" s="9" t="s">
        <v>47</v>
      </c>
      <c r="H72" s="9" t="str">
        <f>_xlfn.XLOOKUP(G72,Employees!C:C,Employees!B:B,FALSE)</f>
        <v>T003</v>
      </c>
    </row>
    <row r="73" spans="2:8" x14ac:dyDescent="0.25">
      <c r="B73" s="9" t="s">
        <v>248</v>
      </c>
      <c r="C73" s="9" t="s">
        <v>14</v>
      </c>
      <c r="D73" s="9">
        <v>126000</v>
      </c>
      <c r="E73" s="9" t="s">
        <v>2047</v>
      </c>
      <c r="F73" s="9" t="s">
        <v>63</v>
      </c>
      <c r="G73" s="9" t="s">
        <v>51</v>
      </c>
      <c r="H73" s="9" t="str">
        <f>_xlfn.XLOOKUP(G73,Employees!C:C,Employees!B:B,FALSE)</f>
        <v>T005</v>
      </c>
    </row>
    <row r="74" spans="2:8" x14ac:dyDescent="0.25">
      <c r="B74" s="9" t="s">
        <v>251</v>
      </c>
      <c r="C74" s="9" t="s">
        <v>14</v>
      </c>
      <c r="D74" s="9">
        <v>115000</v>
      </c>
      <c r="E74" s="9" t="s">
        <v>2047</v>
      </c>
      <c r="F74" s="9" t="s">
        <v>67</v>
      </c>
      <c r="G74" s="9" t="s">
        <v>58</v>
      </c>
      <c r="H74" s="9" t="str">
        <f>_xlfn.XLOOKUP(G74,Employees!C:C,Employees!B:B,FALSE)</f>
        <v>T008</v>
      </c>
    </row>
    <row r="75" spans="2:8" x14ac:dyDescent="0.25">
      <c r="B75" s="9" t="s">
        <v>253</v>
      </c>
      <c r="C75" s="9" t="s">
        <v>20</v>
      </c>
      <c r="D75" s="9">
        <v>191000</v>
      </c>
      <c r="E75" s="9" t="s">
        <v>2048</v>
      </c>
      <c r="F75" s="9" t="s">
        <v>62</v>
      </c>
      <c r="G75" s="9" t="s">
        <v>49</v>
      </c>
      <c r="H75" s="9" t="str">
        <f>_xlfn.XLOOKUP(G75,Employees!C:C,Employees!B:B,FALSE)</f>
        <v>T004</v>
      </c>
    </row>
    <row r="76" spans="2:8" x14ac:dyDescent="0.25">
      <c r="B76" s="9" t="s">
        <v>256</v>
      </c>
      <c r="C76" s="9" t="s">
        <v>18</v>
      </c>
      <c r="D76" s="9">
        <v>289000</v>
      </c>
      <c r="E76" s="9" t="s">
        <v>2049</v>
      </c>
      <c r="F76" s="9" t="s">
        <v>65</v>
      </c>
      <c r="G76" s="9" t="s">
        <v>51</v>
      </c>
      <c r="H76" s="9" t="str">
        <f>_xlfn.XLOOKUP(G76,Employees!C:C,Employees!B:B,FALSE)</f>
        <v>T005</v>
      </c>
    </row>
    <row r="77" spans="2:8" x14ac:dyDescent="0.25">
      <c r="B77" s="9" t="s">
        <v>259</v>
      </c>
      <c r="C77" s="9" t="s">
        <v>20</v>
      </c>
      <c r="D77" s="9">
        <v>127000</v>
      </c>
      <c r="E77" s="9" t="s">
        <v>2049</v>
      </c>
      <c r="F77" s="9" t="s">
        <v>67</v>
      </c>
      <c r="G77" s="9" t="s">
        <v>53</v>
      </c>
      <c r="H77" s="9" t="str">
        <f>_xlfn.XLOOKUP(G77,Employees!C:C,Employees!B:B,FALSE)</f>
        <v>T006</v>
      </c>
    </row>
    <row r="78" spans="2:8" x14ac:dyDescent="0.25">
      <c r="B78" s="9" t="s">
        <v>261</v>
      </c>
      <c r="C78" s="9" t="s">
        <v>14</v>
      </c>
      <c r="D78" s="9">
        <v>207000</v>
      </c>
      <c r="E78" s="9" t="s">
        <v>2049</v>
      </c>
      <c r="F78" s="9" t="s">
        <v>66</v>
      </c>
      <c r="G78" s="9" t="s">
        <v>45</v>
      </c>
      <c r="H78" s="9" t="str">
        <f>_xlfn.XLOOKUP(G78,Employees!C:C,Employees!B:B,FALSE)</f>
        <v>T002</v>
      </c>
    </row>
    <row r="79" spans="2:8" x14ac:dyDescent="0.25">
      <c r="B79" s="9" t="s">
        <v>263</v>
      </c>
      <c r="C79" s="9" t="s">
        <v>18</v>
      </c>
      <c r="D79" s="9">
        <v>152000</v>
      </c>
      <c r="E79" s="9" t="s">
        <v>2050</v>
      </c>
      <c r="F79" s="9" t="s">
        <v>65</v>
      </c>
      <c r="G79" s="9" t="s">
        <v>45</v>
      </c>
      <c r="H79" s="9" t="str">
        <f>_xlfn.XLOOKUP(G79,Employees!C:C,Employees!B:B,FALSE)</f>
        <v>T002</v>
      </c>
    </row>
    <row r="80" spans="2:8" x14ac:dyDescent="0.25">
      <c r="B80" s="9" t="s">
        <v>266</v>
      </c>
      <c r="C80" s="9" t="s">
        <v>22</v>
      </c>
      <c r="D80" s="9">
        <v>113000</v>
      </c>
      <c r="E80" s="9" t="s">
        <v>2051</v>
      </c>
      <c r="F80" s="9" t="s">
        <v>65</v>
      </c>
      <c r="G80" s="9" t="s">
        <v>55</v>
      </c>
      <c r="H80" s="9" t="str">
        <f>_xlfn.XLOOKUP(G80,Employees!C:C,Employees!B:B,FALSE)</f>
        <v>T007</v>
      </c>
    </row>
    <row r="81" spans="2:8" x14ac:dyDescent="0.25">
      <c r="B81" s="9" t="s">
        <v>269</v>
      </c>
      <c r="C81" s="9" t="s">
        <v>16</v>
      </c>
      <c r="D81" s="9">
        <v>112000</v>
      </c>
      <c r="E81" s="9" t="s">
        <v>2052</v>
      </c>
      <c r="F81" s="9" t="s">
        <v>65</v>
      </c>
      <c r="G81" s="9" t="s">
        <v>53</v>
      </c>
      <c r="H81" s="9" t="str">
        <f>_xlfn.XLOOKUP(G81,Employees!C:C,Employees!B:B,FALSE)</f>
        <v>T006</v>
      </c>
    </row>
    <row r="82" spans="2:8" x14ac:dyDescent="0.25">
      <c r="B82" s="9" t="s">
        <v>272</v>
      </c>
      <c r="C82" s="9" t="s">
        <v>24</v>
      </c>
      <c r="D82" s="9">
        <v>256000</v>
      </c>
      <c r="E82" s="9" t="s">
        <v>2053</v>
      </c>
      <c r="F82" s="9" t="s">
        <v>65</v>
      </c>
      <c r="G82" s="9" t="s">
        <v>49</v>
      </c>
      <c r="H82" s="9" t="str">
        <f>_xlfn.XLOOKUP(G82,Employees!C:C,Employees!B:B,FALSE)</f>
        <v>T004</v>
      </c>
    </row>
    <row r="83" spans="2:8" x14ac:dyDescent="0.25">
      <c r="B83" s="9" t="s">
        <v>274</v>
      </c>
      <c r="C83" s="9" t="s">
        <v>14</v>
      </c>
      <c r="D83" s="9">
        <v>202000</v>
      </c>
      <c r="E83" s="9" t="s">
        <v>2054</v>
      </c>
      <c r="F83" s="9" t="s">
        <v>67</v>
      </c>
      <c r="G83" s="9" t="s">
        <v>47</v>
      </c>
      <c r="H83" s="9" t="str">
        <f>_xlfn.XLOOKUP(G83,Employees!C:C,Employees!B:B,FALSE)</f>
        <v>T003</v>
      </c>
    </row>
    <row r="84" spans="2:8" x14ac:dyDescent="0.25">
      <c r="B84" s="9" t="s">
        <v>277</v>
      </c>
      <c r="C84" s="9" t="s">
        <v>18</v>
      </c>
      <c r="D84" s="9">
        <v>163000</v>
      </c>
      <c r="E84" s="9" t="s">
        <v>2054</v>
      </c>
      <c r="F84" s="9" t="s">
        <v>65</v>
      </c>
      <c r="G84" s="9" t="s">
        <v>43</v>
      </c>
      <c r="H84" s="9" t="str">
        <f>_xlfn.XLOOKUP(G84,Employees!C:C,Employees!B:B,FALSE)</f>
        <v>T001</v>
      </c>
    </row>
    <row r="85" spans="2:8" x14ac:dyDescent="0.25">
      <c r="B85" s="9" t="s">
        <v>279</v>
      </c>
      <c r="C85" s="9" t="s">
        <v>22</v>
      </c>
      <c r="D85" s="9">
        <v>188000</v>
      </c>
      <c r="E85" s="9" t="s">
        <v>2055</v>
      </c>
      <c r="F85" s="9" t="s">
        <v>63</v>
      </c>
      <c r="G85" s="9" t="s">
        <v>61</v>
      </c>
      <c r="H85" s="9" t="str">
        <f>_xlfn.XLOOKUP(G85,Employees!C:C,Employees!B:B,FALSE)</f>
        <v>T009</v>
      </c>
    </row>
    <row r="86" spans="2:8" x14ac:dyDescent="0.25">
      <c r="B86" s="9" t="s">
        <v>282</v>
      </c>
      <c r="C86" s="9" t="s">
        <v>24</v>
      </c>
      <c r="D86" s="9">
        <v>199000</v>
      </c>
      <c r="E86" s="9" t="s">
        <v>2055</v>
      </c>
      <c r="F86" s="9" t="s">
        <v>63</v>
      </c>
      <c r="G86" s="9" t="s">
        <v>43</v>
      </c>
      <c r="H86" s="9" t="str">
        <f>_xlfn.XLOOKUP(G86,Employees!C:C,Employees!B:B,FALSE)</f>
        <v>T001</v>
      </c>
    </row>
    <row r="87" spans="2:8" x14ac:dyDescent="0.25">
      <c r="B87" s="9" t="s">
        <v>283</v>
      </c>
      <c r="C87" s="9" t="s">
        <v>24</v>
      </c>
      <c r="D87" s="9">
        <v>174000</v>
      </c>
      <c r="E87" s="9" t="s">
        <v>2055</v>
      </c>
      <c r="F87" s="9" t="s">
        <v>63</v>
      </c>
      <c r="G87" s="9" t="s">
        <v>55</v>
      </c>
      <c r="H87" s="9" t="str">
        <f>_xlfn.XLOOKUP(G87,Employees!C:C,Employees!B:B,FALSE)</f>
        <v>T007</v>
      </c>
    </row>
    <row r="88" spans="2:8" x14ac:dyDescent="0.25">
      <c r="B88" s="9" t="s">
        <v>285</v>
      </c>
      <c r="C88" s="9" t="s">
        <v>24</v>
      </c>
      <c r="D88" s="9">
        <v>55000</v>
      </c>
      <c r="E88" s="9" t="s">
        <v>2056</v>
      </c>
      <c r="F88" s="9" t="s">
        <v>62</v>
      </c>
      <c r="G88" s="9" t="s">
        <v>53</v>
      </c>
      <c r="H88" s="9" t="str">
        <f>_xlfn.XLOOKUP(G88,Employees!C:C,Employees!B:B,FALSE)</f>
        <v>T006</v>
      </c>
    </row>
    <row r="89" spans="2:8" x14ac:dyDescent="0.25">
      <c r="B89" s="9" t="s">
        <v>288</v>
      </c>
      <c r="C89" s="9" t="s">
        <v>18</v>
      </c>
      <c r="D89" s="9">
        <v>147000</v>
      </c>
      <c r="E89" s="9" t="s">
        <v>2056</v>
      </c>
      <c r="F89" s="9" t="s">
        <v>63</v>
      </c>
      <c r="G89" s="9" t="s">
        <v>55</v>
      </c>
      <c r="H89" s="9" t="str">
        <f>_xlfn.XLOOKUP(G89,Employees!C:C,Employees!B:B,FALSE)</f>
        <v>T007</v>
      </c>
    </row>
    <row r="90" spans="2:8" x14ac:dyDescent="0.25">
      <c r="B90" s="9" t="s">
        <v>290</v>
      </c>
      <c r="C90" s="9" t="s">
        <v>14</v>
      </c>
      <c r="D90" s="9">
        <v>54000</v>
      </c>
      <c r="E90" s="9" t="s">
        <v>2057</v>
      </c>
      <c r="F90" s="9" t="s">
        <v>67</v>
      </c>
      <c r="G90" s="9" t="s">
        <v>49</v>
      </c>
      <c r="H90" s="9" t="str">
        <f>_xlfn.XLOOKUP(G90,Employees!C:C,Employees!B:B,FALSE)</f>
        <v>T004</v>
      </c>
    </row>
    <row r="91" spans="2:8" x14ac:dyDescent="0.25">
      <c r="B91" s="9" t="s">
        <v>293</v>
      </c>
      <c r="C91" s="9" t="s">
        <v>24</v>
      </c>
      <c r="D91" s="9">
        <v>100000</v>
      </c>
      <c r="E91" s="9" t="s">
        <v>2057</v>
      </c>
      <c r="F91" s="9" t="s">
        <v>66</v>
      </c>
      <c r="G91" s="9" t="s">
        <v>53</v>
      </c>
      <c r="H91" s="9" t="str">
        <f>_xlfn.XLOOKUP(G91,Employees!C:C,Employees!B:B,FALSE)</f>
        <v>T006</v>
      </c>
    </row>
    <row r="92" spans="2:8" x14ac:dyDescent="0.25">
      <c r="B92" s="9" t="s">
        <v>294</v>
      </c>
      <c r="C92" s="9" t="s">
        <v>22</v>
      </c>
      <c r="D92" s="9">
        <v>51000</v>
      </c>
      <c r="E92" s="9" t="s">
        <v>2057</v>
      </c>
      <c r="F92" s="9" t="s">
        <v>62</v>
      </c>
      <c r="G92" s="9" t="s">
        <v>47</v>
      </c>
      <c r="H92" s="9" t="str">
        <f>_xlfn.XLOOKUP(G92,Employees!C:C,Employees!B:B,FALSE)</f>
        <v>T003</v>
      </c>
    </row>
    <row r="93" spans="2:8" x14ac:dyDescent="0.25">
      <c r="B93" s="9" t="s">
        <v>296</v>
      </c>
      <c r="C93" s="9" t="s">
        <v>24</v>
      </c>
      <c r="D93" s="9">
        <v>116000</v>
      </c>
      <c r="E93" s="9" t="s">
        <v>2058</v>
      </c>
      <c r="F93" s="9" t="s">
        <v>62</v>
      </c>
      <c r="G93" s="9" t="s">
        <v>47</v>
      </c>
      <c r="H93" s="9" t="str">
        <f>_xlfn.XLOOKUP(G93,Employees!C:C,Employees!B:B,FALSE)</f>
        <v>T003</v>
      </c>
    </row>
    <row r="94" spans="2:8" x14ac:dyDescent="0.25">
      <c r="B94" s="9" t="s">
        <v>299</v>
      </c>
      <c r="C94" s="9" t="s">
        <v>14</v>
      </c>
      <c r="D94" s="9">
        <v>125000</v>
      </c>
      <c r="E94" s="9" t="s">
        <v>2059</v>
      </c>
      <c r="F94" s="9" t="s">
        <v>62</v>
      </c>
      <c r="G94" s="9" t="s">
        <v>47</v>
      </c>
      <c r="H94" s="9" t="str">
        <f>_xlfn.XLOOKUP(G94,Employees!C:C,Employees!B:B,FALSE)</f>
        <v>T003</v>
      </c>
    </row>
    <row r="95" spans="2:8" x14ac:dyDescent="0.25">
      <c r="B95" s="9" t="s">
        <v>302</v>
      </c>
      <c r="C95" s="9" t="s">
        <v>20</v>
      </c>
      <c r="D95" s="9">
        <v>196000</v>
      </c>
      <c r="E95" s="9" t="s">
        <v>2060</v>
      </c>
      <c r="F95" s="9" t="s">
        <v>67</v>
      </c>
      <c r="G95" s="9" t="s">
        <v>45</v>
      </c>
      <c r="H95" s="9" t="str">
        <f>_xlfn.XLOOKUP(G95,Employees!C:C,Employees!B:B,FALSE)</f>
        <v>T002</v>
      </c>
    </row>
    <row r="96" spans="2:8" x14ac:dyDescent="0.25">
      <c r="B96" s="9" t="s">
        <v>305</v>
      </c>
      <c r="C96" s="9" t="s">
        <v>14</v>
      </c>
      <c r="D96" s="9">
        <v>138000</v>
      </c>
      <c r="E96" s="9" t="s">
        <v>2060</v>
      </c>
      <c r="F96" s="9" t="s">
        <v>63</v>
      </c>
      <c r="G96" s="9" t="s">
        <v>55</v>
      </c>
      <c r="H96" s="9" t="str">
        <f>_xlfn.XLOOKUP(G96,Employees!C:C,Employees!B:B,FALSE)</f>
        <v>T007</v>
      </c>
    </row>
    <row r="97" spans="2:8" x14ac:dyDescent="0.25">
      <c r="B97" s="9" t="s">
        <v>306</v>
      </c>
      <c r="C97" s="9" t="s">
        <v>14</v>
      </c>
      <c r="D97" s="9">
        <v>69000</v>
      </c>
      <c r="E97" s="9" t="s">
        <v>2061</v>
      </c>
      <c r="F97" s="9" t="s">
        <v>67</v>
      </c>
      <c r="G97" s="9" t="s">
        <v>45</v>
      </c>
      <c r="H97" s="9" t="str">
        <f>_xlfn.XLOOKUP(G97,Employees!C:C,Employees!B:B,FALSE)</f>
        <v>T002</v>
      </c>
    </row>
    <row r="98" spans="2:8" x14ac:dyDescent="0.25">
      <c r="B98" s="9" t="s">
        <v>309</v>
      </c>
      <c r="C98" s="9" t="s">
        <v>20</v>
      </c>
      <c r="D98" s="9">
        <v>60000</v>
      </c>
      <c r="E98" s="9" t="s">
        <v>2062</v>
      </c>
      <c r="F98" s="9" t="s">
        <v>65</v>
      </c>
      <c r="G98" s="9" t="s">
        <v>49</v>
      </c>
      <c r="H98" s="9" t="str">
        <f>_xlfn.XLOOKUP(G98,Employees!C:C,Employees!B:B,FALSE)</f>
        <v>T004</v>
      </c>
    </row>
    <row r="99" spans="2:8" x14ac:dyDescent="0.25">
      <c r="B99" s="9" t="s">
        <v>311</v>
      </c>
      <c r="C99" s="9" t="s">
        <v>16</v>
      </c>
      <c r="D99" s="9">
        <v>216000</v>
      </c>
      <c r="E99" s="9" t="s">
        <v>2063</v>
      </c>
      <c r="F99" s="9" t="s">
        <v>67</v>
      </c>
      <c r="G99" s="9" t="s">
        <v>43</v>
      </c>
      <c r="H99" s="9" t="str">
        <f>_xlfn.XLOOKUP(G99,Employees!C:C,Employees!B:B,FALSE)</f>
        <v>T001</v>
      </c>
    </row>
    <row r="100" spans="2:8" x14ac:dyDescent="0.25">
      <c r="B100" s="9" t="s">
        <v>314</v>
      </c>
      <c r="C100" s="9" t="s">
        <v>22</v>
      </c>
      <c r="D100" s="9">
        <v>193000</v>
      </c>
      <c r="E100" s="9" t="s">
        <v>2064</v>
      </c>
      <c r="F100" s="9" t="s">
        <v>64</v>
      </c>
      <c r="G100" s="9" t="s">
        <v>55</v>
      </c>
      <c r="H100" s="9" t="str">
        <f>_xlfn.XLOOKUP(G100,Employees!C:C,Employees!B:B,FALSE)</f>
        <v>T007</v>
      </c>
    </row>
    <row r="101" spans="2:8" x14ac:dyDescent="0.25">
      <c r="B101" s="9" t="s">
        <v>317</v>
      </c>
      <c r="C101" s="9" t="s">
        <v>16</v>
      </c>
      <c r="D101" s="9">
        <v>88000</v>
      </c>
      <c r="E101" s="9" t="s">
        <v>2065</v>
      </c>
      <c r="F101" s="9" t="s">
        <v>67</v>
      </c>
      <c r="G101" s="9" t="s">
        <v>58</v>
      </c>
      <c r="H101" s="9" t="str">
        <f>_xlfn.XLOOKUP(G101,Employees!C:C,Employees!B:B,FALSE)</f>
        <v>T008</v>
      </c>
    </row>
    <row r="102" spans="2:8" x14ac:dyDescent="0.25">
      <c r="B102" s="9" t="s">
        <v>319</v>
      </c>
      <c r="C102" s="9" t="s">
        <v>24</v>
      </c>
      <c r="D102" s="9">
        <v>239000</v>
      </c>
      <c r="E102" s="9" t="s">
        <v>2066</v>
      </c>
      <c r="F102" s="9" t="s">
        <v>63</v>
      </c>
      <c r="G102" s="9" t="s">
        <v>53</v>
      </c>
      <c r="H102" s="9" t="str">
        <f>_xlfn.XLOOKUP(G102,Employees!C:C,Employees!B:B,FALSE)</f>
        <v>T006</v>
      </c>
    </row>
    <row r="103" spans="2:8" x14ac:dyDescent="0.25">
      <c r="B103" s="9" t="s">
        <v>321</v>
      </c>
      <c r="C103" s="9" t="s">
        <v>12</v>
      </c>
      <c r="D103" s="9">
        <v>41000</v>
      </c>
      <c r="E103" s="9" t="s">
        <v>2067</v>
      </c>
      <c r="F103" s="9" t="s">
        <v>64</v>
      </c>
      <c r="G103" s="9" t="s">
        <v>51</v>
      </c>
      <c r="H103" s="9" t="str">
        <f>_xlfn.XLOOKUP(G103,Employees!C:C,Employees!B:B,FALSE)</f>
        <v>T005</v>
      </c>
    </row>
    <row r="104" spans="2:8" x14ac:dyDescent="0.25">
      <c r="B104" s="9" t="s">
        <v>323</v>
      </c>
      <c r="C104" s="9" t="s">
        <v>14</v>
      </c>
      <c r="D104" s="9">
        <v>155000</v>
      </c>
      <c r="E104" s="9" t="s">
        <v>2067</v>
      </c>
      <c r="F104" s="9" t="s">
        <v>65</v>
      </c>
      <c r="G104" s="9" t="s">
        <v>45</v>
      </c>
      <c r="H104" s="9" t="str">
        <f>_xlfn.XLOOKUP(G104,Employees!C:C,Employees!B:B,FALSE)</f>
        <v>T002</v>
      </c>
    </row>
    <row r="105" spans="2:8" x14ac:dyDescent="0.25">
      <c r="B105" s="9" t="s">
        <v>325</v>
      </c>
      <c r="C105" s="9" t="s">
        <v>14</v>
      </c>
      <c r="D105" s="9">
        <v>51000</v>
      </c>
      <c r="E105" s="9" t="s">
        <v>2068</v>
      </c>
      <c r="F105" s="9" t="s">
        <v>65</v>
      </c>
      <c r="G105" s="9" t="s">
        <v>51</v>
      </c>
      <c r="H105" s="9" t="str">
        <f>_xlfn.XLOOKUP(G105,Employees!C:C,Employees!B:B,FALSE)</f>
        <v>T005</v>
      </c>
    </row>
    <row r="106" spans="2:8" x14ac:dyDescent="0.25">
      <c r="B106" s="9" t="s">
        <v>327</v>
      </c>
      <c r="C106" s="9" t="s">
        <v>12</v>
      </c>
      <c r="D106" s="9">
        <v>99000</v>
      </c>
      <c r="E106" s="9" t="s">
        <v>2069</v>
      </c>
      <c r="F106" s="9" t="s">
        <v>64</v>
      </c>
      <c r="G106" s="9" t="s">
        <v>43</v>
      </c>
      <c r="H106" s="9" t="str">
        <f>_xlfn.XLOOKUP(G106,Employees!C:C,Employees!B:B,FALSE)</f>
        <v>T001</v>
      </c>
    </row>
    <row r="107" spans="2:8" x14ac:dyDescent="0.25">
      <c r="B107" s="9" t="s">
        <v>330</v>
      </c>
      <c r="C107" s="9" t="s">
        <v>22</v>
      </c>
      <c r="D107" s="9">
        <v>213000</v>
      </c>
      <c r="E107" s="9" t="s">
        <v>2070</v>
      </c>
      <c r="F107" s="9" t="s">
        <v>62</v>
      </c>
      <c r="G107" s="9" t="s">
        <v>45</v>
      </c>
      <c r="H107" s="9" t="str">
        <f>_xlfn.XLOOKUP(G107,Employees!C:C,Employees!B:B,FALSE)</f>
        <v>T002</v>
      </c>
    </row>
    <row r="108" spans="2:8" x14ac:dyDescent="0.25">
      <c r="B108" s="9" t="s">
        <v>332</v>
      </c>
      <c r="C108" s="9" t="s">
        <v>14</v>
      </c>
      <c r="D108" s="9">
        <v>91000</v>
      </c>
      <c r="E108" s="9" t="s">
        <v>2071</v>
      </c>
      <c r="F108" s="9" t="s">
        <v>63</v>
      </c>
      <c r="G108" s="9" t="s">
        <v>49</v>
      </c>
      <c r="H108" s="9" t="str">
        <f>_xlfn.XLOOKUP(G108,Employees!C:C,Employees!B:B,FALSE)</f>
        <v>T004</v>
      </c>
    </row>
    <row r="109" spans="2:8" x14ac:dyDescent="0.25">
      <c r="B109" s="9" t="s">
        <v>335</v>
      </c>
      <c r="C109" s="9" t="s">
        <v>22</v>
      </c>
      <c r="D109" s="9">
        <v>155000</v>
      </c>
      <c r="E109" s="9" t="s">
        <v>2072</v>
      </c>
      <c r="F109" s="9" t="s">
        <v>63</v>
      </c>
      <c r="G109" s="9" t="s">
        <v>43</v>
      </c>
      <c r="H109" s="9" t="str">
        <f>_xlfn.XLOOKUP(G109,Employees!C:C,Employees!B:B,FALSE)</f>
        <v>T001</v>
      </c>
    </row>
    <row r="110" spans="2:8" x14ac:dyDescent="0.25">
      <c r="B110" s="9" t="s">
        <v>337</v>
      </c>
      <c r="C110" s="9" t="s">
        <v>24</v>
      </c>
      <c r="D110" s="9">
        <v>124000</v>
      </c>
      <c r="E110" s="9" t="s">
        <v>2072</v>
      </c>
      <c r="F110" s="9" t="s">
        <v>62</v>
      </c>
      <c r="G110" s="9" t="s">
        <v>51</v>
      </c>
      <c r="H110" s="9" t="str">
        <f>_xlfn.XLOOKUP(G110,Employees!C:C,Employees!B:B,FALSE)</f>
        <v>T005</v>
      </c>
    </row>
    <row r="111" spans="2:8" x14ac:dyDescent="0.25">
      <c r="B111" s="9" t="s">
        <v>339</v>
      </c>
      <c r="C111" s="9" t="s">
        <v>14</v>
      </c>
      <c r="D111" s="9">
        <v>198000</v>
      </c>
      <c r="E111" s="9" t="s">
        <v>2073</v>
      </c>
      <c r="F111" s="9" t="s">
        <v>67</v>
      </c>
      <c r="G111" s="9" t="s">
        <v>45</v>
      </c>
      <c r="H111" s="9" t="str">
        <f>_xlfn.XLOOKUP(G111,Employees!C:C,Employees!B:B,FALSE)</f>
        <v>T002</v>
      </c>
    </row>
    <row r="112" spans="2:8" x14ac:dyDescent="0.25">
      <c r="B112" s="9" t="s">
        <v>342</v>
      </c>
      <c r="C112" s="9" t="s">
        <v>18</v>
      </c>
      <c r="D112" s="9">
        <v>279000</v>
      </c>
      <c r="E112" s="9" t="s">
        <v>2074</v>
      </c>
      <c r="F112" s="9" t="s">
        <v>67</v>
      </c>
      <c r="G112" s="9" t="s">
        <v>61</v>
      </c>
      <c r="H112" s="9" t="str">
        <f>_xlfn.XLOOKUP(G112,Employees!C:C,Employees!B:B,FALSE)</f>
        <v>T009</v>
      </c>
    </row>
    <row r="113" spans="2:8" x14ac:dyDescent="0.25">
      <c r="B113" s="9" t="s">
        <v>345</v>
      </c>
      <c r="C113" s="9" t="s">
        <v>14</v>
      </c>
      <c r="D113" s="9">
        <v>271000</v>
      </c>
      <c r="E113" s="9" t="s">
        <v>2075</v>
      </c>
      <c r="F113" s="9" t="s">
        <v>64</v>
      </c>
      <c r="G113" s="9" t="s">
        <v>47</v>
      </c>
      <c r="H113" s="9" t="str">
        <f>_xlfn.XLOOKUP(G113,Employees!C:C,Employees!B:B,FALSE)</f>
        <v>T003</v>
      </c>
    </row>
    <row r="114" spans="2:8" x14ac:dyDescent="0.25">
      <c r="B114" s="9" t="s">
        <v>348</v>
      </c>
      <c r="C114" s="9" t="s">
        <v>18</v>
      </c>
      <c r="D114" s="9">
        <v>98000</v>
      </c>
      <c r="E114" s="9" t="s">
        <v>2076</v>
      </c>
      <c r="F114" s="9" t="s">
        <v>63</v>
      </c>
      <c r="G114" s="9" t="s">
        <v>49</v>
      </c>
      <c r="H114" s="9" t="str">
        <f>_xlfn.XLOOKUP(G114,Employees!C:C,Employees!B:B,FALSE)</f>
        <v>T004</v>
      </c>
    </row>
    <row r="115" spans="2:8" x14ac:dyDescent="0.25">
      <c r="B115" s="9" t="s">
        <v>350</v>
      </c>
      <c r="C115" s="9" t="s">
        <v>24</v>
      </c>
      <c r="D115" s="9">
        <v>82000</v>
      </c>
      <c r="E115" s="9" t="s">
        <v>2077</v>
      </c>
      <c r="F115" s="9" t="s">
        <v>66</v>
      </c>
      <c r="G115" s="9" t="s">
        <v>55</v>
      </c>
      <c r="H115" s="9" t="str">
        <f>_xlfn.XLOOKUP(G115,Employees!C:C,Employees!B:B,FALSE)</f>
        <v>T007</v>
      </c>
    </row>
    <row r="116" spans="2:8" x14ac:dyDescent="0.25">
      <c r="B116" s="9" t="s">
        <v>353</v>
      </c>
      <c r="C116" s="9" t="s">
        <v>20</v>
      </c>
      <c r="D116" s="9">
        <v>257000</v>
      </c>
      <c r="E116" s="9" t="s">
        <v>2077</v>
      </c>
      <c r="F116" s="9" t="s">
        <v>62</v>
      </c>
      <c r="G116" s="9" t="s">
        <v>53</v>
      </c>
      <c r="H116" s="9" t="str">
        <f>_xlfn.XLOOKUP(G116,Employees!C:C,Employees!B:B,FALSE)</f>
        <v>T006</v>
      </c>
    </row>
    <row r="117" spans="2:8" x14ac:dyDescent="0.25">
      <c r="B117" s="9" t="s">
        <v>355</v>
      </c>
      <c r="C117" s="9" t="s">
        <v>12</v>
      </c>
      <c r="D117" s="9">
        <v>239000</v>
      </c>
      <c r="E117" s="9" t="s">
        <v>2078</v>
      </c>
      <c r="F117" s="9" t="s">
        <v>67</v>
      </c>
      <c r="G117" s="9" t="s">
        <v>61</v>
      </c>
      <c r="H117" s="9" t="str">
        <f>_xlfn.XLOOKUP(G117,Employees!C:C,Employees!B:B,FALSE)</f>
        <v>T009</v>
      </c>
    </row>
    <row r="118" spans="2:8" x14ac:dyDescent="0.25">
      <c r="B118" s="9" t="s">
        <v>357</v>
      </c>
      <c r="C118" s="9" t="s">
        <v>20</v>
      </c>
      <c r="D118" s="9">
        <v>98000</v>
      </c>
      <c r="E118" s="9" t="s">
        <v>2078</v>
      </c>
      <c r="F118" s="9" t="s">
        <v>62</v>
      </c>
      <c r="G118" s="9" t="s">
        <v>43</v>
      </c>
      <c r="H118" s="9" t="str">
        <f>_xlfn.XLOOKUP(G118,Employees!C:C,Employees!B:B,FALSE)</f>
        <v>T001</v>
      </c>
    </row>
    <row r="119" spans="2:8" x14ac:dyDescent="0.25">
      <c r="B119" s="9" t="s">
        <v>358</v>
      </c>
      <c r="C119" s="9" t="s">
        <v>16</v>
      </c>
      <c r="D119" s="9">
        <v>188000</v>
      </c>
      <c r="E119" s="9" t="s">
        <v>2078</v>
      </c>
      <c r="F119" s="9" t="s">
        <v>66</v>
      </c>
      <c r="G119" s="9" t="s">
        <v>49</v>
      </c>
      <c r="H119" s="9" t="str">
        <f>_xlfn.XLOOKUP(G119,Employees!C:C,Employees!B:B,FALSE)</f>
        <v>T004</v>
      </c>
    </row>
    <row r="120" spans="2:8" x14ac:dyDescent="0.25">
      <c r="B120" s="9" t="s">
        <v>359</v>
      </c>
      <c r="C120" s="9" t="s">
        <v>18</v>
      </c>
      <c r="D120" s="9">
        <v>246000</v>
      </c>
      <c r="E120" s="9" t="s">
        <v>2079</v>
      </c>
      <c r="F120" s="9" t="s">
        <v>67</v>
      </c>
      <c r="G120" s="9" t="s">
        <v>45</v>
      </c>
      <c r="H120" s="9" t="str">
        <f>_xlfn.XLOOKUP(G120,Employees!C:C,Employees!B:B,FALSE)</f>
        <v>T002</v>
      </c>
    </row>
    <row r="121" spans="2:8" x14ac:dyDescent="0.25">
      <c r="B121" s="9" t="s">
        <v>361</v>
      </c>
      <c r="C121" s="9" t="s">
        <v>12</v>
      </c>
      <c r="D121" s="9">
        <v>156000</v>
      </c>
      <c r="E121" s="9" t="s">
        <v>2079</v>
      </c>
      <c r="F121" s="9" t="s">
        <v>62</v>
      </c>
      <c r="G121" s="9" t="s">
        <v>61</v>
      </c>
      <c r="H121" s="9" t="str">
        <f>_xlfn.XLOOKUP(G121,Employees!C:C,Employees!B:B,FALSE)</f>
        <v>T009</v>
      </c>
    </row>
    <row r="122" spans="2:8" x14ac:dyDescent="0.25">
      <c r="B122" s="9" t="s">
        <v>362</v>
      </c>
      <c r="C122" s="9" t="s">
        <v>22</v>
      </c>
      <c r="D122" s="9">
        <v>252000</v>
      </c>
      <c r="E122" s="9" t="s">
        <v>2079</v>
      </c>
      <c r="F122" s="9" t="s">
        <v>64</v>
      </c>
      <c r="G122" s="9" t="s">
        <v>53</v>
      </c>
      <c r="H122" s="9" t="str">
        <f>_xlfn.XLOOKUP(G122,Employees!C:C,Employees!B:B,FALSE)</f>
        <v>T006</v>
      </c>
    </row>
    <row r="123" spans="2:8" x14ac:dyDescent="0.25">
      <c r="B123" s="9" t="s">
        <v>364</v>
      </c>
      <c r="C123" s="9" t="s">
        <v>22</v>
      </c>
      <c r="D123" s="9">
        <v>161000</v>
      </c>
      <c r="E123" s="9" t="s">
        <v>2080</v>
      </c>
      <c r="F123" s="9" t="s">
        <v>66</v>
      </c>
      <c r="G123" s="9" t="s">
        <v>51</v>
      </c>
      <c r="H123" s="9" t="str">
        <f>_xlfn.XLOOKUP(G123,Employees!C:C,Employees!B:B,FALSE)</f>
        <v>T005</v>
      </c>
    </row>
    <row r="124" spans="2:8" x14ac:dyDescent="0.25">
      <c r="B124" s="9" t="s">
        <v>367</v>
      </c>
      <c r="C124" s="9" t="s">
        <v>16</v>
      </c>
      <c r="D124" s="9">
        <v>79000</v>
      </c>
      <c r="E124" s="9" t="s">
        <v>2081</v>
      </c>
      <c r="F124" s="9" t="s">
        <v>67</v>
      </c>
      <c r="G124" s="9" t="s">
        <v>49</v>
      </c>
      <c r="H124" s="9" t="str">
        <f>_xlfn.XLOOKUP(G124,Employees!C:C,Employees!B:B,FALSE)</f>
        <v>T004</v>
      </c>
    </row>
    <row r="125" spans="2:8" x14ac:dyDescent="0.25">
      <c r="B125" s="9" t="s">
        <v>369</v>
      </c>
      <c r="C125" s="9" t="s">
        <v>12</v>
      </c>
      <c r="D125" s="9">
        <v>91000</v>
      </c>
      <c r="E125" s="9" t="s">
        <v>2081</v>
      </c>
      <c r="F125" s="9" t="s">
        <v>64</v>
      </c>
      <c r="G125" s="9" t="s">
        <v>49</v>
      </c>
      <c r="H125" s="9" t="str">
        <f>_xlfn.XLOOKUP(G125,Employees!C:C,Employees!B:B,FALSE)</f>
        <v>T004</v>
      </c>
    </row>
    <row r="126" spans="2:8" x14ac:dyDescent="0.25">
      <c r="B126" s="9" t="s">
        <v>370</v>
      </c>
      <c r="C126" s="9" t="s">
        <v>12</v>
      </c>
      <c r="D126" s="9">
        <v>274000</v>
      </c>
      <c r="E126" s="9" t="s">
        <v>2082</v>
      </c>
      <c r="F126" s="9" t="s">
        <v>66</v>
      </c>
      <c r="G126" s="9" t="s">
        <v>58</v>
      </c>
      <c r="H126" s="9" t="str">
        <f>_xlfn.XLOOKUP(G126,Employees!C:C,Employees!B:B,FALSE)</f>
        <v>T008</v>
      </c>
    </row>
    <row r="127" spans="2:8" x14ac:dyDescent="0.25">
      <c r="B127" s="9" t="s">
        <v>373</v>
      </c>
      <c r="C127" s="9" t="s">
        <v>14</v>
      </c>
      <c r="D127" s="9">
        <v>225000</v>
      </c>
      <c r="E127" s="9" t="s">
        <v>2082</v>
      </c>
      <c r="F127" s="9" t="s">
        <v>64</v>
      </c>
      <c r="G127" s="9" t="s">
        <v>53</v>
      </c>
      <c r="H127" s="9" t="str">
        <f>_xlfn.XLOOKUP(G127,Employees!C:C,Employees!B:B,FALSE)</f>
        <v>T006</v>
      </c>
    </row>
    <row r="128" spans="2:8" x14ac:dyDescent="0.25">
      <c r="B128" s="9" t="s">
        <v>375</v>
      </c>
      <c r="C128" s="9" t="s">
        <v>20</v>
      </c>
      <c r="D128" s="9">
        <v>60000</v>
      </c>
      <c r="E128" s="9" t="s">
        <v>2083</v>
      </c>
      <c r="F128" s="9" t="s">
        <v>65</v>
      </c>
      <c r="G128" s="9" t="s">
        <v>53</v>
      </c>
      <c r="H128" s="9" t="str">
        <f>_xlfn.XLOOKUP(G128,Employees!C:C,Employees!B:B,FALSE)</f>
        <v>T006</v>
      </c>
    </row>
    <row r="129" spans="2:8" x14ac:dyDescent="0.25">
      <c r="B129" s="9" t="s">
        <v>377</v>
      </c>
      <c r="C129" s="9" t="s">
        <v>18</v>
      </c>
      <c r="D129" s="9">
        <v>232000</v>
      </c>
      <c r="E129" s="9" t="s">
        <v>2083</v>
      </c>
      <c r="F129" s="9" t="s">
        <v>66</v>
      </c>
      <c r="G129" s="9" t="s">
        <v>58</v>
      </c>
      <c r="H129" s="9" t="str">
        <f>_xlfn.XLOOKUP(G129,Employees!C:C,Employees!B:B,FALSE)</f>
        <v>T008</v>
      </c>
    </row>
    <row r="130" spans="2:8" x14ac:dyDescent="0.25">
      <c r="B130" s="9" t="s">
        <v>379</v>
      </c>
      <c r="C130" s="9" t="s">
        <v>12</v>
      </c>
      <c r="D130" s="9">
        <v>258000</v>
      </c>
      <c r="E130" s="9" t="s">
        <v>2084</v>
      </c>
      <c r="F130" s="9" t="s">
        <v>63</v>
      </c>
      <c r="G130" s="9" t="s">
        <v>53</v>
      </c>
      <c r="H130" s="9" t="str">
        <f>_xlfn.XLOOKUP(G130,Employees!C:C,Employees!B:B,FALSE)</f>
        <v>T006</v>
      </c>
    </row>
    <row r="131" spans="2:8" x14ac:dyDescent="0.25">
      <c r="B131" s="9" t="s">
        <v>381</v>
      </c>
      <c r="C131" s="9" t="s">
        <v>14</v>
      </c>
      <c r="D131" s="9">
        <v>214000</v>
      </c>
      <c r="E131" s="9" t="s">
        <v>2085</v>
      </c>
      <c r="F131" s="9" t="s">
        <v>66</v>
      </c>
      <c r="G131" s="9" t="s">
        <v>45</v>
      </c>
      <c r="H131" s="9" t="str">
        <f>_xlfn.XLOOKUP(G131,Employees!C:C,Employees!B:B,FALSE)</f>
        <v>T002</v>
      </c>
    </row>
    <row r="132" spans="2:8" x14ac:dyDescent="0.25">
      <c r="B132" s="9" t="s">
        <v>384</v>
      </c>
      <c r="C132" s="9" t="s">
        <v>12</v>
      </c>
      <c r="D132" s="9">
        <v>160000</v>
      </c>
      <c r="E132" s="9" t="s">
        <v>2085</v>
      </c>
      <c r="F132" s="9" t="s">
        <v>62</v>
      </c>
      <c r="G132" s="9" t="s">
        <v>53</v>
      </c>
      <c r="H132" s="9" t="str">
        <f>_xlfn.XLOOKUP(G132,Employees!C:C,Employees!B:B,FALSE)</f>
        <v>T006</v>
      </c>
    </row>
    <row r="133" spans="2:8" x14ac:dyDescent="0.25">
      <c r="B133" s="9" t="s">
        <v>386</v>
      </c>
      <c r="C133" s="9" t="s">
        <v>22</v>
      </c>
      <c r="D133" s="9">
        <v>172000</v>
      </c>
      <c r="E133" s="9" t="s">
        <v>2086</v>
      </c>
      <c r="F133" s="9" t="s">
        <v>65</v>
      </c>
      <c r="G133" s="9" t="s">
        <v>55</v>
      </c>
      <c r="H133" s="9" t="str">
        <f>_xlfn.XLOOKUP(G133,Employees!C:C,Employees!B:B,FALSE)</f>
        <v>T007</v>
      </c>
    </row>
    <row r="134" spans="2:8" x14ac:dyDescent="0.25">
      <c r="B134" s="9" t="s">
        <v>389</v>
      </c>
      <c r="C134" s="9" t="s">
        <v>18</v>
      </c>
      <c r="D134" s="9">
        <v>218000</v>
      </c>
      <c r="E134" s="9" t="s">
        <v>2086</v>
      </c>
      <c r="F134" s="9" t="s">
        <v>62</v>
      </c>
      <c r="G134" s="9" t="s">
        <v>53</v>
      </c>
      <c r="H134" s="9" t="str">
        <f>_xlfn.XLOOKUP(G134,Employees!C:C,Employees!B:B,FALSE)</f>
        <v>T006</v>
      </c>
    </row>
    <row r="135" spans="2:8" x14ac:dyDescent="0.25">
      <c r="B135" s="9" t="s">
        <v>391</v>
      </c>
      <c r="C135" s="9" t="s">
        <v>14</v>
      </c>
      <c r="D135" s="9">
        <v>99000</v>
      </c>
      <c r="E135" s="9" t="s">
        <v>2087</v>
      </c>
      <c r="F135" s="9" t="s">
        <v>62</v>
      </c>
      <c r="G135" s="9" t="s">
        <v>61</v>
      </c>
      <c r="H135" s="9" t="str">
        <f>_xlfn.XLOOKUP(G135,Employees!C:C,Employees!B:B,FALSE)</f>
        <v>T009</v>
      </c>
    </row>
    <row r="136" spans="2:8" x14ac:dyDescent="0.25">
      <c r="B136" s="9" t="s">
        <v>393</v>
      </c>
      <c r="C136" s="9" t="s">
        <v>16</v>
      </c>
      <c r="D136" s="9">
        <v>252000</v>
      </c>
      <c r="E136" s="9" t="s">
        <v>2087</v>
      </c>
      <c r="F136" s="9" t="s">
        <v>66</v>
      </c>
      <c r="G136" s="9" t="s">
        <v>61</v>
      </c>
      <c r="H136" s="9" t="str">
        <f>_xlfn.XLOOKUP(G136,Employees!C:C,Employees!B:B,FALSE)</f>
        <v>T009</v>
      </c>
    </row>
    <row r="137" spans="2:8" x14ac:dyDescent="0.25">
      <c r="B137" s="9" t="s">
        <v>394</v>
      </c>
      <c r="C137" s="9" t="s">
        <v>12</v>
      </c>
      <c r="D137" s="9">
        <v>58000</v>
      </c>
      <c r="E137" s="9" t="s">
        <v>2088</v>
      </c>
      <c r="F137" s="9" t="s">
        <v>62</v>
      </c>
      <c r="G137" s="9" t="s">
        <v>51</v>
      </c>
      <c r="H137" s="9" t="str">
        <f>_xlfn.XLOOKUP(G137,Employees!C:C,Employees!B:B,FALSE)</f>
        <v>T005</v>
      </c>
    </row>
    <row r="138" spans="2:8" x14ac:dyDescent="0.25">
      <c r="B138" s="9" t="s">
        <v>396</v>
      </c>
      <c r="C138" s="9" t="s">
        <v>24</v>
      </c>
      <c r="D138" s="9">
        <v>272000</v>
      </c>
      <c r="E138" s="9" t="s">
        <v>2089</v>
      </c>
      <c r="F138" s="9" t="s">
        <v>62</v>
      </c>
      <c r="G138" s="9" t="s">
        <v>47</v>
      </c>
      <c r="H138" s="9" t="str">
        <f>_xlfn.XLOOKUP(G138,Employees!C:C,Employees!B:B,FALSE)</f>
        <v>T003</v>
      </c>
    </row>
    <row r="139" spans="2:8" x14ac:dyDescent="0.25">
      <c r="B139" s="9" t="s">
        <v>399</v>
      </c>
      <c r="C139" s="9" t="s">
        <v>18</v>
      </c>
      <c r="D139" s="9">
        <v>245000</v>
      </c>
      <c r="E139" s="9" t="s">
        <v>2089</v>
      </c>
      <c r="F139" s="9" t="s">
        <v>64</v>
      </c>
      <c r="G139" s="9" t="s">
        <v>43</v>
      </c>
      <c r="H139" s="9" t="str">
        <f>_xlfn.XLOOKUP(G139,Employees!C:C,Employees!B:B,FALSE)</f>
        <v>T001</v>
      </c>
    </row>
    <row r="140" spans="2:8" x14ac:dyDescent="0.25">
      <c r="B140" s="9" t="s">
        <v>401</v>
      </c>
      <c r="C140" s="9" t="s">
        <v>14</v>
      </c>
      <c r="D140" s="9">
        <v>199000</v>
      </c>
      <c r="E140" s="9" t="s">
        <v>2090</v>
      </c>
      <c r="F140" s="9" t="s">
        <v>62</v>
      </c>
      <c r="G140" s="9" t="s">
        <v>55</v>
      </c>
      <c r="H140" s="9" t="str">
        <f>_xlfn.XLOOKUP(G140,Employees!C:C,Employees!B:B,FALSE)</f>
        <v>T007</v>
      </c>
    </row>
    <row r="141" spans="2:8" x14ac:dyDescent="0.25">
      <c r="B141" s="9" t="s">
        <v>403</v>
      </c>
      <c r="C141" s="9" t="s">
        <v>14</v>
      </c>
      <c r="D141" s="9">
        <v>55000</v>
      </c>
      <c r="E141" s="9" t="s">
        <v>2091</v>
      </c>
      <c r="F141" s="9" t="s">
        <v>66</v>
      </c>
      <c r="G141" s="9" t="s">
        <v>61</v>
      </c>
      <c r="H141" s="9" t="str">
        <f>_xlfn.XLOOKUP(G141,Employees!C:C,Employees!B:B,FALSE)</f>
        <v>T009</v>
      </c>
    </row>
    <row r="142" spans="2:8" x14ac:dyDescent="0.25">
      <c r="B142" s="9" t="s">
        <v>405</v>
      </c>
      <c r="C142" s="9" t="s">
        <v>24</v>
      </c>
      <c r="D142" s="9">
        <v>167000</v>
      </c>
      <c r="E142" s="9" t="s">
        <v>2091</v>
      </c>
      <c r="F142" s="9" t="s">
        <v>63</v>
      </c>
      <c r="G142" s="9" t="s">
        <v>45</v>
      </c>
      <c r="H142" s="9" t="str">
        <f>_xlfn.XLOOKUP(G142,Employees!C:C,Employees!B:B,FALSE)</f>
        <v>T002</v>
      </c>
    </row>
    <row r="143" spans="2:8" x14ac:dyDescent="0.25">
      <c r="B143" s="9" t="s">
        <v>406</v>
      </c>
      <c r="C143" s="9" t="s">
        <v>14</v>
      </c>
      <c r="D143" s="9">
        <v>270000</v>
      </c>
      <c r="E143" s="9" t="s">
        <v>2092</v>
      </c>
      <c r="F143" s="9" t="s">
        <v>62</v>
      </c>
      <c r="G143" s="9" t="s">
        <v>43</v>
      </c>
      <c r="H143" s="9" t="str">
        <f>_xlfn.XLOOKUP(G143,Employees!C:C,Employees!B:B,FALSE)</f>
        <v>T001</v>
      </c>
    </row>
    <row r="144" spans="2:8" x14ac:dyDescent="0.25">
      <c r="B144" s="9" t="s">
        <v>408</v>
      </c>
      <c r="C144" s="9" t="s">
        <v>14</v>
      </c>
      <c r="D144" s="9">
        <v>208000</v>
      </c>
      <c r="E144" s="9" t="s">
        <v>2092</v>
      </c>
      <c r="F144" s="9" t="s">
        <v>63</v>
      </c>
      <c r="G144" s="9" t="s">
        <v>53</v>
      </c>
      <c r="H144" s="9" t="str">
        <f>_xlfn.XLOOKUP(G144,Employees!C:C,Employees!B:B,FALSE)</f>
        <v>T006</v>
      </c>
    </row>
    <row r="145" spans="2:8" x14ac:dyDescent="0.25">
      <c r="B145" s="9" t="s">
        <v>410</v>
      </c>
      <c r="C145" s="9" t="s">
        <v>14</v>
      </c>
      <c r="D145" s="9">
        <v>269000</v>
      </c>
      <c r="E145" s="9" t="s">
        <v>2092</v>
      </c>
      <c r="F145" s="9" t="s">
        <v>62</v>
      </c>
      <c r="G145" s="9" t="s">
        <v>51</v>
      </c>
      <c r="H145" s="9" t="str">
        <f>_xlfn.XLOOKUP(G145,Employees!C:C,Employees!B:B,FALSE)</f>
        <v>T005</v>
      </c>
    </row>
    <row r="146" spans="2:8" x14ac:dyDescent="0.25">
      <c r="B146" s="9" t="s">
        <v>412</v>
      </c>
      <c r="C146" s="9" t="s">
        <v>18</v>
      </c>
      <c r="D146" s="9">
        <v>200000</v>
      </c>
      <c r="E146" s="9" t="s">
        <v>2093</v>
      </c>
      <c r="F146" s="9" t="s">
        <v>66</v>
      </c>
      <c r="G146" s="9" t="s">
        <v>47</v>
      </c>
      <c r="H146" s="9" t="str">
        <f>_xlfn.XLOOKUP(G146,Employees!C:C,Employees!B:B,FALSE)</f>
        <v>T003</v>
      </c>
    </row>
    <row r="147" spans="2:8" x14ac:dyDescent="0.25">
      <c r="B147" s="9" t="s">
        <v>415</v>
      </c>
      <c r="C147" s="9" t="s">
        <v>22</v>
      </c>
      <c r="D147" s="9">
        <v>213000</v>
      </c>
      <c r="E147" s="9" t="s">
        <v>2094</v>
      </c>
      <c r="F147" s="9" t="s">
        <v>64</v>
      </c>
      <c r="G147" s="9" t="s">
        <v>61</v>
      </c>
      <c r="H147" s="9" t="str">
        <f>_xlfn.XLOOKUP(G147,Employees!C:C,Employees!B:B,FALSE)</f>
        <v>T009</v>
      </c>
    </row>
    <row r="148" spans="2:8" x14ac:dyDescent="0.25">
      <c r="B148" s="9" t="s">
        <v>417</v>
      </c>
      <c r="C148" s="9" t="s">
        <v>24</v>
      </c>
      <c r="D148" s="9">
        <v>144000</v>
      </c>
      <c r="E148" s="9" t="s">
        <v>2095</v>
      </c>
      <c r="F148" s="9" t="s">
        <v>65</v>
      </c>
      <c r="G148" s="9" t="s">
        <v>53</v>
      </c>
      <c r="H148" s="9" t="str">
        <f>_xlfn.XLOOKUP(G148,Employees!C:C,Employees!B:B,FALSE)</f>
        <v>T006</v>
      </c>
    </row>
    <row r="149" spans="2:8" x14ac:dyDescent="0.25">
      <c r="B149" s="9" t="s">
        <v>420</v>
      </c>
      <c r="C149" s="9" t="s">
        <v>12</v>
      </c>
      <c r="D149" s="9">
        <v>149000</v>
      </c>
      <c r="E149" s="9" t="s">
        <v>2095</v>
      </c>
      <c r="F149" s="9" t="s">
        <v>67</v>
      </c>
      <c r="G149" s="9" t="s">
        <v>45</v>
      </c>
      <c r="H149" s="9" t="str">
        <f>_xlfn.XLOOKUP(G149,Employees!C:C,Employees!B:B,FALSE)</f>
        <v>T002</v>
      </c>
    </row>
    <row r="150" spans="2:8" x14ac:dyDescent="0.25">
      <c r="B150" s="9" t="s">
        <v>422</v>
      </c>
      <c r="C150" s="9" t="s">
        <v>16</v>
      </c>
      <c r="D150" s="9">
        <v>102000</v>
      </c>
      <c r="E150" s="9" t="s">
        <v>2096</v>
      </c>
      <c r="F150" s="9" t="s">
        <v>63</v>
      </c>
      <c r="G150" s="9" t="s">
        <v>53</v>
      </c>
      <c r="H150" s="9" t="str">
        <f>_xlfn.XLOOKUP(G150,Employees!C:C,Employees!B:B,FALSE)</f>
        <v>T006</v>
      </c>
    </row>
    <row r="151" spans="2:8" x14ac:dyDescent="0.25">
      <c r="B151" s="9" t="s">
        <v>425</v>
      </c>
      <c r="C151" s="9" t="s">
        <v>16</v>
      </c>
      <c r="D151" s="9">
        <v>120000</v>
      </c>
      <c r="E151" s="9" t="s">
        <v>2097</v>
      </c>
      <c r="F151" s="9" t="s">
        <v>67</v>
      </c>
      <c r="G151" s="9" t="s">
        <v>45</v>
      </c>
      <c r="H151" s="9" t="str">
        <f>_xlfn.XLOOKUP(G151,Employees!C:C,Employees!B:B,FALSE)</f>
        <v>T002</v>
      </c>
    </row>
    <row r="152" spans="2:8" x14ac:dyDescent="0.25">
      <c r="B152" s="9" t="s">
        <v>427</v>
      </c>
      <c r="C152" s="9" t="s">
        <v>18</v>
      </c>
      <c r="D152" s="9">
        <v>102000</v>
      </c>
      <c r="E152" s="9" t="s">
        <v>2097</v>
      </c>
      <c r="F152" s="9" t="s">
        <v>62</v>
      </c>
      <c r="G152" s="9" t="s">
        <v>51</v>
      </c>
      <c r="H152" s="9" t="str">
        <f>_xlfn.XLOOKUP(G152,Employees!C:C,Employees!B:B,FALSE)</f>
        <v>T005</v>
      </c>
    </row>
    <row r="153" spans="2:8" x14ac:dyDescent="0.25">
      <c r="B153" s="9" t="s">
        <v>428</v>
      </c>
      <c r="C153" s="9" t="s">
        <v>20</v>
      </c>
      <c r="D153" s="9">
        <v>106000</v>
      </c>
      <c r="E153" s="9" t="s">
        <v>2098</v>
      </c>
      <c r="F153" s="9" t="s">
        <v>65</v>
      </c>
      <c r="G153" s="9" t="s">
        <v>55</v>
      </c>
      <c r="H153" s="9" t="str">
        <f>_xlfn.XLOOKUP(G153,Employees!C:C,Employees!B:B,FALSE)</f>
        <v>T007</v>
      </c>
    </row>
    <row r="154" spans="2:8" x14ac:dyDescent="0.25">
      <c r="B154" s="9" t="s">
        <v>430</v>
      </c>
      <c r="C154" s="9" t="s">
        <v>18</v>
      </c>
      <c r="D154" s="9">
        <v>172000</v>
      </c>
      <c r="E154" s="9" t="s">
        <v>2098</v>
      </c>
      <c r="F154" s="9" t="s">
        <v>66</v>
      </c>
      <c r="G154" s="9" t="s">
        <v>43</v>
      </c>
      <c r="H154" s="9" t="str">
        <f>_xlfn.XLOOKUP(G154,Employees!C:C,Employees!B:B,FALSE)</f>
        <v>T001</v>
      </c>
    </row>
    <row r="155" spans="2:8" x14ac:dyDescent="0.25">
      <c r="B155" s="9" t="s">
        <v>431</v>
      </c>
      <c r="C155" s="9" t="s">
        <v>14</v>
      </c>
      <c r="D155" s="9">
        <v>199000</v>
      </c>
      <c r="E155" s="9" t="s">
        <v>2099</v>
      </c>
      <c r="F155" s="9" t="s">
        <v>65</v>
      </c>
      <c r="G155" s="9" t="s">
        <v>53</v>
      </c>
      <c r="H155" s="9" t="str">
        <f>_xlfn.XLOOKUP(G155,Employees!C:C,Employees!B:B,FALSE)</f>
        <v>T006</v>
      </c>
    </row>
    <row r="156" spans="2:8" x14ac:dyDescent="0.25">
      <c r="B156" s="9" t="s">
        <v>433</v>
      </c>
      <c r="C156" s="9" t="s">
        <v>20</v>
      </c>
      <c r="D156" s="9">
        <v>75000</v>
      </c>
      <c r="E156" s="9" t="s">
        <v>2100</v>
      </c>
      <c r="F156" s="9" t="s">
        <v>63</v>
      </c>
      <c r="G156" s="9" t="s">
        <v>43</v>
      </c>
      <c r="H156" s="9" t="str">
        <f>_xlfn.XLOOKUP(G156,Employees!C:C,Employees!B:B,FALSE)</f>
        <v>T001</v>
      </c>
    </row>
    <row r="157" spans="2:8" x14ac:dyDescent="0.25">
      <c r="B157" s="9" t="s">
        <v>436</v>
      </c>
      <c r="C157" s="9" t="s">
        <v>12</v>
      </c>
      <c r="D157" s="9">
        <v>273000</v>
      </c>
      <c r="E157" s="9" t="s">
        <v>2101</v>
      </c>
      <c r="F157" s="9" t="s">
        <v>63</v>
      </c>
      <c r="G157" s="9" t="s">
        <v>49</v>
      </c>
      <c r="H157" s="9" t="str">
        <f>_xlfn.XLOOKUP(G157,Employees!C:C,Employees!B:B,FALSE)</f>
        <v>T004</v>
      </c>
    </row>
    <row r="158" spans="2:8" x14ac:dyDescent="0.25">
      <c r="B158" s="9" t="s">
        <v>438</v>
      </c>
      <c r="C158" s="9" t="s">
        <v>12</v>
      </c>
      <c r="D158" s="9">
        <v>228000</v>
      </c>
      <c r="E158" s="9" t="s">
        <v>2102</v>
      </c>
      <c r="F158" s="9" t="s">
        <v>65</v>
      </c>
      <c r="G158" s="9" t="s">
        <v>49</v>
      </c>
      <c r="H158" s="9" t="str">
        <f>_xlfn.XLOOKUP(G158,Employees!C:C,Employees!B:B,FALSE)</f>
        <v>T004</v>
      </c>
    </row>
    <row r="159" spans="2:8" x14ac:dyDescent="0.25">
      <c r="B159" s="9" t="s">
        <v>440</v>
      </c>
      <c r="C159" s="9" t="s">
        <v>20</v>
      </c>
      <c r="D159" s="9">
        <v>228000</v>
      </c>
      <c r="E159" s="9" t="s">
        <v>2103</v>
      </c>
      <c r="F159" s="9" t="s">
        <v>64</v>
      </c>
      <c r="G159" s="9" t="s">
        <v>49</v>
      </c>
      <c r="H159" s="9" t="str">
        <f>_xlfn.XLOOKUP(G159,Employees!C:C,Employees!B:B,FALSE)</f>
        <v>T004</v>
      </c>
    </row>
    <row r="160" spans="2:8" x14ac:dyDescent="0.25">
      <c r="B160" s="9" t="s">
        <v>442</v>
      </c>
      <c r="C160" s="9" t="s">
        <v>14</v>
      </c>
      <c r="D160" s="9">
        <v>94000</v>
      </c>
      <c r="E160" s="9" t="s">
        <v>2104</v>
      </c>
      <c r="F160" s="9" t="s">
        <v>66</v>
      </c>
      <c r="G160" s="9" t="s">
        <v>47</v>
      </c>
      <c r="H160" s="9" t="str">
        <f>_xlfn.XLOOKUP(G160,Employees!C:C,Employees!B:B,FALSE)</f>
        <v>T003</v>
      </c>
    </row>
    <row r="161" spans="2:8" x14ac:dyDescent="0.25">
      <c r="B161" s="9" t="s">
        <v>445</v>
      </c>
      <c r="C161" s="9" t="s">
        <v>18</v>
      </c>
      <c r="D161" s="9">
        <v>104000</v>
      </c>
      <c r="E161" s="9" t="s">
        <v>2104</v>
      </c>
      <c r="F161" s="9" t="s">
        <v>63</v>
      </c>
      <c r="G161" s="9" t="s">
        <v>53</v>
      </c>
      <c r="H161" s="9" t="str">
        <f>_xlfn.XLOOKUP(G161,Employees!C:C,Employees!B:B,FALSE)</f>
        <v>T006</v>
      </c>
    </row>
    <row r="162" spans="2:8" x14ac:dyDescent="0.25">
      <c r="B162" s="9" t="s">
        <v>447</v>
      </c>
      <c r="C162" s="9" t="s">
        <v>20</v>
      </c>
      <c r="D162" s="9">
        <v>79000</v>
      </c>
      <c r="E162" s="9" t="s">
        <v>2104</v>
      </c>
      <c r="F162" s="9" t="s">
        <v>63</v>
      </c>
      <c r="G162" s="9" t="s">
        <v>53</v>
      </c>
      <c r="H162" s="9" t="str">
        <f>_xlfn.XLOOKUP(G162,Employees!C:C,Employees!B:B,FALSE)</f>
        <v>T006</v>
      </c>
    </row>
    <row r="163" spans="2:8" x14ac:dyDescent="0.25">
      <c r="B163" s="9" t="s">
        <v>448</v>
      </c>
      <c r="C163" s="9" t="s">
        <v>24</v>
      </c>
      <c r="D163" s="9">
        <v>30000</v>
      </c>
      <c r="E163" s="9" t="s">
        <v>2105</v>
      </c>
      <c r="F163" s="9" t="s">
        <v>63</v>
      </c>
      <c r="G163" s="9" t="s">
        <v>51</v>
      </c>
      <c r="H163" s="9" t="str">
        <f>_xlfn.XLOOKUP(G163,Employees!C:C,Employees!B:B,FALSE)</f>
        <v>T005</v>
      </c>
    </row>
    <row r="164" spans="2:8" x14ac:dyDescent="0.25">
      <c r="B164" s="9" t="s">
        <v>450</v>
      </c>
      <c r="C164" s="9" t="s">
        <v>24</v>
      </c>
      <c r="D164" s="9">
        <v>225000</v>
      </c>
      <c r="E164" s="9" t="s">
        <v>2106</v>
      </c>
      <c r="F164" s="9" t="s">
        <v>63</v>
      </c>
      <c r="G164" s="9" t="s">
        <v>49</v>
      </c>
      <c r="H164" s="9" t="str">
        <f>_xlfn.XLOOKUP(G164,Employees!C:C,Employees!B:B,FALSE)</f>
        <v>T004</v>
      </c>
    </row>
    <row r="165" spans="2:8" x14ac:dyDescent="0.25">
      <c r="B165" s="9" t="s">
        <v>452</v>
      </c>
      <c r="C165" s="9" t="s">
        <v>12</v>
      </c>
      <c r="D165" s="9">
        <v>121000</v>
      </c>
      <c r="E165" s="9" t="s">
        <v>2107</v>
      </c>
      <c r="F165" s="9" t="s">
        <v>67</v>
      </c>
      <c r="G165" s="9" t="s">
        <v>51</v>
      </c>
      <c r="H165" s="9" t="str">
        <f>_xlfn.XLOOKUP(G165,Employees!C:C,Employees!B:B,FALSE)</f>
        <v>T005</v>
      </c>
    </row>
    <row r="166" spans="2:8" x14ac:dyDescent="0.25">
      <c r="B166" s="9" t="s">
        <v>455</v>
      </c>
      <c r="C166" s="9" t="s">
        <v>14</v>
      </c>
      <c r="D166" s="9">
        <v>286000</v>
      </c>
      <c r="E166" s="9" t="s">
        <v>2107</v>
      </c>
      <c r="F166" s="9" t="s">
        <v>64</v>
      </c>
      <c r="G166" s="9" t="s">
        <v>43</v>
      </c>
      <c r="H166" s="9" t="str">
        <f>_xlfn.XLOOKUP(G166,Employees!C:C,Employees!B:B,FALSE)</f>
        <v>T001</v>
      </c>
    </row>
    <row r="167" spans="2:8" x14ac:dyDescent="0.25">
      <c r="B167" s="9" t="s">
        <v>457</v>
      </c>
      <c r="C167" s="9" t="s">
        <v>24</v>
      </c>
      <c r="D167" s="9">
        <v>152000</v>
      </c>
      <c r="E167" s="9" t="s">
        <v>2107</v>
      </c>
      <c r="F167" s="9" t="s">
        <v>62</v>
      </c>
      <c r="G167" s="9" t="s">
        <v>49</v>
      </c>
      <c r="H167" s="9" t="str">
        <f>_xlfn.XLOOKUP(G167,Employees!C:C,Employees!B:B,FALSE)</f>
        <v>T004</v>
      </c>
    </row>
    <row r="168" spans="2:8" x14ac:dyDescent="0.25">
      <c r="B168" s="9" t="s">
        <v>458</v>
      </c>
      <c r="C168" s="9" t="s">
        <v>18</v>
      </c>
      <c r="D168" s="9">
        <v>264000</v>
      </c>
      <c r="E168" s="9" t="s">
        <v>2108</v>
      </c>
      <c r="F168" s="9" t="s">
        <v>64</v>
      </c>
      <c r="G168" s="9" t="s">
        <v>47</v>
      </c>
      <c r="H168" s="9" t="str">
        <f>_xlfn.XLOOKUP(G168,Employees!C:C,Employees!B:B,FALSE)</f>
        <v>T003</v>
      </c>
    </row>
    <row r="169" spans="2:8" x14ac:dyDescent="0.25">
      <c r="B169" s="9" t="s">
        <v>460</v>
      </c>
      <c r="C169" s="9" t="s">
        <v>18</v>
      </c>
      <c r="D169" s="9">
        <v>172000</v>
      </c>
      <c r="E169" s="9" t="s">
        <v>2108</v>
      </c>
      <c r="F169" s="9" t="s">
        <v>67</v>
      </c>
      <c r="G169" s="9" t="s">
        <v>55</v>
      </c>
      <c r="H169" s="9" t="str">
        <f>_xlfn.XLOOKUP(G169,Employees!C:C,Employees!B:B,FALSE)</f>
        <v>T007</v>
      </c>
    </row>
    <row r="170" spans="2:8" x14ac:dyDescent="0.25">
      <c r="B170" s="9" t="s">
        <v>461</v>
      </c>
      <c r="C170" s="9" t="s">
        <v>22</v>
      </c>
      <c r="D170" s="9">
        <v>170000</v>
      </c>
      <c r="E170" s="9" t="s">
        <v>2109</v>
      </c>
      <c r="F170" s="9" t="s">
        <v>63</v>
      </c>
      <c r="G170" s="9" t="s">
        <v>61</v>
      </c>
      <c r="H170" s="9" t="str">
        <f>_xlfn.XLOOKUP(G170,Employees!C:C,Employees!B:B,FALSE)</f>
        <v>T009</v>
      </c>
    </row>
    <row r="171" spans="2:8" x14ac:dyDescent="0.25">
      <c r="B171" s="9" t="s">
        <v>463</v>
      </c>
      <c r="C171" s="9" t="s">
        <v>24</v>
      </c>
      <c r="D171" s="9">
        <v>111000</v>
      </c>
      <c r="E171" s="9" t="s">
        <v>2110</v>
      </c>
      <c r="F171" s="9" t="s">
        <v>66</v>
      </c>
      <c r="G171" s="9" t="s">
        <v>53</v>
      </c>
      <c r="H171" s="9" t="str">
        <f>_xlfn.XLOOKUP(G171,Employees!C:C,Employees!B:B,FALSE)</f>
        <v>T006</v>
      </c>
    </row>
    <row r="172" spans="2:8" x14ac:dyDescent="0.25">
      <c r="B172" s="9" t="s">
        <v>465</v>
      </c>
      <c r="C172" s="9" t="s">
        <v>14</v>
      </c>
      <c r="D172" s="9">
        <v>153000</v>
      </c>
      <c r="E172" s="9" t="s">
        <v>2110</v>
      </c>
      <c r="F172" s="9" t="s">
        <v>62</v>
      </c>
      <c r="G172" s="9" t="s">
        <v>47</v>
      </c>
      <c r="H172" s="9" t="str">
        <f>_xlfn.XLOOKUP(G172,Employees!C:C,Employees!B:B,FALSE)</f>
        <v>T003</v>
      </c>
    </row>
    <row r="173" spans="2:8" x14ac:dyDescent="0.25">
      <c r="B173" s="9" t="s">
        <v>467</v>
      </c>
      <c r="C173" s="9" t="s">
        <v>22</v>
      </c>
      <c r="D173" s="9">
        <v>273000</v>
      </c>
      <c r="E173" s="9" t="s">
        <v>2111</v>
      </c>
      <c r="F173" s="9" t="s">
        <v>65</v>
      </c>
      <c r="G173" s="9" t="s">
        <v>43</v>
      </c>
      <c r="H173" s="9" t="str">
        <f>_xlfn.XLOOKUP(G173,Employees!C:C,Employees!B:B,FALSE)</f>
        <v>T001</v>
      </c>
    </row>
    <row r="174" spans="2:8" x14ac:dyDescent="0.25">
      <c r="B174" s="9" t="s">
        <v>469</v>
      </c>
      <c r="C174" s="9" t="s">
        <v>20</v>
      </c>
      <c r="D174" s="9">
        <v>261000</v>
      </c>
      <c r="E174" s="9" t="s">
        <v>2112</v>
      </c>
      <c r="F174" s="9" t="s">
        <v>63</v>
      </c>
      <c r="G174" s="9" t="s">
        <v>47</v>
      </c>
      <c r="H174" s="9" t="str">
        <f>_xlfn.XLOOKUP(G174,Employees!C:C,Employees!B:B,FALSE)</f>
        <v>T003</v>
      </c>
    </row>
    <row r="175" spans="2:8" x14ac:dyDescent="0.25">
      <c r="B175" s="9" t="s">
        <v>472</v>
      </c>
      <c r="C175" s="9" t="s">
        <v>18</v>
      </c>
      <c r="D175" s="9">
        <v>124000</v>
      </c>
      <c r="E175" s="9" t="s">
        <v>2112</v>
      </c>
      <c r="F175" s="9" t="s">
        <v>65</v>
      </c>
      <c r="G175" s="9" t="s">
        <v>45</v>
      </c>
      <c r="H175" s="9" t="str">
        <f>_xlfn.XLOOKUP(G175,Employees!C:C,Employees!B:B,FALSE)</f>
        <v>T002</v>
      </c>
    </row>
    <row r="176" spans="2:8" x14ac:dyDescent="0.25">
      <c r="B176" s="9" t="s">
        <v>473</v>
      </c>
      <c r="C176" s="9" t="s">
        <v>12</v>
      </c>
      <c r="D176" s="9">
        <v>249000</v>
      </c>
      <c r="E176" s="9" t="s">
        <v>2113</v>
      </c>
      <c r="F176" s="9" t="s">
        <v>67</v>
      </c>
      <c r="G176" s="9" t="s">
        <v>43</v>
      </c>
      <c r="H176" s="9" t="str">
        <f>_xlfn.XLOOKUP(G176,Employees!C:C,Employees!B:B,FALSE)</f>
        <v>T001</v>
      </c>
    </row>
    <row r="177" spans="2:8" x14ac:dyDescent="0.25">
      <c r="B177" s="9" t="s">
        <v>475</v>
      </c>
      <c r="C177" s="9" t="s">
        <v>12</v>
      </c>
      <c r="D177" s="9">
        <v>30000</v>
      </c>
      <c r="E177" s="9" t="s">
        <v>2114</v>
      </c>
      <c r="F177" s="9" t="s">
        <v>63</v>
      </c>
      <c r="G177" s="9" t="s">
        <v>47</v>
      </c>
      <c r="H177" s="9" t="str">
        <f>_xlfn.XLOOKUP(G177,Employees!C:C,Employees!B:B,FALSE)</f>
        <v>T003</v>
      </c>
    </row>
    <row r="178" spans="2:8" x14ac:dyDescent="0.25">
      <c r="B178" s="9" t="s">
        <v>477</v>
      </c>
      <c r="C178" s="9" t="s">
        <v>18</v>
      </c>
      <c r="D178" s="9">
        <v>166000</v>
      </c>
      <c r="E178" s="9" t="s">
        <v>2115</v>
      </c>
      <c r="F178" s="9" t="s">
        <v>66</v>
      </c>
      <c r="G178" s="9" t="s">
        <v>61</v>
      </c>
      <c r="H178" s="9" t="str">
        <f>_xlfn.XLOOKUP(G178,Employees!C:C,Employees!B:B,FALSE)</f>
        <v>T009</v>
      </c>
    </row>
    <row r="179" spans="2:8" x14ac:dyDescent="0.25">
      <c r="B179" s="9" t="s">
        <v>480</v>
      </c>
      <c r="C179" s="9" t="s">
        <v>18</v>
      </c>
      <c r="D179" s="9">
        <v>71000</v>
      </c>
      <c r="E179" s="9" t="s">
        <v>2116</v>
      </c>
      <c r="F179" s="9" t="s">
        <v>64</v>
      </c>
      <c r="G179" s="9" t="s">
        <v>58</v>
      </c>
      <c r="H179" s="9" t="str">
        <f>_xlfn.XLOOKUP(G179,Employees!C:C,Employees!B:B,FALSE)</f>
        <v>T008</v>
      </c>
    </row>
    <row r="180" spans="2:8" x14ac:dyDescent="0.25">
      <c r="B180" s="9" t="s">
        <v>483</v>
      </c>
      <c r="C180" s="9" t="s">
        <v>20</v>
      </c>
      <c r="D180" s="9">
        <v>136000</v>
      </c>
      <c r="E180" s="9" t="s">
        <v>2116</v>
      </c>
      <c r="F180" s="9" t="s">
        <v>67</v>
      </c>
      <c r="G180" s="9" t="s">
        <v>55</v>
      </c>
      <c r="H180" s="9" t="str">
        <f>_xlfn.XLOOKUP(G180,Employees!C:C,Employees!B:B,FALSE)</f>
        <v>T007</v>
      </c>
    </row>
    <row r="181" spans="2:8" x14ac:dyDescent="0.25">
      <c r="B181" s="9" t="s">
        <v>485</v>
      </c>
      <c r="C181" s="9" t="s">
        <v>24</v>
      </c>
      <c r="D181" s="9">
        <v>102000</v>
      </c>
      <c r="E181" s="9" t="s">
        <v>2116</v>
      </c>
      <c r="F181" s="9" t="s">
        <v>62</v>
      </c>
      <c r="G181" s="9" t="s">
        <v>61</v>
      </c>
      <c r="H181" s="9" t="str">
        <f>_xlfn.XLOOKUP(G181,Employees!C:C,Employees!B:B,FALSE)</f>
        <v>T009</v>
      </c>
    </row>
    <row r="182" spans="2:8" x14ac:dyDescent="0.25">
      <c r="B182" s="9" t="s">
        <v>486</v>
      </c>
      <c r="C182" s="9" t="s">
        <v>12</v>
      </c>
      <c r="D182" s="9">
        <v>238000</v>
      </c>
      <c r="E182" s="9" t="s">
        <v>2116</v>
      </c>
      <c r="F182" s="9" t="s">
        <v>64</v>
      </c>
      <c r="G182" s="9" t="s">
        <v>55</v>
      </c>
      <c r="H182" s="9" t="str">
        <f>_xlfn.XLOOKUP(G182,Employees!C:C,Employees!B:B,FALSE)</f>
        <v>T007</v>
      </c>
    </row>
    <row r="183" spans="2:8" x14ac:dyDescent="0.25">
      <c r="B183" s="9" t="s">
        <v>487</v>
      </c>
      <c r="C183" s="9" t="s">
        <v>18</v>
      </c>
      <c r="D183" s="9">
        <v>100000</v>
      </c>
      <c r="E183" s="9" t="s">
        <v>2116</v>
      </c>
      <c r="F183" s="9" t="s">
        <v>63</v>
      </c>
      <c r="G183" s="9" t="s">
        <v>53</v>
      </c>
      <c r="H183" s="9" t="str">
        <f>_xlfn.XLOOKUP(G183,Employees!C:C,Employees!B:B,FALSE)</f>
        <v>T006</v>
      </c>
    </row>
    <row r="184" spans="2:8" x14ac:dyDescent="0.25">
      <c r="B184" s="9" t="s">
        <v>488</v>
      </c>
      <c r="C184" s="9" t="s">
        <v>14</v>
      </c>
      <c r="D184" s="9">
        <v>63000</v>
      </c>
      <c r="E184" s="9" t="s">
        <v>2117</v>
      </c>
      <c r="F184" s="9" t="s">
        <v>62</v>
      </c>
      <c r="G184" s="9" t="s">
        <v>49</v>
      </c>
      <c r="H184" s="9" t="str">
        <f>_xlfn.XLOOKUP(G184,Employees!C:C,Employees!B:B,FALSE)</f>
        <v>T004</v>
      </c>
    </row>
    <row r="185" spans="2:8" x14ac:dyDescent="0.25">
      <c r="B185" s="9" t="s">
        <v>491</v>
      </c>
      <c r="C185" s="9" t="s">
        <v>18</v>
      </c>
      <c r="D185" s="9">
        <v>65000</v>
      </c>
      <c r="E185" s="9" t="s">
        <v>2117</v>
      </c>
      <c r="F185" s="9" t="s">
        <v>65</v>
      </c>
      <c r="G185" s="9" t="s">
        <v>58</v>
      </c>
      <c r="H185" s="9" t="str">
        <f>_xlfn.XLOOKUP(G185,Employees!C:C,Employees!B:B,FALSE)</f>
        <v>T008</v>
      </c>
    </row>
    <row r="186" spans="2:8" x14ac:dyDescent="0.25">
      <c r="B186" s="9" t="s">
        <v>493</v>
      </c>
      <c r="C186" s="9" t="s">
        <v>16</v>
      </c>
      <c r="D186" s="9">
        <v>266000</v>
      </c>
      <c r="E186" s="9" t="s">
        <v>2118</v>
      </c>
      <c r="F186" s="9" t="s">
        <v>64</v>
      </c>
      <c r="G186" s="9" t="s">
        <v>45</v>
      </c>
      <c r="H186" s="9" t="str">
        <f>_xlfn.XLOOKUP(G186,Employees!C:C,Employees!B:B,FALSE)</f>
        <v>T002</v>
      </c>
    </row>
    <row r="187" spans="2:8" x14ac:dyDescent="0.25">
      <c r="B187" s="9" t="s">
        <v>496</v>
      </c>
      <c r="C187" s="9" t="s">
        <v>24</v>
      </c>
      <c r="D187" s="9">
        <v>259000</v>
      </c>
      <c r="E187" s="9" t="s">
        <v>2118</v>
      </c>
      <c r="F187" s="9" t="s">
        <v>62</v>
      </c>
      <c r="G187" s="9" t="s">
        <v>61</v>
      </c>
      <c r="H187" s="9" t="str">
        <f>_xlfn.XLOOKUP(G187,Employees!C:C,Employees!B:B,FALSE)</f>
        <v>T009</v>
      </c>
    </row>
    <row r="188" spans="2:8" x14ac:dyDescent="0.25">
      <c r="B188" s="9" t="s">
        <v>498</v>
      </c>
      <c r="C188" s="9" t="s">
        <v>16</v>
      </c>
      <c r="D188" s="9">
        <v>216000</v>
      </c>
      <c r="E188" s="9" t="s">
        <v>2119</v>
      </c>
      <c r="F188" s="9" t="s">
        <v>66</v>
      </c>
      <c r="G188" s="9" t="s">
        <v>58</v>
      </c>
      <c r="H188" s="9" t="str">
        <f>_xlfn.XLOOKUP(G188,Employees!C:C,Employees!B:B,FALSE)</f>
        <v>T008</v>
      </c>
    </row>
    <row r="189" spans="2:8" x14ac:dyDescent="0.25">
      <c r="B189" s="9" t="s">
        <v>500</v>
      </c>
      <c r="C189" s="9" t="s">
        <v>20</v>
      </c>
      <c r="D189" s="9">
        <v>260000</v>
      </c>
      <c r="E189" s="9" t="s">
        <v>2119</v>
      </c>
      <c r="F189" s="9" t="s">
        <v>63</v>
      </c>
      <c r="G189" s="9" t="s">
        <v>47</v>
      </c>
      <c r="H189" s="9" t="str">
        <f>_xlfn.XLOOKUP(G189,Employees!C:C,Employees!B:B,FALSE)</f>
        <v>T003</v>
      </c>
    </row>
    <row r="190" spans="2:8" x14ac:dyDescent="0.25">
      <c r="B190" s="9" t="s">
        <v>502</v>
      </c>
      <c r="C190" s="9" t="s">
        <v>16</v>
      </c>
      <c r="D190" s="9">
        <v>132000</v>
      </c>
      <c r="E190" s="9" t="s">
        <v>2120</v>
      </c>
      <c r="F190" s="9" t="s">
        <v>67</v>
      </c>
      <c r="G190" s="9" t="s">
        <v>53</v>
      </c>
      <c r="H190" s="9" t="str">
        <f>_xlfn.XLOOKUP(G190,Employees!C:C,Employees!B:B,FALSE)</f>
        <v>T006</v>
      </c>
    </row>
    <row r="191" spans="2:8" x14ac:dyDescent="0.25">
      <c r="B191" s="9" t="s">
        <v>505</v>
      </c>
      <c r="C191" s="9" t="s">
        <v>14</v>
      </c>
      <c r="D191" s="9">
        <v>139000</v>
      </c>
      <c r="E191" s="9" t="s">
        <v>2120</v>
      </c>
      <c r="F191" s="9" t="s">
        <v>66</v>
      </c>
      <c r="G191" s="9" t="s">
        <v>51</v>
      </c>
      <c r="H191" s="9" t="str">
        <f>_xlfn.XLOOKUP(G191,Employees!C:C,Employees!B:B,FALSE)</f>
        <v>T005</v>
      </c>
    </row>
    <row r="192" spans="2:8" x14ac:dyDescent="0.25">
      <c r="B192" s="9" t="s">
        <v>506</v>
      </c>
      <c r="C192" s="9" t="s">
        <v>12</v>
      </c>
      <c r="D192" s="9">
        <v>145000</v>
      </c>
      <c r="E192" s="9" t="s">
        <v>2121</v>
      </c>
      <c r="F192" s="9" t="s">
        <v>63</v>
      </c>
      <c r="G192" s="9" t="s">
        <v>45</v>
      </c>
      <c r="H192" s="9" t="str">
        <f>_xlfn.XLOOKUP(G192,Employees!C:C,Employees!B:B,FALSE)</f>
        <v>T002</v>
      </c>
    </row>
    <row r="193" spans="2:8" x14ac:dyDescent="0.25">
      <c r="B193" s="9" t="s">
        <v>509</v>
      </c>
      <c r="C193" s="9" t="s">
        <v>12</v>
      </c>
      <c r="D193" s="9">
        <v>92000</v>
      </c>
      <c r="E193" s="9" t="s">
        <v>2122</v>
      </c>
      <c r="F193" s="9" t="s">
        <v>66</v>
      </c>
      <c r="G193" s="9" t="s">
        <v>58</v>
      </c>
      <c r="H193" s="9" t="str">
        <f>_xlfn.XLOOKUP(G193,Employees!C:C,Employees!B:B,FALSE)</f>
        <v>T008</v>
      </c>
    </row>
    <row r="194" spans="2:8" x14ac:dyDescent="0.25">
      <c r="B194" s="9" t="s">
        <v>511</v>
      </c>
      <c r="C194" s="9" t="s">
        <v>14</v>
      </c>
      <c r="D194" s="9">
        <v>197000</v>
      </c>
      <c r="E194" s="9" t="s">
        <v>2123</v>
      </c>
      <c r="F194" s="9" t="s">
        <v>62</v>
      </c>
      <c r="G194" s="9" t="s">
        <v>45</v>
      </c>
      <c r="H194" s="9" t="str">
        <f>_xlfn.XLOOKUP(G194,Employees!C:C,Employees!B:B,FALSE)</f>
        <v>T002</v>
      </c>
    </row>
    <row r="195" spans="2:8" x14ac:dyDescent="0.25">
      <c r="B195" s="9" t="s">
        <v>514</v>
      </c>
      <c r="C195" s="9" t="s">
        <v>20</v>
      </c>
      <c r="D195" s="9">
        <v>234000</v>
      </c>
      <c r="E195" s="9" t="s">
        <v>2123</v>
      </c>
      <c r="F195" s="9" t="s">
        <v>62</v>
      </c>
      <c r="G195" s="9" t="s">
        <v>43</v>
      </c>
      <c r="H195" s="9" t="str">
        <f>_xlfn.XLOOKUP(G195,Employees!C:C,Employees!B:B,FALSE)</f>
        <v>T001</v>
      </c>
    </row>
    <row r="196" spans="2:8" x14ac:dyDescent="0.25">
      <c r="B196" s="9" t="s">
        <v>516</v>
      </c>
      <c r="C196" s="9" t="s">
        <v>18</v>
      </c>
      <c r="D196" s="9">
        <v>142000</v>
      </c>
      <c r="E196" s="9" t="s">
        <v>2124</v>
      </c>
      <c r="F196" s="9" t="s">
        <v>65</v>
      </c>
      <c r="G196" s="9" t="s">
        <v>61</v>
      </c>
      <c r="H196" s="9" t="str">
        <f>_xlfn.XLOOKUP(G196,Employees!C:C,Employees!B:B,FALSE)</f>
        <v>T009</v>
      </c>
    </row>
    <row r="197" spans="2:8" x14ac:dyDescent="0.25">
      <c r="B197" s="9" t="s">
        <v>519</v>
      </c>
      <c r="C197" s="9" t="s">
        <v>18</v>
      </c>
      <c r="D197" s="9">
        <v>84000</v>
      </c>
      <c r="E197" s="9" t="s">
        <v>2125</v>
      </c>
      <c r="F197" s="9" t="s">
        <v>62</v>
      </c>
      <c r="G197" s="9" t="s">
        <v>45</v>
      </c>
      <c r="H197" s="9" t="str">
        <f>_xlfn.XLOOKUP(G197,Employees!C:C,Employees!B:B,FALSE)</f>
        <v>T002</v>
      </c>
    </row>
    <row r="198" spans="2:8" x14ac:dyDescent="0.25">
      <c r="B198" s="9" t="s">
        <v>521</v>
      </c>
      <c r="C198" s="9" t="s">
        <v>12</v>
      </c>
      <c r="D198" s="9">
        <v>243000</v>
      </c>
      <c r="E198" s="9" t="s">
        <v>2126</v>
      </c>
      <c r="F198" s="9" t="s">
        <v>62</v>
      </c>
      <c r="G198" s="9" t="s">
        <v>53</v>
      </c>
      <c r="H198" s="9" t="str">
        <f>_xlfn.XLOOKUP(G198,Employees!C:C,Employees!B:B,FALSE)</f>
        <v>T006</v>
      </c>
    </row>
    <row r="199" spans="2:8" x14ac:dyDescent="0.25">
      <c r="B199" s="9" t="s">
        <v>524</v>
      </c>
      <c r="C199" s="9" t="s">
        <v>24</v>
      </c>
      <c r="D199" s="9">
        <v>104000</v>
      </c>
      <c r="E199" s="9" t="s">
        <v>2126</v>
      </c>
      <c r="F199" s="9" t="s">
        <v>67</v>
      </c>
      <c r="G199" s="9" t="s">
        <v>49</v>
      </c>
      <c r="H199" s="9" t="str">
        <f>_xlfn.XLOOKUP(G199,Employees!C:C,Employees!B:B,FALSE)</f>
        <v>T004</v>
      </c>
    </row>
    <row r="200" spans="2:8" x14ac:dyDescent="0.25">
      <c r="B200" s="9" t="s">
        <v>525</v>
      </c>
      <c r="C200" s="9" t="s">
        <v>18</v>
      </c>
      <c r="D200" s="9">
        <v>252000</v>
      </c>
      <c r="E200" s="9" t="s">
        <v>2127</v>
      </c>
      <c r="F200" s="9" t="s">
        <v>66</v>
      </c>
      <c r="G200" s="9" t="s">
        <v>51</v>
      </c>
      <c r="H200" s="9" t="str">
        <f>_xlfn.XLOOKUP(G200,Employees!C:C,Employees!B:B,FALSE)</f>
        <v>T005</v>
      </c>
    </row>
    <row r="201" spans="2:8" x14ac:dyDescent="0.25">
      <c r="B201" s="9" t="s">
        <v>527</v>
      </c>
      <c r="C201" s="9" t="s">
        <v>14</v>
      </c>
      <c r="D201" s="9">
        <v>274000</v>
      </c>
      <c r="E201" s="9" t="s">
        <v>2128</v>
      </c>
      <c r="F201" s="9" t="s">
        <v>65</v>
      </c>
      <c r="G201" s="9" t="s">
        <v>58</v>
      </c>
      <c r="H201" s="9" t="str">
        <f>_xlfn.XLOOKUP(G201,Employees!C:C,Employees!B:B,FALSE)</f>
        <v>T008</v>
      </c>
    </row>
    <row r="202" spans="2:8" x14ac:dyDescent="0.25">
      <c r="B202" s="9" t="s">
        <v>529</v>
      </c>
      <c r="C202" s="9" t="s">
        <v>22</v>
      </c>
      <c r="D202" s="9">
        <v>46000</v>
      </c>
      <c r="E202" s="9" t="s">
        <v>2128</v>
      </c>
      <c r="F202" s="9" t="s">
        <v>67</v>
      </c>
      <c r="G202" s="9" t="s">
        <v>53</v>
      </c>
      <c r="H202" s="9" t="str">
        <f>_xlfn.XLOOKUP(G202,Employees!C:C,Employees!B:B,FALSE)</f>
        <v>T006</v>
      </c>
    </row>
    <row r="203" spans="2:8" x14ac:dyDescent="0.25">
      <c r="B203" s="9" t="s">
        <v>531</v>
      </c>
      <c r="C203" s="9" t="s">
        <v>16</v>
      </c>
      <c r="D203" s="9">
        <v>259000</v>
      </c>
      <c r="E203" s="9" t="s">
        <v>2128</v>
      </c>
      <c r="F203" s="9" t="s">
        <v>66</v>
      </c>
      <c r="G203" s="9" t="s">
        <v>53</v>
      </c>
      <c r="H203" s="9" t="str">
        <f>_xlfn.XLOOKUP(G203,Employees!C:C,Employees!B:B,FALSE)</f>
        <v>T006</v>
      </c>
    </row>
    <row r="204" spans="2:8" x14ac:dyDescent="0.25">
      <c r="B204" s="9" t="s">
        <v>532</v>
      </c>
      <c r="C204" s="9" t="s">
        <v>22</v>
      </c>
      <c r="D204" s="9">
        <v>218000</v>
      </c>
      <c r="E204" s="9" t="s">
        <v>2129</v>
      </c>
      <c r="F204" s="9" t="s">
        <v>63</v>
      </c>
      <c r="G204" s="9" t="s">
        <v>55</v>
      </c>
      <c r="H204" s="9" t="str">
        <f>_xlfn.XLOOKUP(G204,Employees!C:C,Employees!B:B,FALSE)</f>
        <v>T007</v>
      </c>
    </row>
    <row r="205" spans="2:8" x14ac:dyDescent="0.25">
      <c r="B205" s="9" t="s">
        <v>534</v>
      </c>
      <c r="C205" s="9" t="s">
        <v>18</v>
      </c>
      <c r="D205" s="9">
        <v>57000</v>
      </c>
      <c r="E205" s="9" t="s">
        <v>2129</v>
      </c>
      <c r="F205" s="9" t="s">
        <v>64</v>
      </c>
      <c r="G205" s="9" t="s">
        <v>43</v>
      </c>
      <c r="H205" s="9" t="str">
        <f>_xlfn.XLOOKUP(G205,Employees!C:C,Employees!B:B,FALSE)</f>
        <v>T001</v>
      </c>
    </row>
    <row r="206" spans="2:8" x14ac:dyDescent="0.25">
      <c r="B206" s="9" t="s">
        <v>536</v>
      </c>
      <c r="C206" s="9" t="s">
        <v>18</v>
      </c>
      <c r="D206" s="9">
        <v>33000</v>
      </c>
      <c r="E206" s="9" t="s">
        <v>2130</v>
      </c>
      <c r="F206" s="9" t="s">
        <v>66</v>
      </c>
      <c r="G206" s="9" t="s">
        <v>53</v>
      </c>
      <c r="H206" s="9" t="str">
        <f>_xlfn.XLOOKUP(G206,Employees!C:C,Employees!B:B,FALSE)</f>
        <v>T006</v>
      </c>
    </row>
    <row r="207" spans="2:8" x14ac:dyDescent="0.25">
      <c r="B207" s="9" t="s">
        <v>538</v>
      </c>
      <c r="C207" s="9" t="s">
        <v>20</v>
      </c>
      <c r="D207" s="9">
        <v>168000</v>
      </c>
      <c r="E207" s="9" t="s">
        <v>2131</v>
      </c>
      <c r="F207" s="9" t="s">
        <v>63</v>
      </c>
      <c r="G207" s="9" t="s">
        <v>45</v>
      </c>
      <c r="H207" s="9" t="str">
        <f>_xlfn.XLOOKUP(G207,Employees!C:C,Employees!B:B,FALSE)</f>
        <v>T002</v>
      </c>
    </row>
    <row r="208" spans="2:8" x14ac:dyDescent="0.25">
      <c r="B208" s="9" t="s">
        <v>541</v>
      </c>
      <c r="C208" s="9" t="s">
        <v>20</v>
      </c>
      <c r="D208" s="9">
        <v>48000</v>
      </c>
      <c r="E208" s="9" t="s">
        <v>2132</v>
      </c>
      <c r="F208" s="9" t="s">
        <v>64</v>
      </c>
      <c r="G208" s="9" t="s">
        <v>49</v>
      </c>
      <c r="H208" s="9" t="str">
        <f>_xlfn.XLOOKUP(G208,Employees!C:C,Employees!B:B,FALSE)</f>
        <v>T004</v>
      </c>
    </row>
    <row r="209" spans="2:8" x14ac:dyDescent="0.25">
      <c r="B209" s="9" t="s">
        <v>544</v>
      </c>
      <c r="C209" s="9" t="s">
        <v>12</v>
      </c>
      <c r="D209" s="9">
        <v>72000</v>
      </c>
      <c r="E209" s="9" t="s">
        <v>2132</v>
      </c>
      <c r="F209" s="9" t="s">
        <v>65</v>
      </c>
      <c r="G209" s="9" t="s">
        <v>58</v>
      </c>
      <c r="H209" s="9" t="str">
        <f>_xlfn.XLOOKUP(G209,Employees!C:C,Employees!B:B,FALSE)</f>
        <v>T008</v>
      </c>
    </row>
    <row r="210" spans="2:8" x14ac:dyDescent="0.25">
      <c r="B210" s="9" t="s">
        <v>546</v>
      </c>
      <c r="C210" s="9" t="s">
        <v>20</v>
      </c>
      <c r="D210" s="9">
        <v>123000</v>
      </c>
      <c r="E210" s="9" t="s">
        <v>2133</v>
      </c>
      <c r="F210" s="9" t="s">
        <v>65</v>
      </c>
      <c r="G210" s="9" t="s">
        <v>51</v>
      </c>
      <c r="H210" s="9" t="str">
        <f>_xlfn.XLOOKUP(G210,Employees!C:C,Employees!B:B,FALSE)</f>
        <v>T005</v>
      </c>
    </row>
    <row r="211" spans="2:8" x14ac:dyDescent="0.25">
      <c r="B211" s="9" t="s">
        <v>549</v>
      </c>
      <c r="C211" s="9" t="s">
        <v>14</v>
      </c>
      <c r="D211" s="9">
        <v>230000</v>
      </c>
      <c r="E211" s="9" t="s">
        <v>2134</v>
      </c>
      <c r="F211" s="9" t="s">
        <v>62</v>
      </c>
      <c r="G211" s="9" t="s">
        <v>51</v>
      </c>
      <c r="H211" s="9" t="str">
        <f>_xlfn.XLOOKUP(G211,Employees!C:C,Employees!B:B,FALSE)</f>
        <v>T005</v>
      </c>
    </row>
    <row r="212" spans="2:8" x14ac:dyDescent="0.25">
      <c r="B212" s="9" t="s">
        <v>551</v>
      </c>
      <c r="C212" s="9" t="s">
        <v>20</v>
      </c>
      <c r="D212" s="9">
        <v>43000</v>
      </c>
      <c r="E212" s="9" t="s">
        <v>2135</v>
      </c>
      <c r="F212" s="9" t="s">
        <v>63</v>
      </c>
      <c r="G212" s="9" t="s">
        <v>61</v>
      </c>
      <c r="H212" s="9" t="str">
        <f>_xlfn.XLOOKUP(G212,Employees!C:C,Employees!B:B,FALSE)</f>
        <v>T009</v>
      </c>
    </row>
    <row r="213" spans="2:8" x14ac:dyDescent="0.25">
      <c r="B213" s="9" t="s">
        <v>554</v>
      </c>
      <c r="C213" s="9" t="s">
        <v>16</v>
      </c>
      <c r="D213" s="9">
        <v>273000</v>
      </c>
      <c r="E213" s="9" t="s">
        <v>2136</v>
      </c>
      <c r="F213" s="9" t="s">
        <v>63</v>
      </c>
      <c r="G213" s="9" t="s">
        <v>43</v>
      </c>
      <c r="H213" s="9" t="str">
        <f>_xlfn.XLOOKUP(G213,Employees!C:C,Employees!B:B,FALSE)</f>
        <v>T001</v>
      </c>
    </row>
    <row r="214" spans="2:8" x14ac:dyDescent="0.25">
      <c r="B214" s="9" t="s">
        <v>556</v>
      </c>
      <c r="C214" s="9" t="s">
        <v>20</v>
      </c>
      <c r="D214" s="9">
        <v>100000</v>
      </c>
      <c r="E214" s="9" t="s">
        <v>2137</v>
      </c>
      <c r="F214" s="9" t="s">
        <v>65</v>
      </c>
      <c r="G214" s="9" t="s">
        <v>45</v>
      </c>
      <c r="H214" s="9" t="str">
        <f>_xlfn.XLOOKUP(G214,Employees!C:C,Employees!B:B,FALSE)</f>
        <v>T002</v>
      </c>
    </row>
    <row r="215" spans="2:8" x14ac:dyDescent="0.25">
      <c r="B215" s="9" t="s">
        <v>558</v>
      </c>
      <c r="C215" s="9" t="s">
        <v>18</v>
      </c>
      <c r="D215" s="9">
        <v>282000</v>
      </c>
      <c r="E215" s="9" t="s">
        <v>2137</v>
      </c>
      <c r="F215" s="9" t="s">
        <v>65</v>
      </c>
      <c r="G215" s="9" t="s">
        <v>51</v>
      </c>
      <c r="H215" s="9" t="str">
        <f>_xlfn.XLOOKUP(G215,Employees!C:C,Employees!B:B,FALSE)</f>
        <v>T005</v>
      </c>
    </row>
    <row r="216" spans="2:8" x14ac:dyDescent="0.25">
      <c r="B216" s="9" t="s">
        <v>560</v>
      </c>
      <c r="C216" s="9" t="s">
        <v>16</v>
      </c>
      <c r="D216" s="9">
        <v>296000</v>
      </c>
      <c r="E216" s="9" t="s">
        <v>2137</v>
      </c>
      <c r="F216" s="9" t="s">
        <v>66</v>
      </c>
      <c r="G216" s="9" t="s">
        <v>55</v>
      </c>
      <c r="H216" s="9" t="str">
        <f>_xlfn.XLOOKUP(G216,Employees!C:C,Employees!B:B,FALSE)</f>
        <v>T007</v>
      </c>
    </row>
    <row r="217" spans="2:8" x14ac:dyDescent="0.25">
      <c r="B217" s="9" t="s">
        <v>561</v>
      </c>
      <c r="C217" s="9" t="s">
        <v>12</v>
      </c>
      <c r="D217" s="9">
        <v>208000</v>
      </c>
      <c r="E217" s="9" t="s">
        <v>2138</v>
      </c>
      <c r="F217" s="9" t="s">
        <v>63</v>
      </c>
      <c r="G217" s="9" t="s">
        <v>49</v>
      </c>
      <c r="H217" s="9" t="str">
        <f>_xlfn.XLOOKUP(G217,Employees!C:C,Employees!B:B,FALSE)</f>
        <v>T004</v>
      </c>
    </row>
    <row r="218" spans="2:8" x14ac:dyDescent="0.25">
      <c r="B218" s="9" t="s">
        <v>563</v>
      </c>
      <c r="C218" s="9" t="s">
        <v>20</v>
      </c>
      <c r="D218" s="9">
        <v>218000</v>
      </c>
      <c r="E218" s="9" t="s">
        <v>2138</v>
      </c>
      <c r="F218" s="9" t="s">
        <v>62</v>
      </c>
      <c r="G218" s="9" t="s">
        <v>55</v>
      </c>
      <c r="H218" s="9" t="str">
        <f>_xlfn.XLOOKUP(G218,Employees!C:C,Employees!B:B,FALSE)</f>
        <v>T007</v>
      </c>
    </row>
    <row r="219" spans="2:8" x14ac:dyDescent="0.25">
      <c r="B219" s="9" t="s">
        <v>564</v>
      </c>
      <c r="C219" s="9" t="s">
        <v>24</v>
      </c>
      <c r="D219" s="9">
        <v>229000</v>
      </c>
      <c r="E219" s="9" t="s">
        <v>2139</v>
      </c>
      <c r="F219" s="9" t="s">
        <v>66</v>
      </c>
      <c r="G219" s="9" t="s">
        <v>47</v>
      </c>
      <c r="H219" s="9" t="str">
        <f>_xlfn.XLOOKUP(G219,Employees!C:C,Employees!B:B,FALSE)</f>
        <v>T003</v>
      </c>
    </row>
    <row r="220" spans="2:8" x14ac:dyDescent="0.25">
      <c r="B220" s="9" t="s">
        <v>567</v>
      </c>
      <c r="C220" s="9" t="s">
        <v>14</v>
      </c>
      <c r="D220" s="9">
        <v>238000</v>
      </c>
      <c r="E220" s="9" t="s">
        <v>2140</v>
      </c>
      <c r="F220" s="9" t="s">
        <v>67</v>
      </c>
      <c r="G220" s="9" t="s">
        <v>61</v>
      </c>
      <c r="H220" s="9" t="str">
        <f>_xlfn.XLOOKUP(G220,Employees!C:C,Employees!B:B,FALSE)</f>
        <v>T009</v>
      </c>
    </row>
    <row r="221" spans="2:8" x14ac:dyDescent="0.25">
      <c r="B221" s="9" t="s">
        <v>569</v>
      </c>
      <c r="C221" s="9" t="s">
        <v>18</v>
      </c>
      <c r="D221" s="9">
        <v>266000</v>
      </c>
      <c r="E221" s="9" t="s">
        <v>2140</v>
      </c>
      <c r="F221" s="9" t="s">
        <v>63</v>
      </c>
      <c r="G221" s="9" t="s">
        <v>45</v>
      </c>
      <c r="H221" s="9" t="str">
        <f>_xlfn.XLOOKUP(G221,Employees!C:C,Employees!B:B,FALSE)</f>
        <v>T002</v>
      </c>
    </row>
    <row r="222" spans="2:8" x14ac:dyDescent="0.25">
      <c r="B222" s="9" t="s">
        <v>570</v>
      </c>
      <c r="C222" s="9" t="s">
        <v>22</v>
      </c>
      <c r="D222" s="9">
        <v>279000</v>
      </c>
      <c r="E222" s="9" t="s">
        <v>2141</v>
      </c>
      <c r="F222" s="9" t="s">
        <v>63</v>
      </c>
      <c r="G222" s="9" t="s">
        <v>58</v>
      </c>
      <c r="H222" s="9" t="str">
        <f>_xlfn.XLOOKUP(G222,Employees!C:C,Employees!B:B,FALSE)</f>
        <v>T008</v>
      </c>
    </row>
    <row r="223" spans="2:8" x14ac:dyDescent="0.25">
      <c r="B223" s="9" t="s">
        <v>572</v>
      </c>
      <c r="C223" s="9" t="s">
        <v>20</v>
      </c>
      <c r="D223" s="9">
        <v>251000</v>
      </c>
      <c r="E223" s="9" t="s">
        <v>2142</v>
      </c>
      <c r="F223" s="9" t="s">
        <v>63</v>
      </c>
      <c r="G223" s="9" t="s">
        <v>49</v>
      </c>
      <c r="H223" s="9" t="str">
        <f>_xlfn.XLOOKUP(G223,Employees!C:C,Employees!B:B,FALSE)</f>
        <v>T004</v>
      </c>
    </row>
    <row r="224" spans="2:8" x14ac:dyDescent="0.25">
      <c r="B224" s="9" t="s">
        <v>574</v>
      </c>
      <c r="C224" s="9" t="s">
        <v>16</v>
      </c>
      <c r="D224" s="9">
        <v>231000</v>
      </c>
      <c r="E224" s="9" t="s">
        <v>2142</v>
      </c>
      <c r="F224" s="9" t="s">
        <v>66</v>
      </c>
      <c r="G224" s="9" t="s">
        <v>58</v>
      </c>
      <c r="H224" s="9" t="str">
        <f>_xlfn.XLOOKUP(G224,Employees!C:C,Employees!B:B,FALSE)</f>
        <v>T008</v>
      </c>
    </row>
    <row r="225" spans="2:8" x14ac:dyDescent="0.25">
      <c r="B225" s="9" t="s">
        <v>575</v>
      </c>
      <c r="C225" s="9" t="s">
        <v>18</v>
      </c>
      <c r="D225" s="9">
        <v>244000</v>
      </c>
      <c r="E225" s="9" t="s">
        <v>2142</v>
      </c>
      <c r="F225" s="9" t="s">
        <v>64</v>
      </c>
      <c r="G225" s="9" t="s">
        <v>55</v>
      </c>
      <c r="H225" s="9" t="str">
        <f>_xlfn.XLOOKUP(G225,Employees!C:C,Employees!B:B,FALSE)</f>
        <v>T007</v>
      </c>
    </row>
    <row r="226" spans="2:8" x14ac:dyDescent="0.25">
      <c r="B226" s="9" t="s">
        <v>576</v>
      </c>
      <c r="C226" s="9" t="s">
        <v>20</v>
      </c>
      <c r="D226" s="9">
        <v>104000</v>
      </c>
      <c r="E226" s="9" t="s">
        <v>2143</v>
      </c>
      <c r="F226" s="9" t="s">
        <v>66</v>
      </c>
      <c r="G226" s="9" t="s">
        <v>47</v>
      </c>
      <c r="H226" s="9" t="str">
        <f>_xlfn.XLOOKUP(G226,Employees!C:C,Employees!B:B,FALSE)</f>
        <v>T003</v>
      </c>
    </row>
    <row r="227" spans="2:8" x14ac:dyDescent="0.25">
      <c r="B227" s="9" t="s">
        <v>578</v>
      </c>
      <c r="C227" s="9" t="s">
        <v>20</v>
      </c>
      <c r="D227" s="9">
        <v>213000</v>
      </c>
      <c r="E227" s="9" t="s">
        <v>2143</v>
      </c>
      <c r="F227" s="9" t="s">
        <v>65</v>
      </c>
      <c r="G227" s="9" t="s">
        <v>51</v>
      </c>
      <c r="H227" s="9" t="str">
        <f>_xlfn.XLOOKUP(G227,Employees!C:C,Employees!B:B,FALSE)</f>
        <v>T005</v>
      </c>
    </row>
    <row r="228" spans="2:8" x14ac:dyDescent="0.25">
      <c r="B228" s="9" t="s">
        <v>579</v>
      </c>
      <c r="C228" s="9" t="s">
        <v>20</v>
      </c>
      <c r="D228" s="9">
        <v>211000</v>
      </c>
      <c r="E228" s="9" t="s">
        <v>2144</v>
      </c>
      <c r="F228" s="9" t="s">
        <v>65</v>
      </c>
      <c r="G228" s="9" t="s">
        <v>43</v>
      </c>
      <c r="H228" s="9" t="str">
        <f>_xlfn.XLOOKUP(G228,Employees!C:C,Employees!B:B,FALSE)</f>
        <v>T001</v>
      </c>
    </row>
    <row r="229" spans="2:8" x14ac:dyDescent="0.25">
      <c r="B229" s="9" t="s">
        <v>582</v>
      </c>
      <c r="C229" s="9" t="s">
        <v>16</v>
      </c>
      <c r="D229" s="9">
        <v>154000</v>
      </c>
      <c r="E229" s="9" t="s">
        <v>2145</v>
      </c>
      <c r="F229" s="9" t="s">
        <v>67</v>
      </c>
      <c r="G229" s="9" t="s">
        <v>49</v>
      </c>
      <c r="H229" s="9" t="str">
        <f>_xlfn.XLOOKUP(G229,Employees!C:C,Employees!B:B,FALSE)</f>
        <v>T004</v>
      </c>
    </row>
    <row r="230" spans="2:8" x14ac:dyDescent="0.25">
      <c r="B230" s="9" t="s">
        <v>584</v>
      </c>
      <c r="C230" s="9" t="s">
        <v>18</v>
      </c>
      <c r="D230" s="9">
        <v>271000</v>
      </c>
      <c r="E230" s="9" t="s">
        <v>2145</v>
      </c>
      <c r="F230" s="9" t="s">
        <v>67</v>
      </c>
      <c r="G230" s="9" t="s">
        <v>61</v>
      </c>
      <c r="H230" s="9" t="str">
        <f>_xlfn.XLOOKUP(G230,Employees!C:C,Employees!B:B,FALSE)</f>
        <v>T009</v>
      </c>
    </row>
    <row r="231" spans="2:8" x14ac:dyDescent="0.25">
      <c r="B231" s="9" t="s">
        <v>585</v>
      </c>
      <c r="C231" s="9" t="s">
        <v>20</v>
      </c>
      <c r="D231" s="9">
        <v>153000</v>
      </c>
      <c r="E231" s="9" t="s">
        <v>2146</v>
      </c>
      <c r="F231" s="9" t="s">
        <v>62</v>
      </c>
      <c r="G231" s="9" t="s">
        <v>43</v>
      </c>
      <c r="H231" s="9" t="str">
        <f>_xlfn.XLOOKUP(G231,Employees!C:C,Employees!B:B,FALSE)</f>
        <v>T001</v>
      </c>
    </row>
    <row r="232" spans="2:8" x14ac:dyDescent="0.25">
      <c r="B232" s="9" t="s">
        <v>587</v>
      </c>
      <c r="C232" s="9" t="s">
        <v>18</v>
      </c>
      <c r="D232" s="9">
        <v>69000</v>
      </c>
      <c r="E232" s="9" t="s">
        <v>2146</v>
      </c>
      <c r="F232" s="9" t="s">
        <v>63</v>
      </c>
      <c r="G232" s="9" t="s">
        <v>53</v>
      </c>
      <c r="H232" s="9" t="str">
        <f>_xlfn.XLOOKUP(G232,Employees!C:C,Employees!B:B,FALSE)</f>
        <v>T006</v>
      </c>
    </row>
    <row r="233" spans="2:8" x14ac:dyDescent="0.25">
      <c r="B233" s="9" t="s">
        <v>588</v>
      </c>
      <c r="C233" s="9" t="s">
        <v>18</v>
      </c>
      <c r="D233" s="9">
        <v>118000</v>
      </c>
      <c r="E233" s="9" t="s">
        <v>2147</v>
      </c>
      <c r="F233" s="9" t="s">
        <v>62</v>
      </c>
      <c r="G233" s="9" t="s">
        <v>51</v>
      </c>
      <c r="H233" s="9" t="str">
        <f>_xlfn.XLOOKUP(G233,Employees!C:C,Employees!B:B,FALSE)</f>
        <v>T005</v>
      </c>
    </row>
    <row r="234" spans="2:8" x14ac:dyDescent="0.25">
      <c r="B234" s="9" t="s">
        <v>591</v>
      </c>
      <c r="C234" s="9" t="s">
        <v>22</v>
      </c>
      <c r="D234" s="9">
        <v>249000</v>
      </c>
      <c r="E234" s="9" t="s">
        <v>2148</v>
      </c>
      <c r="F234" s="9" t="s">
        <v>66</v>
      </c>
      <c r="G234" s="9" t="s">
        <v>55</v>
      </c>
      <c r="H234" s="9" t="str">
        <f>_xlfn.XLOOKUP(G234,Employees!C:C,Employees!B:B,FALSE)</f>
        <v>T007</v>
      </c>
    </row>
    <row r="235" spans="2:8" x14ac:dyDescent="0.25">
      <c r="B235" s="9" t="s">
        <v>593</v>
      </c>
      <c r="C235" s="9" t="s">
        <v>20</v>
      </c>
      <c r="D235" s="9">
        <v>86000</v>
      </c>
      <c r="E235" s="9" t="s">
        <v>2148</v>
      </c>
      <c r="F235" s="9" t="s">
        <v>67</v>
      </c>
      <c r="G235" s="9" t="s">
        <v>49</v>
      </c>
      <c r="H235" s="9" t="str">
        <f>_xlfn.XLOOKUP(G235,Employees!C:C,Employees!B:B,FALSE)</f>
        <v>T004</v>
      </c>
    </row>
    <row r="236" spans="2:8" x14ac:dyDescent="0.25">
      <c r="B236" s="9" t="s">
        <v>595</v>
      </c>
      <c r="C236" s="9" t="s">
        <v>12</v>
      </c>
      <c r="D236" s="9">
        <v>173000</v>
      </c>
      <c r="E236" s="9" t="s">
        <v>2149</v>
      </c>
      <c r="F236" s="9" t="s">
        <v>62</v>
      </c>
      <c r="G236" s="9" t="s">
        <v>45</v>
      </c>
      <c r="H236" s="9" t="str">
        <f>_xlfn.XLOOKUP(G236,Employees!C:C,Employees!B:B,FALSE)</f>
        <v>T002</v>
      </c>
    </row>
    <row r="237" spans="2:8" x14ac:dyDescent="0.25">
      <c r="B237" s="9" t="s">
        <v>597</v>
      </c>
      <c r="C237" s="9" t="s">
        <v>12</v>
      </c>
      <c r="D237" s="9">
        <v>216000</v>
      </c>
      <c r="E237" s="9" t="s">
        <v>2150</v>
      </c>
      <c r="F237" s="9" t="s">
        <v>62</v>
      </c>
      <c r="G237" s="9" t="s">
        <v>43</v>
      </c>
      <c r="H237" s="9" t="str">
        <f>_xlfn.XLOOKUP(G237,Employees!C:C,Employees!B:B,FALSE)</f>
        <v>T001</v>
      </c>
    </row>
    <row r="238" spans="2:8" x14ac:dyDescent="0.25">
      <c r="B238" s="9" t="s">
        <v>599</v>
      </c>
      <c r="C238" s="9" t="s">
        <v>22</v>
      </c>
      <c r="D238" s="9">
        <v>277000</v>
      </c>
      <c r="E238" s="9" t="s">
        <v>2151</v>
      </c>
      <c r="F238" s="9" t="s">
        <v>64</v>
      </c>
      <c r="G238" s="9" t="s">
        <v>43</v>
      </c>
      <c r="H238" s="9" t="str">
        <f>_xlfn.XLOOKUP(G238,Employees!C:C,Employees!B:B,FALSE)</f>
        <v>T001</v>
      </c>
    </row>
    <row r="239" spans="2:8" x14ac:dyDescent="0.25">
      <c r="B239" s="9" t="s">
        <v>602</v>
      </c>
      <c r="C239" s="9" t="s">
        <v>24</v>
      </c>
      <c r="D239" s="9">
        <v>53000</v>
      </c>
      <c r="E239" s="9" t="s">
        <v>2152</v>
      </c>
      <c r="F239" s="9" t="s">
        <v>66</v>
      </c>
      <c r="G239" s="9" t="s">
        <v>51</v>
      </c>
      <c r="H239" s="9" t="str">
        <f>_xlfn.XLOOKUP(G239,Employees!C:C,Employees!B:B,FALSE)</f>
        <v>T005</v>
      </c>
    </row>
    <row r="240" spans="2:8" x14ac:dyDescent="0.25">
      <c r="B240" s="9" t="s">
        <v>605</v>
      </c>
      <c r="C240" s="9" t="s">
        <v>16</v>
      </c>
      <c r="D240" s="9">
        <v>58000</v>
      </c>
      <c r="E240" s="9" t="s">
        <v>2153</v>
      </c>
      <c r="F240" s="9" t="s">
        <v>65</v>
      </c>
      <c r="G240" s="9" t="s">
        <v>58</v>
      </c>
      <c r="H240" s="9" t="str">
        <f>_xlfn.XLOOKUP(G240,Employees!C:C,Employees!B:B,FALSE)</f>
        <v>T008</v>
      </c>
    </row>
    <row r="241" spans="2:8" x14ac:dyDescent="0.25">
      <c r="B241" s="9" t="s">
        <v>607</v>
      </c>
      <c r="C241" s="9" t="s">
        <v>18</v>
      </c>
      <c r="D241" s="9">
        <v>55000</v>
      </c>
      <c r="E241" s="9" t="s">
        <v>2154</v>
      </c>
      <c r="F241" s="9" t="s">
        <v>62</v>
      </c>
      <c r="G241" s="9" t="s">
        <v>53</v>
      </c>
      <c r="H241" s="9" t="str">
        <f>_xlfn.XLOOKUP(G241,Employees!C:C,Employees!B:B,FALSE)</f>
        <v>T006</v>
      </c>
    </row>
    <row r="242" spans="2:8" x14ac:dyDescent="0.25">
      <c r="B242" s="9" t="s">
        <v>609</v>
      </c>
      <c r="C242" s="9" t="s">
        <v>24</v>
      </c>
      <c r="D242" s="9">
        <v>168000</v>
      </c>
      <c r="E242" s="9" t="s">
        <v>2154</v>
      </c>
      <c r="F242" s="9" t="s">
        <v>62</v>
      </c>
      <c r="G242" s="9" t="s">
        <v>51</v>
      </c>
      <c r="H242" s="9" t="str">
        <f>_xlfn.XLOOKUP(G242,Employees!C:C,Employees!B:B,FALSE)</f>
        <v>T005</v>
      </c>
    </row>
    <row r="243" spans="2:8" x14ac:dyDescent="0.25">
      <c r="B243" s="9" t="s">
        <v>610</v>
      </c>
      <c r="C243" s="9" t="s">
        <v>16</v>
      </c>
      <c r="D243" s="9">
        <v>189000</v>
      </c>
      <c r="E243" s="9" t="s">
        <v>2155</v>
      </c>
      <c r="F243" s="9" t="s">
        <v>63</v>
      </c>
      <c r="G243" s="9" t="s">
        <v>55</v>
      </c>
      <c r="H243" s="9" t="str">
        <f>_xlfn.XLOOKUP(G243,Employees!C:C,Employees!B:B,FALSE)</f>
        <v>T007</v>
      </c>
    </row>
    <row r="244" spans="2:8" x14ac:dyDescent="0.25">
      <c r="B244" s="9" t="s">
        <v>613</v>
      </c>
      <c r="C244" s="9" t="s">
        <v>12</v>
      </c>
      <c r="D244" s="9">
        <v>222000</v>
      </c>
      <c r="E244" s="9" t="s">
        <v>2155</v>
      </c>
      <c r="F244" s="9" t="s">
        <v>63</v>
      </c>
      <c r="G244" s="9" t="s">
        <v>51</v>
      </c>
      <c r="H244" s="9" t="str">
        <f>_xlfn.XLOOKUP(G244,Employees!C:C,Employees!B:B,FALSE)</f>
        <v>T005</v>
      </c>
    </row>
    <row r="245" spans="2:8" x14ac:dyDescent="0.25">
      <c r="B245" s="9" t="s">
        <v>614</v>
      </c>
      <c r="C245" s="9" t="s">
        <v>22</v>
      </c>
      <c r="D245" s="9">
        <v>196000</v>
      </c>
      <c r="E245" s="9" t="s">
        <v>2156</v>
      </c>
      <c r="F245" s="9" t="s">
        <v>65</v>
      </c>
      <c r="G245" s="9" t="s">
        <v>45</v>
      </c>
      <c r="H245" s="9" t="str">
        <f>_xlfn.XLOOKUP(G245,Employees!C:C,Employees!B:B,FALSE)</f>
        <v>T002</v>
      </c>
    </row>
    <row r="246" spans="2:8" x14ac:dyDescent="0.25">
      <c r="B246" s="9" t="s">
        <v>616</v>
      </c>
      <c r="C246" s="9" t="s">
        <v>20</v>
      </c>
      <c r="D246" s="9">
        <v>282000</v>
      </c>
      <c r="E246" s="9" t="s">
        <v>2156</v>
      </c>
      <c r="F246" s="9" t="s">
        <v>67</v>
      </c>
      <c r="G246" s="9" t="s">
        <v>55</v>
      </c>
      <c r="H246" s="9" t="str">
        <f>_xlfn.XLOOKUP(G246,Employees!C:C,Employees!B:B,FALSE)</f>
        <v>T007</v>
      </c>
    </row>
    <row r="247" spans="2:8" x14ac:dyDescent="0.25">
      <c r="B247" s="9" t="s">
        <v>617</v>
      </c>
      <c r="C247" s="9" t="s">
        <v>22</v>
      </c>
      <c r="D247" s="9">
        <v>167000</v>
      </c>
      <c r="E247" s="9" t="s">
        <v>2157</v>
      </c>
      <c r="F247" s="9" t="s">
        <v>62</v>
      </c>
      <c r="G247" s="9" t="s">
        <v>47</v>
      </c>
      <c r="H247" s="9" t="str">
        <f>_xlfn.XLOOKUP(G247,Employees!C:C,Employees!B:B,FALSE)</f>
        <v>T003</v>
      </c>
    </row>
    <row r="248" spans="2:8" x14ac:dyDescent="0.25">
      <c r="B248" s="9" t="s">
        <v>619</v>
      </c>
      <c r="C248" s="9" t="s">
        <v>24</v>
      </c>
      <c r="D248" s="9">
        <v>37000</v>
      </c>
      <c r="E248" s="9" t="s">
        <v>2157</v>
      </c>
      <c r="F248" s="9" t="s">
        <v>63</v>
      </c>
      <c r="G248" s="9" t="s">
        <v>49</v>
      </c>
      <c r="H248" s="9" t="str">
        <f>_xlfn.XLOOKUP(G248,Employees!C:C,Employees!B:B,FALSE)</f>
        <v>T004</v>
      </c>
    </row>
    <row r="249" spans="2:8" x14ac:dyDescent="0.25">
      <c r="B249" s="9" t="s">
        <v>621</v>
      </c>
      <c r="C249" s="9" t="s">
        <v>18</v>
      </c>
      <c r="D249" s="9">
        <v>260000</v>
      </c>
      <c r="E249" s="9" t="s">
        <v>2158</v>
      </c>
      <c r="F249" s="9" t="s">
        <v>66</v>
      </c>
      <c r="G249" s="9" t="s">
        <v>51</v>
      </c>
      <c r="H249" s="9" t="str">
        <f>_xlfn.XLOOKUP(G249,Employees!C:C,Employees!B:B,FALSE)</f>
        <v>T005</v>
      </c>
    </row>
    <row r="250" spans="2:8" x14ac:dyDescent="0.25">
      <c r="B250" s="9" t="s">
        <v>623</v>
      </c>
      <c r="C250" s="9" t="s">
        <v>12</v>
      </c>
      <c r="D250" s="9">
        <v>110000</v>
      </c>
      <c r="E250" s="9" t="s">
        <v>2158</v>
      </c>
      <c r="F250" s="9" t="s">
        <v>67</v>
      </c>
      <c r="G250" s="9" t="s">
        <v>61</v>
      </c>
      <c r="H250" s="9" t="str">
        <f>_xlfn.XLOOKUP(G250,Employees!C:C,Employees!B:B,FALSE)</f>
        <v>T009</v>
      </c>
    </row>
    <row r="251" spans="2:8" x14ac:dyDescent="0.25">
      <c r="B251" s="9" t="s">
        <v>625</v>
      </c>
      <c r="C251" s="9" t="s">
        <v>16</v>
      </c>
      <c r="D251" s="9">
        <v>136000</v>
      </c>
      <c r="E251" s="9" t="s">
        <v>2159</v>
      </c>
      <c r="F251" s="9" t="s">
        <v>67</v>
      </c>
      <c r="G251" s="9" t="s">
        <v>61</v>
      </c>
      <c r="H251" s="9" t="str">
        <f>_xlfn.XLOOKUP(G251,Employees!C:C,Employees!B:B,FALSE)</f>
        <v>T009</v>
      </c>
    </row>
    <row r="252" spans="2:8" x14ac:dyDescent="0.25">
      <c r="B252" s="9" t="s">
        <v>627</v>
      </c>
      <c r="C252" s="9" t="s">
        <v>14</v>
      </c>
      <c r="D252" s="9">
        <v>285000</v>
      </c>
      <c r="E252" s="9" t="s">
        <v>2160</v>
      </c>
      <c r="F252" s="9" t="s">
        <v>64</v>
      </c>
      <c r="G252" s="9" t="s">
        <v>43</v>
      </c>
      <c r="H252" s="9" t="str">
        <f>_xlfn.XLOOKUP(G252,Employees!C:C,Employees!B:B,FALSE)</f>
        <v>T001</v>
      </c>
    </row>
    <row r="253" spans="2:8" x14ac:dyDescent="0.25">
      <c r="B253" s="9" t="s">
        <v>630</v>
      </c>
      <c r="C253" s="9" t="s">
        <v>18</v>
      </c>
      <c r="D253" s="9">
        <v>153000</v>
      </c>
      <c r="E253" s="9" t="s">
        <v>2161</v>
      </c>
      <c r="F253" s="9" t="s">
        <v>67</v>
      </c>
      <c r="G253" s="9" t="s">
        <v>45</v>
      </c>
      <c r="H253" s="9" t="str">
        <f>_xlfn.XLOOKUP(G253,Employees!C:C,Employees!B:B,FALSE)</f>
        <v>T002</v>
      </c>
    </row>
    <row r="254" spans="2:8" x14ac:dyDescent="0.25">
      <c r="B254" s="9" t="s">
        <v>632</v>
      </c>
      <c r="C254" s="9" t="s">
        <v>16</v>
      </c>
      <c r="D254" s="9">
        <v>97000</v>
      </c>
      <c r="E254" s="9" t="s">
        <v>2162</v>
      </c>
      <c r="F254" s="9" t="s">
        <v>66</v>
      </c>
      <c r="G254" s="9" t="s">
        <v>47</v>
      </c>
      <c r="H254" s="9" t="str">
        <f>_xlfn.XLOOKUP(G254,Employees!C:C,Employees!B:B,FALSE)</f>
        <v>T003</v>
      </c>
    </row>
    <row r="255" spans="2:8" x14ac:dyDescent="0.25">
      <c r="B255" s="9" t="s">
        <v>635</v>
      </c>
      <c r="C255" s="9" t="s">
        <v>18</v>
      </c>
      <c r="D255" s="9">
        <v>212000</v>
      </c>
      <c r="E255" s="9" t="s">
        <v>2162</v>
      </c>
      <c r="F255" s="9" t="s">
        <v>65</v>
      </c>
      <c r="G255" s="9" t="s">
        <v>53</v>
      </c>
      <c r="H255" s="9" t="str">
        <f>_xlfn.XLOOKUP(G255,Employees!C:C,Employees!B:B,FALSE)</f>
        <v>T006</v>
      </c>
    </row>
    <row r="256" spans="2:8" x14ac:dyDescent="0.25">
      <c r="B256" s="9" t="s">
        <v>637</v>
      </c>
      <c r="C256" s="9" t="s">
        <v>12</v>
      </c>
      <c r="D256" s="9">
        <v>168000</v>
      </c>
      <c r="E256" s="9" t="s">
        <v>2162</v>
      </c>
      <c r="F256" s="9" t="s">
        <v>66</v>
      </c>
      <c r="G256" s="9" t="s">
        <v>47</v>
      </c>
      <c r="H256" s="9" t="str">
        <f>_xlfn.XLOOKUP(G256,Employees!C:C,Employees!B:B,FALSE)</f>
        <v>T003</v>
      </c>
    </row>
    <row r="257" spans="2:8" x14ac:dyDescent="0.25">
      <c r="B257" s="9" t="s">
        <v>638</v>
      </c>
      <c r="C257" s="9" t="s">
        <v>16</v>
      </c>
      <c r="D257" s="9">
        <v>227000</v>
      </c>
      <c r="E257" s="9" t="s">
        <v>2162</v>
      </c>
      <c r="F257" s="9" t="s">
        <v>64</v>
      </c>
      <c r="G257" s="9" t="s">
        <v>61</v>
      </c>
      <c r="H257" s="9" t="str">
        <f>_xlfn.XLOOKUP(G257,Employees!C:C,Employees!B:B,FALSE)</f>
        <v>T009</v>
      </c>
    </row>
    <row r="258" spans="2:8" x14ac:dyDescent="0.25">
      <c r="B258" s="9" t="s">
        <v>640</v>
      </c>
      <c r="C258" s="9" t="s">
        <v>12</v>
      </c>
      <c r="D258" s="9">
        <v>40000</v>
      </c>
      <c r="E258" s="9" t="s">
        <v>2163</v>
      </c>
      <c r="F258" s="9" t="s">
        <v>62</v>
      </c>
      <c r="G258" s="9" t="s">
        <v>58</v>
      </c>
      <c r="H258" s="9" t="str">
        <f>_xlfn.XLOOKUP(G258,Employees!C:C,Employees!B:B,FALSE)</f>
        <v>T008</v>
      </c>
    </row>
    <row r="259" spans="2:8" x14ac:dyDescent="0.25">
      <c r="B259" s="9" t="s">
        <v>643</v>
      </c>
      <c r="C259" s="9" t="s">
        <v>20</v>
      </c>
      <c r="D259" s="9">
        <v>36000</v>
      </c>
      <c r="E259" s="9" t="s">
        <v>2164</v>
      </c>
      <c r="F259" s="9" t="s">
        <v>62</v>
      </c>
      <c r="G259" s="9" t="s">
        <v>45</v>
      </c>
      <c r="H259" s="9" t="str">
        <f>_xlfn.XLOOKUP(G259,Employees!C:C,Employees!B:B,FALSE)</f>
        <v>T002</v>
      </c>
    </row>
    <row r="260" spans="2:8" x14ac:dyDescent="0.25">
      <c r="B260" s="9" t="s">
        <v>646</v>
      </c>
      <c r="C260" s="9" t="s">
        <v>12</v>
      </c>
      <c r="D260" s="9">
        <v>40000</v>
      </c>
      <c r="E260" s="9" t="s">
        <v>2165</v>
      </c>
      <c r="F260" s="9" t="s">
        <v>64</v>
      </c>
      <c r="G260" s="9" t="s">
        <v>49</v>
      </c>
      <c r="H260" s="9" t="str">
        <f>_xlfn.XLOOKUP(G260,Employees!C:C,Employees!B:B,FALSE)</f>
        <v>T004</v>
      </c>
    </row>
    <row r="261" spans="2:8" x14ac:dyDescent="0.25">
      <c r="B261" s="9" t="s">
        <v>648</v>
      </c>
      <c r="C261" s="9" t="s">
        <v>22</v>
      </c>
      <c r="D261" s="9">
        <v>210000</v>
      </c>
      <c r="E261" s="9" t="s">
        <v>2166</v>
      </c>
      <c r="F261" s="9" t="s">
        <v>63</v>
      </c>
      <c r="G261" s="9" t="s">
        <v>51</v>
      </c>
      <c r="H261" s="9" t="str">
        <f>_xlfn.XLOOKUP(G261,Employees!C:C,Employees!B:B,FALSE)</f>
        <v>T005</v>
      </c>
    </row>
    <row r="262" spans="2:8" x14ac:dyDescent="0.25">
      <c r="B262" s="9" t="s">
        <v>651</v>
      </c>
      <c r="C262" s="9" t="s">
        <v>22</v>
      </c>
      <c r="D262" s="9">
        <v>96000</v>
      </c>
      <c r="E262" s="9" t="s">
        <v>2167</v>
      </c>
      <c r="F262" s="9" t="s">
        <v>65</v>
      </c>
      <c r="G262" s="9" t="s">
        <v>51</v>
      </c>
      <c r="H262" s="9" t="str">
        <f>_xlfn.XLOOKUP(G262,Employees!C:C,Employees!B:B,FALSE)</f>
        <v>T005</v>
      </c>
    </row>
    <row r="263" spans="2:8" x14ac:dyDescent="0.25">
      <c r="B263" s="9" t="s">
        <v>654</v>
      </c>
      <c r="C263" s="9" t="s">
        <v>20</v>
      </c>
      <c r="D263" s="9">
        <v>125000</v>
      </c>
      <c r="E263" s="9" t="s">
        <v>2168</v>
      </c>
      <c r="F263" s="9" t="s">
        <v>64</v>
      </c>
      <c r="G263" s="9" t="s">
        <v>47</v>
      </c>
      <c r="H263" s="9" t="str">
        <f>_xlfn.XLOOKUP(G263,Employees!C:C,Employees!B:B,FALSE)</f>
        <v>T003</v>
      </c>
    </row>
    <row r="264" spans="2:8" x14ac:dyDescent="0.25">
      <c r="B264" s="9" t="s">
        <v>656</v>
      </c>
      <c r="C264" s="9" t="s">
        <v>22</v>
      </c>
      <c r="D264" s="9">
        <v>260000</v>
      </c>
      <c r="E264" s="9" t="s">
        <v>2169</v>
      </c>
      <c r="F264" s="9" t="s">
        <v>65</v>
      </c>
      <c r="G264" s="9" t="s">
        <v>58</v>
      </c>
      <c r="H264" s="9" t="str">
        <f>_xlfn.XLOOKUP(G264,Employees!C:C,Employees!B:B,FALSE)</f>
        <v>T008</v>
      </c>
    </row>
    <row r="265" spans="2:8" x14ac:dyDescent="0.25">
      <c r="B265" s="9" t="s">
        <v>658</v>
      </c>
      <c r="C265" s="9" t="s">
        <v>12</v>
      </c>
      <c r="D265" s="9">
        <v>54000</v>
      </c>
      <c r="E265" s="9" t="s">
        <v>2170</v>
      </c>
      <c r="F265" s="9" t="s">
        <v>67</v>
      </c>
      <c r="G265" s="9" t="s">
        <v>51</v>
      </c>
      <c r="H265" s="9" t="str">
        <f>_xlfn.XLOOKUP(G265,Employees!C:C,Employees!B:B,FALSE)</f>
        <v>T005</v>
      </c>
    </row>
    <row r="266" spans="2:8" x14ac:dyDescent="0.25">
      <c r="B266" s="9" t="s">
        <v>660</v>
      </c>
      <c r="C266" s="9" t="s">
        <v>18</v>
      </c>
      <c r="D266" s="9">
        <v>234000</v>
      </c>
      <c r="E266" s="9" t="s">
        <v>2170</v>
      </c>
      <c r="F266" s="9" t="s">
        <v>62</v>
      </c>
      <c r="G266" s="9" t="s">
        <v>58</v>
      </c>
      <c r="H266" s="9" t="str">
        <f>_xlfn.XLOOKUP(G266,Employees!C:C,Employees!B:B,FALSE)</f>
        <v>T008</v>
      </c>
    </row>
    <row r="267" spans="2:8" x14ac:dyDescent="0.25">
      <c r="B267" s="9" t="s">
        <v>661</v>
      </c>
      <c r="C267" s="9" t="s">
        <v>16</v>
      </c>
      <c r="D267" s="9">
        <v>101000</v>
      </c>
      <c r="E267" s="9" t="s">
        <v>2171</v>
      </c>
      <c r="F267" s="9" t="s">
        <v>67</v>
      </c>
      <c r="G267" s="9" t="s">
        <v>47</v>
      </c>
      <c r="H267" s="9" t="str">
        <f>_xlfn.XLOOKUP(G267,Employees!C:C,Employees!B:B,FALSE)</f>
        <v>T003</v>
      </c>
    </row>
    <row r="268" spans="2:8" x14ac:dyDescent="0.25">
      <c r="B268" s="9" t="s">
        <v>664</v>
      </c>
      <c r="C268" s="9" t="s">
        <v>20</v>
      </c>
      <c r="D268" s="9">
        <v>297000</v>
      </c>
      <c r="E268" s="9" t="s">
        <v>2172</v>
      </c>
      <c r="F268" s="9" t="s">
        <v>62</v>
      </c>
      <c r="G268" s="9" t="s">
        <v>58</v>
      </c>
      <c r="H268" s="9" t="str">
        <f>_xlfn.XLOOKUP(G268,Employees!C:C,Employees!B:B,FALSE)</f>
        <v>T008</v>
      </c>
    </row>
    <row r="269" spans="2:8" x14ac:dyDescent="0.25">
      <c r="B269" s="9" t="s">
        <v>666</v>
      </c>
      <c r="C269" s="9" t="s">
        <v>24</v>
      </c>
      <c r="D269" s="9">
        <v>31000</v>
      </c>
      <c r="E269" s="9" t="s">
        <v>2172</v>
      </c>
      <c r="F269" s="9" t="s">
        <v>62</v>
      </c>
      <c r="G269" s="9" t="s">
        <v>53</v>
      </c>
      <c r="H269" s="9" t="str">
        <f>_xlfn.XLOOKUP(G269,Employees!C:C,Employees!B:B,FALSE)</f>
        <v>T006</v>
      </c>
    </row>
    <row r="270" spans="2:8" x14ac:dyDescent="0.25">
      <c r="B270" s="9" t="s">
        <v>667</v>
      </c>
      <c r="C270" s="9" t="s">
        <v>22</v>
      </c>
      <c r="D270" s="9">
        <v>70000</v>
      </c>
      <c r="E270" s="9" t="s">
        <v>2173</v>
      </c>
      <c r="F270" s="9" t="s">
        <v>65</v>
      </c>
      <c r="G270" s="9" t="s">
        <v>49</v>
      </c>
      <c r="H270" s="9" t="str">
        <f>_xlfn.XLOOKUP(G270,Employees!C:C,Employees!B:B,FALSE)</f>
        <v>T004</v>
      </c>
    </row>
    <row r="271" spans="2:8" x14ac:dyDescent="0.25">
      <c r="B271" s="9" t="s">
        <v>669</v>
      </c>
      <c r="C271" s="9" t="s">
        <v>20</v>
      </c>
      <c r="D271" s="9">
        <v>169000</v>
      </c>
      <c r="E271" s="9" t="s">
        <v>2174</v>
      </c>
      <c r="F271" s="9" t="s">
        <v>65</v>
      </c>
      <c r="G271" s="9" t="s">
        <v>58</v>
      </c>
      <c r="H271" s="9" t="str">
        <f>_xlfn.XLOOKUP(G271,Employees!C:C,Employees!B:B,FALSE)</f>
        <v>T008</v>
      </c>
    </row>
    <row r="272" spans="2:8" x14ac:dyDescent="0.25">
      <c r="B272" s="9" t="s">
        <v>672</v>
      </c>
      <c r="C272" s="9" t="s">
        <v>22</v>
      </c>
      <c r="D272" s="9">
        <v>207000</v>
      </c>
      <c r="E272" s="9" t="s">
        <v>2174</v>
      </c>
      <c r="F272" s="9" t="s">
        <v>63</v>
      </c>
      <c r="G272" s="9" t="s">
        <v>53</v>
      </c>
      <c r="H272" s="9" t="str">
        <f>_xlfn.XLOOKUP(G272,Employees!C:C,Employees!B:B,FALSE)</f>
        <v>T006</v>
      </c>
    </row>
    <row r="273" spans="2:8" x14ac:dyDescent="0.25">
      <c r="B273" s="9" t="s">
        <v>673</v>
      </c>
      <c r="C273" s="9" t="s">
        <v>22</v>
      </c>
      <c r="D273" s="9">
        <v>142000</v>
      </c>
      <c r="E273" s="9" t="s">
        <v>2174</v>
      </c>
      <c r="F273" s="9" t="s">
        <v>66</v>
      </c>
      <c r="G273" s="9" t="s">
        <v>58</v>
      </c>
      <c r="H273" s="9" t="str">
        <f>_xlfn.XLOOKUP(G273,Employees!C:C,Employees!B:B,FALSE)</f>
        <v>T008</v>
      </c>
    </row>
    <row r="274" spans="2:8" x14ac:dyDescent="0.25">
      <c r="B274" s="9" t="s">
        <v>674</v>
      </c>
      <c r="C274" s="9" t="s">
        <v>18</v>
      </c>
      <c r="D274" s="9">
        <v>290000</v>
      </c>
      <c r="E274" s="9" t="s">
        <v>2175</v>
      </c>
      <c r="F274" s="9" t="s">
        <v>66</v>
      </c>
      <c r="G274" s="9" t="s">
        <v>53</v>
      </c>
      <c r="H274" s="9" t="str">
        <f>_xlfn.XLOOKUP(G274,Employees!C:C,Employees!B:B,FALSE)</f>
        <v>T006</v>
      </c>
    </row>
    <row r="275" spans="2:8" x14ac:dyDescent="0.25">
      <c r="B275" s="9" t="s">
        <v>677</v>
      </c>
      <c r="C275" s="9" t="s">
        <v>18</v>
      </c>
      <c r="D275" s="9">
        <v>128000</v>
      </c>
      <c r="E275" s="9" t="s">
        <v>2176</v>
      </c>
      <c r="F275" s="9" t="s">
        <v>65</v>
      </c>
      <c r="G275" s="9" t="s">
        <v>43</v>
      </c>
      <c r="H275" s="9" t="str">
        <f>_xlfn.XLOOKUP(G275,Employees!C:C,Employees!B:B,FALSE)</f>
        <v>T001</v>
      </c>
    </row>
    <row r="276" spans="2:8" x14ac:dyDescent="0.25">
      <c r="B276" s="9" t="s">
        <v>680</v>
      </c>
      <c r="C276" s="9" t="s">
        <v>20</v>
      </c>
      <c r="D276" s="9">
        <v>124000</v>
      </c>
      <c r="E276" s="9" t="s">
        <v>2177</v>
      </c>
      <c r="F276" s="9" t="s">
        <v>64</v>
      </c>
      <c r="G276" s="9" t="s">
        <v>58</v>
      </c>
      <c r="H276" s="9" t="str">
        <f>_xlfn.XLOOKUP(G276,Employees!C:C,Employees!B:B,FALSE)</f>
        <v>T008</v>
      </c>
    </row>
    <row r="277" spans="2:8" x14ac:dyDescent="0.25">
      <c r="B277" s="9" t="s">
        <v>682</v>
      </c>
      <c r="C277" s="9" t="s">
        <v>20</v>
      </c>
      <c r="D277" s="9">
        <v>284000</v>
      </c>
      <c r="E277" s="9" t="s">
        <v>2178</v>
      </c>
      <c r="F277" s="9" t="s">
        <v>66</v>
      </c>
      <c r="G277" s="9" t="s">
        <v>61</v>
      </c>
      <c r="H277" s="9" t="str">
        <f>_xlfn.XLOOKUP(G277,Employees!C:C,Employees!B:B,FALSE)</f>
        <v>T009</v>
      </c>
    </row>
    <row r="278" spans="2:8" x14ac:dyDescent="0.25">
      <c r="B278" s="9" t="s">
        <v>685</v>
      </c>
      <c r="C278" s="9" t="s">
        <v>16</v>
      </c>
      <c r="D278" s="9">
        <v>191000</v>
      </c>
      <c r="E278" s="9" t="s">
        <v>2179</v>
      </c>
      <c r="F278" s="9" t="s">
        <v>67</v>
      </c>
      <c r="G278" s="9" t="s">
        <v>61</v>
      </c>
      <c r="H278" s="9" t="str">
        <f>_xlfn.XLOOKUP(G278,Employees!C:C,Employees!B:B,FALSE)</f>
        <v>T009</v>
      </c>
    </row>
    <row r="279" spans="2:8" x14ac:dyDescent="0.25">
      <c r="B279" s="9" t="s">
        <v>687</v>
      </c>
      <c r="C279" s="9" t="s">
        <v>14</v>
      </c>
      <c r="D279" s="9">
        <v>107000</v>
      </c>
      <c r="E279" s="9" t="s">
        <v>2180</v>
      </c>
      <c r="F279" s="9" t="s">
        <v>63</v>
      </c>
      <c r="G279" s="9" t="s">
        <v>49</v>
      </c>
      <c r="H279" s="9" t="str">
        <f>_xlfn.XLOOKUP(G279,Employees!C:C,Employees!B:B,FALSE)</f>
        <v>T004</v>
      </c>
    </row>
    <row r="280" spans="2:8" x14ac:dyDescent="0.25">
      <c r="B280" s="9" t="s">
        <v>690</v>
      </c>
      <c r="C280" s="9" t="s">
        <v>22</v>
      </c>
      <c r="D280" s="9">
        <v>234000</v>
      </c>
      <c r="E280" s="9" t="s">
        <v>2180</v>
      </c>
      <c r="F280" s="9" t="s">
        <v>62</v>
      </c>
      <c r="G280" s="9" t="s">
        <v>51</v>
      </c>
      <c r="H280" s="9" t="str">
        <f>_xlfn.XLOOKUP(G280,Employees!C:C,Employees!B:B,FALSE)</f>
        <v>T005</v>
      </c>
    </row>
    <row r="281" spans="2:8" x14ac:dyDescent="0.25">
      <c r="B281" s="9" t="s">
        <v>691</v>
      </c>
      <c r="C281" s="9" t="s">
        <v>16</v>
      </c>
      <c r="D281" s="9">
        <v>214000</v>
      </c>
      <c r="E281" s="9" t="s">
        <v>2181</v>
      </c>
      <c r="F281" s="9" t="s">
        <v>64</v>
      </c>
      <c r="G281" s="9" t="s">
        <v>43</v>
      </c>
      <c r="H281" s="9" t="str">
        <f>_xlfn.XLOOKUP(G281,Employees!C:C,Employees!B:B,FALSE)</f>
        <v>T001</v>
      </c>
    </row>
    <row r="282" spans="2:8" x14ac:dyDescent="0.25">
      <c r="B282" s="9" t="s">
        <v>693</v>
      </c>
      <c r="C282" s="9" t="s">
        <v>22</v>
      </c>
      <c r="D282" s="9">
        <v>182000</v>
      </c>
      <c r="E282" s="9" t="s">
        <v>2182</v>
      </c>
      <c r="F282" s="9" t="s">
        <v>62</v>
      </c>
      <c r="G282" s="9" t="s">
        <v>55</v>
      </c>
      <c r="H282" s="9" t="str">
        <f>_xlfn.XLOOKUP(G282,Employees!C:C,Employees!B:B,FALSE)</f>
        <v>T007</v>
      </c>
    </row>
    <row r="283" spans="2:8" x14ac:dyDescent="0.25">
      <c r="B283" s="9" t="s">
        <v>696</v>
      </c>
      <c r="C283" s="9" t="s">
        <v>20</v>
      </c>
      <c r="D283" s="9">
        <v>276000</v>
      </c>
      <c r="E283" s="9" t="s">
        <v>2183</v>
      </c>
      <c r="F283" s="9" t="s">
        <v>65</v>
      </c>
      <c r="G283" s="9" t="s">
        <v>51</v>
      </c>
      <c r="H283" s="9" t="str">
        <f>_xlfn.XLOOKUP(G283,Employees!C:C,Employees!B:B,FALSE)</f>
        <v>T005</v>
      </c>
    </row>
    <row r="284" spans="2:8" x14ac:dyDescent="0.25">
      <c r="B284" s="9" t="s">
        <v>699</v>
      </c>
      <c r="C284" s="9" t="s">
        <v>18</v>
      </c>
      <c r="D284" s="9">
        <v>51000</v>
      </c>
      <c r="E284" s="9" t="s">
        <v>2184</v>
      </c>
      <c r="F284" s="9" t="s">
        <v>67</v>
      </c>
      <c r="G284" s="9" t="s">
        <v>43</v>
      </c>
      <c r="H284" s="9" t="str">
        <f>_xlfn.XLOOKUP(G284,Employees!C:C,Employees!B:B,FALSE)</f>
        <v>T001</v>
      </c>
    </row>
    <row r="285" spans="2:8" x14ac:dyDescent="0.25">
      <c r="B285" s="9" t="s">
        <v>701</v>
      </c>
      <c r="C285" s="9" t="s">
        <v>16</v>
      </c>
      <c r="D285" s="9">
        <v>84000</v>
      </c>
      <c r="E285" s="9" t="s">
        <v>2184</v>
      </c>
      <c r="F285" s="9" t="s">
        <v>63</v>
      </c>
      <c r="G285" s="9" t="s">
        <v>47</v>
      </c>
      <c r="H285" s="9" t="str">
        <f>_xlfn.XLOOKUP(G285,Employees!C:C,Employees!B:B,FALSE)</f>
        <v>T003</v>
      </c>
    </row>
    <row r="286" spans="2:8" x14ac:dyDescent="0.25">
      <c r="B286" s="9" t="s">
        <v>702</v>
      </c>
      <c r="C286" s="9" t="s">
        <v>24</v>
      </c>
      <c r="D286" s="9">
        <v>61000</v>
      </c>
      <c r="E286" s="9" t="s">
        <v>2184</v>
      </c>
      <c r="F286" s="9" t="s">
        <v>64</v>
      </c>
      <c r="G286" s="9" t="s">
        <v>53</v>
      </c>
      <c r="H286" s="9" t="str">
        <f>_xlfn.XLOOKUP(G286,Employees!C:C,Employees!B:B,FALSE)</f>
        <v>T006</v>
      </c>
    </row>
    <row r="287" spans="2:8" x14ac:dyDescent="0.25">
      <c r="B287" s="9" t="s">
        <v>704</v>
      </c>
      <c r="C287" s="9" t="s">
        <v>12</v>
      </c>
      <c r="D287" s="9">
        <v>187000</v>
      </c>
      <c r="E287" s="9" t="s">
        <v>2184</v>
      </c>
      <c r="F287" s="9" t="s">
        <v>66</v>
      </c>
      <c r="G287" s="9" t="s">
        <v>45</v>
      </c>
      <c r="H287" s="9" t="str">
        <f>_xlfn.XLOOKUP(G287,Employees!C:C,Employees!B:B,FALSE)</f>
        <v>T002</v>
      </c>
    </row>
    <row r="288" spans="2:8" x14ac:dyDescent="0.25">
      <c r="B288" s="9" t="s">
        <v>706</v>
      </c>
      <c r="C288" s="9" t="s">
        <v>12</v>
      </c>
      <c r="D288" s="9">
        <v>126000</v>
      </c>
      <c r="E288" s="9" t="s">
        <v>2185</v>
      </c>
      <c r="F288" s="9" t="s">
        <v>64</v>
      </c>
      <c r="G288" s="9" t="s">
        <v>53</v>
      </c>
      <c r="H288" s="9" t="str">
        <f>_xlfn.XLOOKUP(G288,Employees!C:C,Employees!B:B,FALSE)</f>
        <v>T006</v>
      </c>
    </row>
    <row r="289" spans="2:8" x14ac:dyDescent="0.25">
      <c r="B289" s="9" t="s">
        <v>708</v>
      </c>
      <c r="C289" s="9" t="s">
        <v>24</v>
      </c>
      <c r="D289" s="9">
        <v>217000</v>
      </c>
      <c r="E289" s="9" t="s">
        <v>2186</v>
      </c>
      <c r="F289" s="9" t="s">
        <v>67</v>
      </c>
      <c r="G289" s="9" t="s">
        <v>58</v>
      </c>
      <c r="H289" s="9" t="str">
        <f>_xlfn.XLOOKUP(G289,Employees!C:C,Employees!B:B,FALSE)</f>
        <v>T008</v>
      </c>
    </row>
    <row r="290" spans="2:8" x14ac:dyDescent="0.25">
      <c r="B290" s="9" t="s">
        <v>710</v>
      </c>
      <c r="C290" s="9" t="s">
        <v>20</v>
      </c>
      <c r="D290" s="9">
        <v>153000</v>
      </c>
      <c r="E290" s="9" t="s">
        <v>2187</v>
      </c>
      <c r="F290" s="9" t="s">
        <v>64</v>
      </c>
      <c r="G290" s="9" t="s">
        <v>55</v>
      </c>
      <c r="H290" s="9" t="str">
        <f>_xlfn.XLOOKUP(G290,Employees!C:C,Employees!B:B,FALSE)</f>
        <v>T007</v>
      </c>
    </row>
    <row r="291" spans="2:8" x14ac:dyDescent="0.25">
      <c r="B291" s="9" t="s">
        <v>712</v>
      </c>
      <c r="C291" s="9" t="s">
        <v>22</v>
      </c>
      <c r="D291" s="9">
        <v>170000</v>
      </c>
      <c r="E291" s="9" t="s">
        <v>2188</v>
      </c>
      <c r="F291" s="9" t="s">
        <v>65</v>
      </c>
      <c r="G291" s="9" t="s">
        <v>45</v>
      </c>
      <c r="H291" s="9" t="str">
        <f>_xlfn.XLOOKUP(G291,Employees!C:C,Employees!B:B,FALSE)</f>
        <v>T002</v>
      </c>
    </row>
    <row r="292" spans="2:8" x14ac:dyDescent="0.25">
      <c r="B292" s="9" t="s">
        <v>714</v>
      </c>
      <c r="C292" s="9" t="s">
        <v>16</v>
      </c>
      <c r="D292" s="9">
        <v>136000</v>
      </c>
      <c r="E292" s="9" t="s">
        <v>2188</v>
      </c>
      <c r="F292" s="9" t="s">
        <v>65</v>
      </c>
      <c r="G292" s="9" t="s">
        <v>47</v>
      </c>
      <c r="H292" s="9" t="str">
        <f>_xlfn.XLOOKUP(G292,Employees!C:C,Employees!B:B,FALSE)</f>
        <v>T003</v>
      </c>
    </row>
    <row r="293" spans="2:8" x14ac:dyDescent="0.25">
      <c r="B293" s="9" t="s">
        <v>715</v>
      </c>
      <c r="C293" s="9" t="s">
        <v>12</v>
      </c>
      <c r="D293" s="9">
        <v>273000</v>
      </c>
      <c r="E293" s="9" t="s">
        <v>2189</v>
      </c>
      <c r="F293" s="9" t="s">
        <v>66</v>
      </c>
      <c r="G293" s="9" t="s">
        <v>61</v>
      </c>
      <c r="H293" s="9" t="str">
        <f>_xlfn.XLOOKUP(G293,Employees!C:C,Employees!B:B,FALSE)</f>
        <v>T009</v>
      </c>
    </row>
    <row r="294" spans="2:8" x14ac:dyDescent="0.25">
      <c r="B294" s="9" t="s">
        <v>717</v>
      </c>
      <c r="C294" s="9" t="s">
        <v>12</v>
      </c>
      <c r="D294" s="9">
        <v>242000</v>
      </c>
      <c r="E294" s="9" t="s">
        <v>2190</v>
      </c>
      <c r="F294" s="9" t="s">
        <v>64</v>
      </c>
      <c r="G294" s="9" t="s">
        <v>53</v>
      </c>
      <c r="H294" s="9" t="str">
        <f>_xlfn.XLOOKUP(G294,Employees!C:C,Employees!B:B,FALSE)</f>
        <v>T006</v>
      </c>
    </row>
    <row r="295" spans="2:8" x14ac:dyDescent="0.25">
      <c r="B295" s="9" t="s">
        <v>720</v>
      </c>
      <c r="C295" s="9" t="s">
        <v>16</v>
      </c>
      <c r="D295" s="9">
        <v>64000</v>
      </c>
      <c r="E295" s="9" t="s">
        <v>2190</v>
      </c>
      <c r="F295" s="9" t="s">
        <v>64</v>
      </c>
      <c r="G295" s="9" t="s">
        <v>58</v>
      </c>
      <c r="H295" s="9" t="str">
        <f>_xlfn.XLOOKUP(G295,Employees!C:C,Employees!B:B,FALSE)</f>
        <v>T008</v>
      </c>
    </row>
    <row r="296" spans="2:8" x14ac:dyDescent="0.25">
      <c r="B296" s="9" t="s">
        <v>721</v>
      </c>
      <c r="C296" s="9" t="s">
        <v>22</v>
      </c>
      <c r="D296" s="9">
        <v>233000</v>
      </c>
      <c r="E296" s="9" t="s">
        <v>2191</v>
      </c>
      <c r="F296" s="9" t="s">
        <v>67</v>
      </c>
      <c r="G296" s="9" t="s">
        <v>45</v>
      </c>
      <c r="H296" s="9" t="str">
        <f>_xlfn.XLOOKUP(G296,Employees!C:C,Employees!B:B,FALSE)</f>
        <v>T002</v>
      </c>
    </row>
    <row r="297" spans="2:8" x14ac:dyDescent="0.25">
      <c r="B297" s="9" t="s">
        <v>724</v>
      </c>
      <c r="C297" s="9" t="s">
        <v>20</v>
      </c>
      <c r="D297" s="9">
        <v>148000</v>
      </c>
      <c r="E297" s="9" t="s">
        <v>2191</v>
      </c>
      <c r="F297" s="9" t="s">
        <v>67</v>
      </c>
      <c r="G297" s="9" t="s">
        <v>61</v>
      </c>
      <c r="H297" s="9" t="str">
        <f>_xlfn.XLOOKUP(G297,Employees!C:C,Employees!B:B,FALSE)</f>
        <v>T009</v>
      </c>
    </row>
    <row r="298" spans="2:8" x14ac:dyDescent="0.25">
      <c r="B298" s="9" t="s">
        <v>726</v>
      </c>
      <c r="C298" s="9" t="s">
        <v>18</v>
      </c>
      <c r="D298" s="9">
        <v>77000</v>
      </c>
      <c r="E298" s="9" t="s">
        <v>2192</v>
      </c>
      <c r="F298" s="9" t="s">
        <v>67</v>
      </c>
      <c r="G298" s="9" t="s">
        <v>43</v>
      </c>
      <c r="H298" s="9" t="str">
        <f>_xlfn.XLOOKUP(G298,Employees!C:C,Employees!B:B,FALSE)</f>
        <v>T001</v>
      </c>
    </row>
    <row r="299" spans="2:8" x14ac:dyDescent="0.25">
      <c r="B299" s="9" t="s">
        <v>729</v>
      </c>
      <c r="C299" s="9" t="s">
        <v>16</v>
      </c>
      <c r="D299" s="9">
        <v>179000</v>
      </c>
      <c r="E299" s="9" t="s">
        <v>2192</v>
      </c>
      <c r="F299" s="9" t="s">
        <v>65</v>
      </c>
      <c r="G299" s="9" t="s">
        <v>45</v>
      </c>
      <c r="H299" s="9" t="str">
        <f>_xlfn.XLOOKUP(G299,Employees!C:C,Employees!B:B,FALSE)</f>
        <v>T002</v>
      </c>
    </row>
    <row r="300" spans="2:8" x14ac:dyDescent="0.25">
      <c r="B300" s="9" t="s">
        <v>731</v>
      </c>
      <c r="C300" s="9" t="s">
        <v>24</v>
      </c>
      <c r="D300" s="9">
        <v>108000</v>
      </c>
      <c r="E300" s="9" t="s">
        <v>2193</v>
      </c>
      <c r="F300" s="9" t="s">
        <v>66</v>
      </c>
      <c r="G300" s="9" t="s">
        <v>47</v>
      </c>
      <c r="H300" s="9" t="str">
        <f>_xlfn.XLOOKUP(G300,Employees!C:C,Employees!B:B,FALSE)</f>
        <v>T003</v>
      </c>
    </row>
    <row r="301" spans="2:8" x14ac:dyDescent="0.25">
      <c r="B301" s="9" t="s">
        <v>733</v>
      </c>
      <c r="C301" s="9" t="s">
        <v>16</v>
      </c>
      <c r="D301" s="9">
        <v>61000</v>
      </c>
      <c r="E301" s="9" t="s">
        <v>2194</v>
      </c>
      <c r="F301" s="9" t="s">
        <v>63</v>
      </c>
      <c r="G301" s="9" t="s">
        <v>53</v>
      </c>
      <c r="H301" s="9" t="str">
        <f>_xlfn.XLOOKUP(G301,Employees!C:C,Employees!B:B,FALSE)</f>
        <v>T006</v>
      </c>
    </row>
    <row r="302" spans="2:8" x14ac:dyDescent="0.25">
      <c r="B302" s="9" t="s">
        <v>735</v>
      </c>
      <c r="C302" s="9" t="s">
        <v>14</v>
      </c>
      <c r="D302" s="9">
        <v>291000</v>
      </c>
      <c r="E302" s="9" t="s">
        <v>2194</v>
      </c>
      <c r="F302" s="9" t="s">
        <v>64</v>
      </c>
      <c r="G302" s="9" t="s">
        <v>55</v>
      </c>
      <c r="H302" s="9" t="str">
        <f>_xlfn.XLOOKUP(G302,Employees!C:C,Employees!B:B,FALSE)</f>
        <v>T007</v>
      </c>
    </row>
    <row r="303" spans="2:8" x14ac:dyDescent="0.25">
      <c r="B303" s="9" t="s">
        <v>737</v>
      </c>
      <c r="C303" s="9" t="s">
        <v>24</v>
      </c>
      <c r="D303" s="9">
        <v>285000</v>
      </c>
      <c r="E303" s="9" t="s">
        <v>2195</v>
      </c>
      <c r="F303" s="9" t="s">
        <v>66</v>
      </c>
      <c r="G303" s="9" t="s">
        <v>49</v>
      </c>
      <c r="H303" s="9" t="str">
        <f>_xlfn.XLOOKUP(G303,Employees!C:C,Employees!B:B,FALSE)</f>
        <v>T004</v>
      </c>
    </row>
    <row r="304" spans="2:8" x14ac:dyDescent="0.25">
      <c r="B304" s="9" t="s">
        <v>739</v>
      </c>
      <c r="C304" s="9" t="s">
        <v>14</v>
      </c>
      <c r="D304" s="9">
        <v>237000</v>
      </c>
      <c r="E304" s="9" t="s">
        <v>2195</v>
      </c>
      <c r="F304" s="9" t="s">
        <v>63</v>
      </c>
      <c r="G304" s="9" t="s">
        <v>49</v>
      </c>
      <c r="H304" s="9" t="str">
        <f>_xlfn.XLOOKUP(G304,Employees!C:C,Employees!B:B,FALSE)</f>
        <v>T004</v>
      </c>
    </row>
    <row r="305" spans="2:8" x14ac:dyDescent="0.25">
      <c r="B305" s="9" t="s">
        <v>741</v>
      </c>
      <c r="C305" s="9" t="s">
        <v>12</v>
      </c>
      <c r="D305" s="9">
        <v>237000</v>
      </c>
      <c r="E305" s="9" t="s">
        <v>2195</v>
      </c>
      <c r="F305" s="9" t="s">
        <v>62</v>
      </c>
      <c r="G305" s="9" t="s">
        <v>51</v>
      </c>
      <c r="H305" s="9" t="str">
        <f>_xlfn.XLOOKUP(G305,Employees!C:C,Employees!B:B,FALSE)</f>
        <v>T005</v>
      </c>
    </row>
    <row r="306" spans="2:8" x14ac:dyDescent="0.25">
      <c r="B306" s="9" t="s">
        <v>742</v>
      </c>
      <c r="C306" s="9" t="s">
        <v>16</v>
      </c>
      <c r="D306" s="9">
        <v>217000</v>
      </c>
      <c r="E306" s="9" t="s">
        <v>2196</v>
      </c>
      <c r="F306" s="9" t="s">
        <v>67</v>
      </c>
      <c r="G306" s="9" t="s">
        <v>55</v>
      </c>
      <c r="H306" s="9" t="str">
        <f>_xlfn.XLOOKUP(G306,Employees!C:C,Employees!B:B,FALSE)</f>
        <v>T007</v>
      </c>
    </row>
    <row r="307" spans="2:8" x14ac:dyDescent="0.25">
      <c r="B307" s="9" t="s">
        <v>744</v>
      </c>
      <c r="C307" s="9" t="s">
        <v>18</v>
      </c>
      <c r="D307" s="9">
        <v>173000</v>
      </c>
      <c r="E307" s="9" t="s">
        <v>2197</v>
      </c>
      <c r="F307" s="9" t="s">
        <v>65</v>
      </c>
      <c r="G307" s="9" t="s">
        <v>53</v>
      </c>
      <c r="H307" s="9" t="str">
        <f>_xlfn.XLOOKUP(G307,Employees!C:C,Employees!B:B,FALSE)</f>
        <v>T006</v>
      </c>
    </row>
    <row r="308" spans="2:8" x14ac:dyDescent="0.25">
      <c r="B308" s="9" t="s">
        <v>746</v>
      </c>
      <c r="C308" s="9" t="s">
        <v>24</v>
      </c>
      <c r="D308" s="9">
        <v>185000</v>
      </c>
      <c r="E308" s="9" t="s">
        <v>2198</v>
      </c>
      <c r="F308" s="9" t="s">
        <v>62</v>
      </c>
      <c r="G308" s="9" t="s">
        <v>61</v>
      </c>
      <c r="H308" s="9" t="str">
        <f>_xlfn.XLOOKUP(G308,Employees!C:C,Employees!B:B,FALSE)</f>
        <v>T009</v>
      </c>
    </row>
    <row r="309" spans="2:8" x14ac:dyDescent="0.25">
      <c r="B309" s="9" t="s">
        <v>749</v>
      </c>
      <c r="C309" s="9" t="s">
        <v>16</v>
      </c>
      <c r="D309" s="9">
        <v>86000</v>
      </c>
      <c r="E309" s="9" t="s">
        <v>2198</v>
      </c>
      <c r="F309" s="9" t="s">
        <v>67</v>
      </c>
      <c r="G309" s="9" t="s">
        <v>61</v>
      </c>
      <c r="H309" s="9" t="str">
        <f>_xlfn.XLOOKUP(G309,Employees!C:C,Employees!B:B,FALSE)</f>
        <v>T009</v>
      </c>
    </row>
    <row r="310" spans="2:8" x14ac:dyDescent="0.25">
      <c r="B310" s="9" t="s">
        <v>750</v>
      </c>
      <c r="C310" s="9" t="s">
        <v>22</v>
      </c>
      <c r="D310" s="9">
        <v>78000</v>
      </c>
      <c r="E310" s="9" t="s">
        <v>2198</v>
      </c>
      <c r="F310" s="9" t="s">
        <v>67</v>
      </c>
      <c r="G310" s="9" t="s">
        <v>61</v>
      </c>
      <c r="H310" s="9" t="str">
        <f>_xlfn.XLOOKUP(G310,Employees!C:C,Employees!B:B,FALSE)</f>
        <v>T009</v>
      </c>
    </row>
    <row r="311" spans="2:8" x14ac:dyDescent="0.25">
      <c r="B311" s="9" t="s">
        <v>751</v>
      </c>
      <c r="C311" s="9" t="s">
        <v>20</v>
      </c>
      <c r="D311" s="9">
        <v>223000</v>
      </c>
      <c r="E311" s="9" t="s">
        <v>2198</v>
      </c>
      <c r="F311" s="9" t="s">
        <v>65</v>
      </c>
      <c r="G311" s="9" t="s">
        <v>51</v>
      </c>
      <c r="H311" s="9" t="str">
        <f>_xlfn.XLOOKUP(G311,Employees!C:C,Employees!B:B,FALSE)</f>
        <v>T005</v>
      </c>
    </row>
    <row r="312" spans="2:8" x14ac:dyDescent="0.25">
      <c r="B312" s="9" t="s">
        <v>753</v>
      </c>
      <c r="C312" s="9" t="s">
        <v>18</v>
      </c>
      <c r="D312" s="9">
        <v>175000</v>
      </c>
      <c r="E312" s="9" t="s">
        <v>2199</v>
      </c>
      <c r="F312" s="9" t="s">
        <v>65</v>
      </c>
      <c r="G312" s="9" t="s">
        <v>53</v>
      </c>
      <c r="H312" s="9" t="str">
        <f>_xlfn.XLOOKUP(G312,Employees!C:C,Employees!B:B,FALSE)</f>
        <v>T006</v>
      </c>
    </row>
    <row r="313" spans="2:8" x14ac:dyDescent="0.25">
      <c r="B313" s="9" t="s">
        <v>756</v>
      </c>
      <c r="C313" s="9" t="s">
        <v>12</v>
      </c>
      <c r="D313" s="9">
        <v>89000</v>
      </c>
      <c r="E313" s="9" t="s">
        <v>2200</v>
      </c>
      <c r="F313" s="9" t="s">
        <v>62</v>
      </c>
      <c r="G313" s="9" t="s">
        <v>47</v>
      </c>
      <c r="H313" s="9" t="str">
        <f>_xlfn.XLOOKUP(G313,Employees!C:C,Employees!B:B,FALSE)</f>
        <v>T003</v>
      </c>
    </row>
    <row r="314" spans="2:8" x14ac:dyDescent="0.25">
      <c r="B314" s="9" t="s">
        <v>759</v>
      </c>
      <c r="C314" s="9" t="s">
        <v>22</v>
      </c>
      <c r="D314" s="9">
        <v>206000</v>
      </c>
      <c r="E314" s="9" t="s">
        <v>2201</v>
      </c>
      <c r="F314" s="9" t="s">
        <v>64</v>
      </c>
      <c r="G314" s="9" t="s">
        <v>61</v>
      </c>
      <c r="H314" s="9" t="str">
        <f>_xlfn.XLOOKUP(G314,Employees!C:C,Employees!B:B,FALSE)</f>
        <v>T009</v>
      </c>
    </row>
    <row r="315" spans="2:8" x14ac:dyDescent="0.25">
      <c r="B315" s="9" t="s">
        <v>762</v>
      </c>
      <c r="C315" s="9" t="s">
        <v>14</v>
      </c>
      <c r="D315" s="9">
        <v>80000</v>
      </c>
      <c r="E315" s="9" t="s">
        <v>2202</v>
      </c>
      <c r="F315" s="9" t="s">
        <v>62</v>
      </c>
      <c r="G315" s="9" t="s">
        <v>55</v>
      </c>
      <c r="H315" s="9" t="str">
        <f>_xlfn.XLOOKUP(G315,Employees!C:C,Employees!B:B,FALSE)</f>
        <v>T007</v>
      </c>
    </row>
    <row r="316" spans="2:8" x14ac:dyDescent="0.25">
      <c r="B316" s="9" t="s">
        <v>764</v>
      </c>
      <c r="C316" s="9" t="s">
        <v>14</v>
      </c>
      <c r="D316" s="9">
        <v>159000</v>
      </c>
      <c r="E316" s="9" t="s">
        <v>2203</v>
      </c>
      <c r="F316" s="9" t="s">
        <v>66</v>
      </c>
      <c r="G316" s="9" t="s">
        <v>51</v>
      </c>
      <c r="H316" s="9" t="str">
        <f>_xlfn.XLOOKUP(G316,Employees!C:C,Employees!B:B,FALSE)</f>
        <v>T005</v>
      </c>
    </row>
    <row r="317" spans="2:8" x14ac:dyDescent="0.25">
      <c r="B317" s="9" t="s">
        <v>767</v>
      </c>
      <c r="C317" s="9" t="s">
        <v>20</v>
      </c>
      <c r="D317" s="9">
        <v>225000</v>
      </c>
      <c r="E317" s="9" t="s">
        <v>2203</v>
      </c>
      <c r="F317" s="9" t="s">
        <v>66</v>
      </c>
      <c r="G317" s="9" t="s">
        <v>61</v>
      </c>
      <c r="H317" s="9" t="str">
        <f>_xlfn.XLOOKUP(G317,Employees!C:C,Employees!B:B,FALSE)</f>
        <v>T009</v>
      </c>
    </row>
    <row r="318" spans="2:8" x14ac:dyDescent="0.25">
      <c r="B318" s="9" t="s">
        <v>768</v>
      </c>
      <c r="C318" s="9" t="s">
        <v>14</v>
      </c>
      <c r="D318" s="9">
        <v>145000</v>
      </c>
      <c r="E318" s="9" t="s">
        <v>2204</v>
      </c>
      <c r="F318" s="9" t="s">
        <v>66</v>
      </c>
      <c r="G318" s="9" t="s">
        <v>61</v>
      </c>
      <c r="H318" s="9" t="str">
        <f>_xlfn.XLOOKUP(G318,Employees!C:C,Employees!B:B,FALSE)</f>
        <v>T009</v>
      </c>
    </row>
    <row r="319" spans="2:8" x14ac:dyDescent="0.25">
      <c r="B319" s="9" t="s">
        <v>770</v>
      </c>
      <c r="C319" s="9" t="s">
        <v>24</v>
      </c>
      <c r="D319" s="9">
        <v>70000</v>
      </c>
      <c r="E319" s="9" t="s">
        <v>2204</v>
      </c>
      <c r="F319" s="9" t="s">
        <v>65</v>
      </c>
      <c r="G319" s="9" t="s">
        <v>53</v>
      </c>
      <c r="H319" s="9" t="str">
        <f>_xlfn.XLOOKUP(G319,Employees!C:C,Employees!B:B,FALSE)</f>
        <v>T006</v>
      </c>
    </row>
    <row r="320" spans="2:8" x14ac:dyDescent="0.25">
      <c r="B320" s="9" t="s">
        <v>771</v>
      </c>
      <c r="C320" s="9" t="s">
        <v>12</v>
      </c>
      <c r="D320" s="9">
        <v>288000</v>
      </c>
      <c r="E320" s="9" t="s">
        <v>2205</v>
      </c>
      <c r="F320" s="9" t="s">
        <v>67</v>
      </c>
      <c r="G320" s="9" t="s">
        <v>45</v>
      </c>
      <c r="H320" s="9" t="str">
        <f>_xlfn.XLOOKUP(G320,Employees!C:C,Employees!B:B,FALSE)</f>
        <v>T002</v>
      </c>
    </row>
    <row r="321" spans="2:8" x14ac:dyDescent="0.25">
      <c r="B321" s="9" t="s">
        <v>774</v>
      </c>
      <c r="C321" s="9" t="s">
        <v>12</v>
      </c>
      <c r="D321" s="9">
        <v>206000</v>
      </c>
      <c r="E321" s="9" t="s">
        <v>2206</v>
      </c>
      <c r="F321" s="9" t="s">
        <v>65</v>
      </c>
      <c r="G321" s="9" t="s">
        <v>49</v>
      </c>
      <c r="H321" s="9" t="str">
        <f>_xlfn.XLOOKUP(G321,Employees!C:C,Employees!B:B,FALSE)</f>
        <v>T004</v>
      </c>
    </row>
    <row r="322" spans="2:8" x14ac:dyDescent="0.25">
      <c r="B322" s="9" t="s">
        <v>776</v>
      </c>
      <c r="C322" s="9" t="s">
        <v>18</v>
      </c>
      <c r="D322" s="9">
        <v>284000</v>
      </c>
      <c r="E322" s="9" t="s">
        <v>2207</v>
      </c>
      <c r="F322" s="9" t="s">
        <v>63</v>
      </c>
      <c r="G322" s="9" t="s">
        <v>47</v>
      </c>
      <c r="H322" s="9" t="str">
        <f>_xlfn.XLOOKUP(G322,Employees!C:C,Employees!B:B,FALSE)</f>
        <v>T003</v>
      </c>
    </row>
    <row r="323" spans="2:8" x14ac:dyDescent="0.25">
      <c r="B323" s="9" t="s">
        <v>778</v>
      </c>
      <c r="C323" s="9" t="s">
        <v>18</v>
      </c>
      <c r="D323" s="9">
        <v>209000</v>
      </c>
      <c r="E323" s="9" t="s">
        <v>2207</v>
      </c>
      <c r="F323" s="9" t="s">
        <v>62</v>
      </c>
      <c r="G323" s="9" t="s">
        <v>47</v>
      </c>
      <c r="H323" s="9" t="str">
        <f>_xlfn.XLOOKUP(G323,Employees!C:C,Employees!B:B,FALSE)</f>
        <v>T003</v>
      </c>
    </row>
    <row r="324" spans="2:8" x14ac:dyDescent="0.25">
      <c r="B324" s="9" t="s">
        <v>780</v>
      </c>
      <c r="C324" s="9" t="s">
        <v>16</v>
      </c>
      <c r="D324" s="9">
        <v>290000</v>
      </c>
      <c r="E324" s="9" t="s">
        <v>2208</v>
      </c>
      <c r="F324" s="9" t="s">
        <v>65</v>
      </c>
      <c r="G324" s="9" t="s">
        <v>58</v>
      </c>
      <c r="H324" s="9" t="str">
        <f>_xlfn.XLOOKUP(G324,Employees!C:C,Employees!B:B,FALSE)</f>
        <v>T008</v>
      </c>
    </row>
    <row r="325" spans="2:8" x14ac:dyDescent="0.25">
      <c r="B325" s="9" t="s">
        <v>782</v>
      </c>
      <c r="C325" s="9" t="s">
        <v>22</v>
      </c>
      <c r="D325" s="9">
        <v>263000</v>
      </c>
      <c r="E325" s="9" t="s">
        <v>2209</v>
      </c>
      <c r="F325" s="9" t="s">
        <v>64</v>
      </c>
      <c r="G325" s="9" t="s">
        <v>49</v>
      </c>
      <c r="H325" s="9" t="str">
        <f>_xlfn.XLOOKUP(G325,Employees!C:C,Employees!B:B,FALSE)</f>
        <v>T004</v>
      </c>
    </row>
    <row r="326" spans="2:8" x14ac:dyDescent="0.25">
      <c r="B326" s="9" t="s">
        <v>785</v>
      </c>
      <c r="C326" s="9" t="s">
        <v>22</v>
      </c>
      <c r="D326" s="9">
        <v>236000</v>
      </c>
      <c r="E326" s="9" t="s">
        <v>2210</v>
      </c>
      <c r="F326" s="9" t="s">
        <v>67</v>
      </c>
      <c r="G326" s="9" t="s">
        <v>55</v>
      </c>
      <c r="H326" s="9" t="str">
        <f>_xlfn.XLOOKUP(G326,Employees!C:C,Employees!B:B,FALSE)</f>
        <v>T007</v>
      </c>
    </row>
    <row r="327" spans="2:8" x14ac:dyDescent="0.25">
      <c r="B327" s="9" t="s">
        <v>788</v>
      </c>
      <c r="C327" s="9" t="s">
        <v>18</v>
      </c>
      <c r="D327" s="9">
        <v>114000</v>
      </c>
      <c r="E327" s="9" t="s">
        <v>2211</v>
      </c>
      <c r="F327" s="9" t="s">
        <v>62</v>
      </c>
      <c r="G327" s="9" t="s">
        <v>55</v>
      </c>
      <c r="H327" s="9" t="str">
        <f>_xlfn.XLOOKUP(G327,Employees!C:C,Employees!B:B,FALSE)</f>
        <v>T007</v>
      </c>
    </row>
    <row r="328" spans="2:8" x14ac:dyDescent="0.25">
      <c r="B328" s="9" t="s">
        <v>791</v>
      </c>
      <c r="C328" s="9" t="s">
        <v>18</v>
      </c>
      <c r="D328" s="9">
        <v>178000</v>
      </c>
      <c r="E328" s="9" t="s">
        <v>2212</v>
      </c>
      <c r="F328" s="9" t="s">
        <v>65</v>
      </c>
      <c r="G328" s="9" t="s">
        <v>55</v>
      </c>
      <c r="H328" s="9" t="str">
        <f>_xlfn.XLOOKUP(G328,Employees!C:C,Employees!B:B,FALSE)</f>
        <v>T007</v>
      </c>
    </row>
    <row r="329" spans="2:8" x14ac:dyDescent="0.25">
      <c r="B329" s="9" t="s">
        <v>794</v>
      </c>
      <c r="C329" s="9" t="s">
        <v>12</v>
      </c>
      <c r="D329" s="9">
        <v>105000</v>
      </c>
      <c r="E329" s="9" t="s">
        <v>2212</v>
      </c>
      <c r="F329" s="9" t="s">
        <v>63</v>
      </c>
      <c r="G329" s="9" t="s">
        <v>55</v>
      </c>
      <c r="H329" s="9" t="str">
        <f>_xlfn.XLOOKUP(G329,Employees!C:C,Employees!B:B,FALSE)</f>
        <v>T007</v>
      </c>
    </row>
    <row r="330" spans="2:8" x14ac:dyDescent="0.25">
      <c r="B330" s="9" t="s">
        <v>795</v>
      </c>
      <c r="C330" s="9" t="s">
        <v>16</v>
      </c>
      <c r="D330" s="9">
        <v>221000</v>
      </c>
      <c r="E330" s="9" t="s">
        <v>2213</v>
      </c>
      <c r="F330" s="9" t="s">
        <v>63</v>
      </c>
      <c r="G330" s="9" t="s">
        <v>43</v>
      </c>
      <c r="H330" s="9" t="str">
        <f>_xlfn.XLOOKUP(G330,Employees!C:C,Employees!B:B,FALSE)</f>
        <v>T001</v>
      </c>
    </row>
    <row r="331" spans="2:8" x14ac:dyDescent="0.25">
      <c r="B331" s="9" t="s">
        <v>798</v>
      </c>
      <c r="C331" s="9" t="s">
        <v>22</v>
      </c>
      <c r="D331" s="9">
        <v>53000</v>
      </c>
      <c r="E331" s="9" t="s">
        <v>2214</v>
      </c>
      <c r="F331" s="9" t="s">
        <v>63</v>
      </c>
      <c r="G331" s="9" t="s">
        <v>43</v>
      </c>
      <c r="H331" s="9" t="str">
        <f>_xlfn.XLOOKUP(G331,Employees!C:C,Employees!B:B,FALSE)</f>
        <v>T001</v>
      </c>
    </row>
    <row r="332" spans="2:8" x14ac:dyDescent="0.25">
      <c r="B332" s="9" t="s">
        <v>800</v>
      </c>
      <c r="C332" s="9" t="s">
        <v>16</v>
      </c>
      <c r="D332" s="9">
        <v>202000</v>
      </c>
      <c r="E332" s="9" t="s">
        <v>2215</v>
      </c>
      <c r="F332" s="9" t="s">
        <v>66</v>
      </c>
      <c r="G332" s="9" t="s">
        <v>51</v>
      </c>
      <c r="H332" s="9" t="str">
        <f>_xlfn.XLOOKUP(G332,Employees!C:C,Employees!B:B,FALSE)</f>
        <v>T005</v>
      </c>
    </row>
    <row r="333" spans="2:8" x14ac:dyDescent="0.25">
      <c r="B333" s="9" t="s">
        <v>802</v>
      </c>
      <c r="C333" s="9" t="s">
        <v>18</v>
      </c>
      <c r="D333" s="9">
        <v>270000</v>
      </c>
      <c r="E333" s="9" t="s">
        <v>2215</v>
      </c>
      <c r="F333" s="9" t="s">
        <v>66</v>
      </c>
      <c r="G333" s="9" t="s">
        <v>55</v>
      </c>
      <c r="H333" s="9" t="str">
        <f>_xlfn.XLOOKUP(G333,Employees!C:C,Employees!B:B,FALSE)</f>
        <v>T007</v>
      </c>
    </row>
    <row r="334" spans="2:8" x14ac:dyDescent="0.25">
      <c r="B334" s="9" t="s">
        <v>803</v>
      </c>
      <c r="C334" s="9" t="s">
        <v>18</v>
      </c>
      <c r="D334" s="9">
        <v>140000</v>
      </c>
      <c r="E334" s="9" t="s">
        <v>2215</v>
      </c>
      <c r="F334" s="9" t="s">
        <v>67</v>
      </c>
      <c r="G334" s="9" t="s">
        <v>49</v>
      </c>
      <c r="H334" s="9" t="str">
        <f>_xlfn.XLOOKUP(G334,Employees!C:C,Employees!B:B,FALSE)</f>
        <v>T004</v>
      </c>
    </row>
    <row r="335" spans="2:8" x14ac:dyDescent="0.25">
      <c r="B335" s="9" t="s">
        <v>805</v>
      </c>
      <c r="C335" s="9" t="s">
        <v>18</v>
      </c>
      <c r="D335" s="9">
        <v>85000</v>
      </c>
      <c r="E335" s="9" t="s">
        <v>2216</v>
      </c>
      <c r="F335" s="9" t="s">
        <v>62</v>
      </c>
      <c r="G335" s="9" t="s">
        <v>55</v>
      </c>
      <c r="H335" s="9" t="str">
        <f>_xlfn.XLOOKUP(G335,Employees!C:C,Employees!B:B,FALSE)</f>
        <v>T007</v>
      </c>
    </row>
    <row r="336" spans="2:8" x14ac:dyDescent="0.25">
      <c r="B336" s="9" t="s">
        <v>808</v>
      </c>
      <c r="C336" s="9" t="s">
        <v>18</v>
      </c>
      <c r="D336" s="9">
        <v>88000</v>
      </c>
      <c r="E336" s="9" t="s">
        <v>2216</v>
      </c>
      <c r="F336" s="9" t="s">
        <v>67</v>
      </c>
      <c r="G336" s="9" t="s">
        <v>43</v>
      </c>
      <c r="H336" s="9" t="str">
        <f>_xlfn.XLOOKUP(G336,Employees!C:C,Employees!B:B,FALSE)</f>
        <v>T001</v>
      </c>
    </row>
    <row r="337" spans="2:8" x14ac:dyDescent="0.25">
      <c r="B337" s="9" t="s">
        <v>809</v>
      </c>
      <c r="C337" s="9" t="s">
        <v>20</v>
      </c>
      <c r="D337" s="9">
        <v>103000</v>
      </c>
      <c r="E337" s="9" t="s">
        <v>2217</v>
      </c>
      <c r="F337" s="9" t="s">
        <v>62</v>
      </c>
      <c r="G337" s="9" t="s">
        <v>61</v>
      </c>
      <c r="H337" s="9" t="str">
        <f>_xlfn.XLOOKUP(G337,Employees!C:C,Employees!B:B,FALSE)</f>
        <v>T009</v>
      </c>
    </row>
    <row r="338" spans="2:8" x14ac:dyDescent="0.25">
      <c r="B338" s="9" t="s">
        <v>812</v>
      </c>
      <c r="C338" s="9" t="s">
        <v>12</v>
      </c>
      <c r="D338" s="9">
        <v>227000</v>
      </c>
      <c r="E338" s="9" t="s">
        <v>2218</v>
      </c>
      <c r="F338" s="9" t="s">
        <v>62</v>
      </c>
      <c r="G338" s="9" t="s">
        <v>47</v>
      </c>
      <c r="H338" s="9" t="str">
        <f>_xlfn.XLOOKUP(G338,Employees!C:C,Employees!B:B,FALSE)</f>
        <v>T003</v>
      </c>
    </row>
    <row r="339" spans="2:8" x14ac:dyDescent="0.25">
      <c r="B339" s="9" t="s">
        <v>814</v>
      </c>
      <c r="C339" s="9" t="s">
        <v>20</v>
      </c>
      <c r="D339" s="9">
        <v>280000</v>
      </c>
      <c r="E339" s="9" t="s">
        <v>2218</v>
      </c>
      <c r="F339" s="9" t="s">
        <v>63</v>
      </c>
      <c r="G339" s="9" t="s">
        <v>49</v>
      </c>
      <c r="H339" s="9" t="str">
        <f>_xlfn.XLOOKUP(G339,Employees!C:C,Employees!B:B,FALSE)</f>
        <v>T004</v>
      </c>
    </row>
    <row r="340" spans="2:8" x14ac:dyDescent="0.25">
      <c r="B340" s="9" t="s">
        <v>816</v>
      </c>
      <c r="C340" s="9" t="s">
        <v>18</v>
      </c>
      <c r="D340" s="9">
        <v>112000</v>
      </c>
      <c r="E340" s="9" t="s">
        <v>2219</v>
      </c>
      <c r="F340" s="9" t="s">
        <v>62</v>
      </c>
      <c r="G340" s="9" t="s">
        <v>49</v>
      </c>
      <c r="H340" s="9" t="str">
        <f>_xlfn.XLOOKUP(G340,Employees!C:C,Employees!B:B,FALSE)</f>
        <v>T004</v>
      </c>
    </row>
    <row r="341" spans="2:8" x14ac:dyDescent="0.25">
      <c r="B341" s="9" t="s">
        <v>818</v>
      </c>
      <c r="C341" s="9" t="s">
        <v>24</v>
      </c>
      <c r="D341" s="9">
        <v>159000</v>
      </c>
      <c r="E341" s="9" t="s">
        <v>2219</v>
      </c>
      <c r="F341" s="9" t="s">
        <v>67</v>
      </c>
      <c r="G341" s="9" t="s">
        <v>61</v>
      </c>
      <c r="H341" s="9" t="str">
        <f>_xlfn.XLOOKUP(G341,Employees!C:C,Employees!B:B,FALSE)</f>
        <v>T009</v>
      </c>
    </row>
    <row r="342" spans="2:8" x14ac:dyDescent="0.25">
      <c r="B342" s="9" t="s">
        <v>819</v>
      </c>
      <c r="C342" s="9" t="s">
        <v>12</v>
      </c>
      <c r="D342" s="9">
        <v>272000</v>
      </c>
      <c r="E342" s="9" t="s">
        <v>2220</v>
      </c>
      <c r="F342" s="9" t="s">
        <v>65</v>
      </c>
      <c r="G342" s="9" t="s">
        <v>47</v>
      </c>
      <c r="H342" s="9" t="str">
        <f>_xlfn.XLOOKUP(G342,Employees!C:C,Employees!B:B,FALSE)</f>
        <v>T003</v>
      </c>
    </row>
    <row r="343" spans="2:8" x14ac:dyDescent="0.25">
      <c r="B343" s="9" t="s">
        <v>821</v>
      </c>
      <c r="C343" s="9" t="s">
        <v>16</v>
      </c>
      <c r="D343" s="9">
        <v>284000</v>
      </c>
      <c r="E343" s="9" t="s">
        <v>2221</v>
      </c>
      <c r="F343" s="9" t="s">
        <v>64</v>
      </c>
      <c r="G343" s="9" t="s">
        <v>55</v>
      </c>
      <c r="H343" s="9" t="str">
        <f>_xlfn.XLOOKUP(G343,Employees!C:C,Employees!B:B,FALSE)</f>
        <v>T007</v>
      </c>
    </row>
    <row r="344" spans="2:8" x14ac:dyDescent="0.25">
      <c r="B344" s="9" t="s">
        <v>823</v>
      </c>
      <c r="C344" s="9" t="s">
        <v>14</v>
      </c>
      <c r="D344" s="9">
        <v>120000</v>
      </c>
      <c r="E344" s="9" t="s">
        <v>2221</v>
      </c>
      <c r="F344" s="9" t="s">
        <v>64</v>
      </c>
      <c r="G344" s="9" t="s">
        <v>45</v>
      </c>
      <c r="H344" s="9" t="str">
        <f>_xlfn.XLOOKUP(G344,Employees!C:C,Employees!B:B,FALSE)</f>
        <v>T002</v>
      </c>
    </row>
    <row r="345" spans="2:8" x14ac:dyDescent="0.25">
      <c r="B345" s="9" t="s">
        <v>824</v>
      </c>
      <c r="C345" s="9" t="s">
        <v>12</v>
      </c>
      <c r="D345" s="9">
        <v>81000</v>
      </c>
      <c r="E345" s="9" t="s">
        <v>2222</v>
      </c>
      <c r="F345" s="9" t="s">
        <v>65</v>
      </c>
      <c r="G345" s="9" t="s">
        <v>49</v>
      </c>
      <c r="H345" s="9" t="str">
        <f>_xlfn.XLOOKUP(G345,Employees!C:C,Employees!B:B,FALSE)</f>
        <v>T004</v>
      </c>
    </row>
    <row r="346" spans="2:8" x14ac:dyDescent="0.25">
      <c r="B346" s="9" t="s">
        <v>827</v>
      </c>
      <c r="C346" s="9" t="s">
        <v>14</v>
      </c>
      <c r="D346" s="9">
        <v>272000</v>
      </c>
      <c r="E346" s="9" t="s">
        <v>2222</v>
      </c>
      <c r="F346" s="9" t="s">
        <v>67</v>
      </c>
      <c r="G346" s="9" t="s">
        <v>55</v>
      </c>
      <c r="H346" s="9" t="str">
        <f>_xlfn.XLOOKUP(G346,Employees!C:C,Employees!B:B,FALSE)</f>
        <v>T007</v>
      </c>
    </row>
    <row r="347" spans="2:8" x14ac:dyDescent="0.25">
      <c r="B347" s="9" t="s">
        <v>828</v>
      </c>
      <c r="C347" s="9" t="s">
        <v>14</v>
      </c>
      <c r="D347" s="9">
        <v>294000</v>
      </c>
      <c r="E347" s="9" t="s">
        <v>2223</v>
      </c>
      <c r="F347" s="9" t="s">
        <v>62</v>
      </c>
      <c r="G347" s="9" t="s">
        <v>53</v>
      </c>
      <c r="H347" s="9" t="str">
        <f>_xlfn.XLOOKUP(G347,Employees!C:C,Employees!B:B,FALSE)</f>
        <v>T006</v>
      </c>
    </row>
    <row r="348" spans="2:8" x14ac:dyDescent="0.25">
      <c r="B348" s="9" t="s">
        <v>831</v>
      </c>
      <c r="C348" s="9" t="s">
        <v>18</v>
      </c>
      <c r="D348" s="9">
        <v>234000</v>
      </c>
      <c r="E348" s="9" t="s">
        <v>2223</v>
      </c>
      <c r="F348" s="9" t="s">
        <v>65</v>
      </c>
      <c r="G348" s="9" t="s">
        <v>43</v>
      </c>
      <c r="H348" s="9" t="str">
        <f>_xlfn.XLOOKUP(G348,Employees!C:C,Employees!B:B,FALSE)</f>
        <v>T001</v>
      </c>
    </row>
    <row r="349" spans="2:8" x14ac:dyDescent="0.25">
      <c r="B349" s="9" t="s">
        <v>832</v>
      </c>
      <c r="C349" s="9" t="s">
        <v>16</v>
      </c>
      <c r="D349" s="9">
        <v>110000</v>
      </c>
      <c r="E349" s="9" t="s">
        <v>2224</v>
      </c>
      <c r="F349" s="9" t="s">
        <v>62</v>
      </c>
      <c r="G349" s="9" t="s">
        <v>47</v>
      </c>
      <c r="H349" s="9" t="str">
        <f>_xlfn.XLOOKUP(G349,Employees!C:C,Employees!B:B,FALSE)</f>
        <v>T003</v>
      </c>
    </row>
    <row r="350" spans="2:8" x14ac:dyDescent="0.25">
      <c r="B350" s="9" t="s">
        <v>834</v>
      </c>
      <c r="C350" s="9" t="s">
        <v>18</v>
      </c>
      <c r="D350" s="9">
        <v>137000</v>
      </c>
      <c r="E350" s="9" t="s">
        <v>2225</v>
      </c>
      <c r="F350" s="9" t="s">
        <v>67</v>
      </c>
      <c r="G350" s="9" t="s">
        <v>43</v>
      </c>
      <c r="H350" s="9" t="str">
        <f>_xlfn.XLOOKUP(G350,Employees!C:C,Employees!B:B,FALSE)</f>
        <v>T001</v>
      </c>
    </row>
    <row r="351" spans="2:8" x14ac:dyDescent="0.25">
      <c r="B351" s="9" t="s">
        <v>837</v>
      </c>
      <c r="C351" s="9" t="s">
        <v>18</v>
      </c>
      <c r="D351" s="9">
        <v>273000</v>
      </c>
      <c r="E351" s="9" t="s">
        <v>2226</v>
      </c>
      <c r="F351" s="9" t="s">
        <v>66</v>
      </c>
      <c r="G351" s="9" t="s">
        <v>58</v>
      </c>
      <c r="H351" s="9" t="str">
        <f>_xlfn.XLOOKUP(G351,Employees!C:C,Employees!B:B,FALSE)</f>
        <v>T008</v>
      </c>
    </row>
    <row r="352" spans="2:8" x14ac:dyDescent="0.25">
      <c r="B352" s="9" t="s">
        <v>839</v>
      </c>
      <c r="C352" s="9" t="s">
        <v>24</v>
      </c>
      <c r="D352" s="9">
        <v>157000</v>
      </c>
      <c r="E352" s="9" t="s">
        <v>2227</v>
      </c>
      <c r="F352" s="9" t="s">
        <v>63</v>
      </c>
      <c r="G352" s="9" t="s">
        <v>43</v>
      </c>
      <c r="H352" s="9" t="str">
        <f>_xlfn.XLOOKUP(G352,Employees!C:C,Employees!B:B,FALSE)</f>
        <v>T001</v>
      </c>
    </row>
    <row r="353" spans="2:8" x14ac:dyDescent="0.25">
      <c r="B353" s="9" t="s">
        <v>842</v>
      </c>
      <c r="C353" s="9" t="s">
        <v>20</v>
      </c>
      <c r="D353" s="9">
        <v>212000</v>
      </c>
      <c r="E353" s="9" t="s">
        <v>2228</v>
      </c>
      <c r="F353" s="9" t="s">
        <v>64</v>
      </c>
      <c r="G353" s="9" t="s">
        <v>51</v>
      </c>
      <c r="H353" s="9" t="str">
        <f>_xlfn.XLOOKUP(G353,Employees!C:C,Employees!B:B,FALSE)</f>
        <v>T005</v>
      </c>
    </row>
    <row r="354" spans="2:8" x14ac:dyDescent="0.25">
      <c r="B354" s="9" t="s">
        <v>844</v>
      </c>
      <c r="C354" s="9" t="s">
        <v>14</v>
      </c>
      <c r="D354" s="9">
        <v>281000</v>
      </c>
      <c r="E354" s="9" t="s">
        <v>2228</v>
      </c>
      <c r="F354" s="9" t="s">
        <v>66</v>
      </c>
      <c r="G354" s="9" t="s">
        <v>51</v>
      </c>
      <c r="H354" s="9" t="str">
        <f>_xlfn.XLOOKUP(G354,Employees!C:C,Employees!B:B,FALSE)</f>
        <v>T005</v>
      </c>
    </row>
    <row r="355" spans="2:8" x14ac:dyDescent="0.25">
      <c r="B355" s="9" t="s">
        <v>845</v>
      </c>
      <c r="C355" s="9" t="s">
        <v>20</v>
      </c>
      <c r="D355" s="9">
        <v>91000</v>
      </c>
      <c r="E355" s="9" t="s">
        <v>2228</v>
      </c>
      <c r="F355" s="9" t="s">
        <v>63</v>
      </c>
      <c r="G355" s="9" t="s">
        <v>43</v>
      </c>
      <c r="H355" s="9" t="str">
        <f>_xlfn.XLOOKUP(G355,Employees!C:C,Employees!B:B,FALSE)</f>
        <v>T001</v>
      </c>
    </row>
    <row r="356" spans="2:8" x14ac:dyDescent="0.25">
      <c r="B356" s="9" t="s">
        <v>846</v>
      </c>
      <c r="C356" s="9" t="s">
        <v>22</v>
      </c>
      <c r="D356" s="9">
        <v>85000</v>
      </c>
      <c r="E356" s="9" t="s">
        <v>2229</v>
      </c>
      <c r="F356" s="9" t="s">
        <v>62</v>
      </c>
      <c r="G356" s="9" t="s">
        <v>49</v>
      </c>
      <c r="H356" s="9" t="str">
        <f>_xlfn.XLOOKUP(G356,Employees!C:C,Employees!B:B,FALSE)</f>
        <v>T004</v>
      </c>
    </row>
    <row r="357" spans="2:8" x14ac:dyDescent="0.25">
      <c r="B357" s="9" t="s">
        <v>848</v>
      </c>
      <c r="C357" s="9" t="s">
        <v>22</v>
      </c>
      <c r="D357" s="9">
        <v>170000</v>
      </c>
      <c r="E357" s="9" t="s">
        <v>2229</v>
      </c>
      <c r="F357" s="9" t="s">
        <v>64</v>
      </c>
      <c r="G357" s="9" t="s">
        <v>45</v>
      </c>
      <c r="H357" s="9" t="str">
        <f>_xlfn.XLOOKUP(G357,Employees!C:C,Employees!B:B,FALSE)</f>
        <v>T002</v>
      </c>
    </row>
    <row r="358" spans="2:8" x14ac:dyDescent="0.25">
      <c r="B358" s="9" t="s">
        <v>849</v>
      </c>
      <c r="C358" s="9" t="s">
        <v>22</v>
      </c>
      <c r="D358" s="9">
        <v>213000</v>
      </c>
      <c r="E358" s="9" t="s">
        <v>2230</v>
      </c>
      <c r="F358" s="9" t="s">
        <v>63</v>
      </c>
      <c r="G358" s="9" t="s">
        <v>55</v>
      </c>
      <c r="H358" s="9" t="str">
        <f>_xlfn.XLOOKUP(G358,Employees!C:C,Employees!B:B,FALSE)</f>
        <v>T007</v>
      </c>
    </row>
    <row r="359" spans="2:8" x14ac:dyDescent="0.25">
      <c r="B359" s="9" t="s">
        <v>851</v>
      </c>
      <c r="C359" s="9" t="s">
        <v>22</v>
      </c>
      <c r="D359" s="9">
        <v>107000</v>
      </c>
      <c r="E359" s="9" t="s">
        <v>2230</v>
      </c>
      <c r="F359" s="9" t="s">
        <v>62</v>
      </c>
      <c r="G359" s="9" t="s">
        <v>55</v>
      </c>
      <c r="H359" s="9" t="str">
        <f>_xlfn.XLOOKUP(G359,Employees!C:C,Employees!B:B,FALSE)</f>
        <v>T007</v>
      </c>
    </row>
    <row r="360" spans="2:8" x14ac:dyDescent="0.25">
      <c r="B360" s="9" t="s">
        <v>852</v>
      </c>
      <c r="C360" s="9" t="s">
        <v>22</v>
      </c>
      <c r="D360" s="9">
        <v>216000</v>
      </c>
      <c r="E360" s="9" t="s">
        <v>2231</v>
      </c>
      <c r="F360" s="9" t="s">
        <v>67</v>
      </c>
      <c r="G360" s="9" t="s">
        <v>55</v>
      </c>
      <c r="H360" s="9" t="str">
        <f>_xlfn.XLOOKUP(G360,Employees!C:C,Employees!B:B,FALSE)</f>
        <v>T007</v>
      </c>
    </row>
    <row r="361" spans="2:8" x14ac:dyDescent="0.25">
      <c r="B361" s="9" t="s">
        <v>854</v>
      </c>
      <c r="C361" s="9" t="s">
        <v>20</v>
      </c>
      <c r="D361" s="9">
        <v>117000</v>
      </c>
      <c r="E361" s="9" t="s">
        <v>2232</v>
      </c>
      <c r="F361" s="9" t="s">
        <v>67</v>
      </c>
      <c r="G361" s="9" t="s">
        <v>43</v>
      </c>
      <c r="H361" s="9" t="str">
        <f>_xlfn.XLOOKUP(G361,Employees!C:C,Employees!B:B,FALSE)</f>
        <v>T001</v>
      </c>
    </row>
    <row r="362" spans="2:8" x14ac:dyDescent="0.25">
      <c r="B362" s="9" t="s">
        <v>857</v>
      </c>
      <c r="C362" s="9" t="s">
        <v>12</v>
      </c>
      <c r="D362" s="9">
        <v>238000</v>
      </c>
      <c r="E362" s="9" t="s">
        <v>2233</v>
      </c>
      <c r="F362" s="9" t="s">
        <v>62</v>
      </c>
      <c r="G362" s="9" t="s">
        <v>58</v>
      </c>
      <c r="H362" s="9" t="str">
        <f>_xlfn.XLOOKUP(G362,Employees!C:C,Employees!B:B,FALSE)</f>
        <v>T008</v>
      </c>
    </row>
    <row r="363" spans="2:8" x14ac:dyDescent="0.25">
      <c r="B363" s="9" t="s">
        <v>859</v>
      </c>
      <c r="C363" s="9" t="s">
        <v>20</v>
      </c>
      <c r="D363" s="9">
        <v>274000</v>
      </c>
      <c r="E363" s="9" t="s">
        <v>2233</v>
      </c>
      <c r="F363" s="9" t="s">
        <v>66</v>
      </c>
      <c r="G363" s="9" t="s">
        <v>43</v>
      </c>
      <c r="H363" s="9" t="str">
        <f>_xlfn.XLOOKUP(G363,Employees!C:C,Employees!B:B,FALSE)</f>
        <v>T001</v>
      </c>
    </row>
    <row r="364" spans="2:8" x14ac:dyDescent="0.25">
      <c r="B364" s="9" t="s">
        <v>860</v>
      </c>
      <c r="C364" s="9" t="s">
        <v>24</v>
      </c>
      <c r="D364" s="9">
        <v>197000</v>
      </c>
      <c r="E364" s="9" t="s">
        <v>2234</v>
      </c>
      <c r="F364" s="9" t="s">
        <v>63</v>
      </c>
      <c r="G364" s="9" t="s">
        <v>49</v>
      </c>
      <c r="H364" s="9" t="str">
        <f>_xlfn.XLOOKUP(G364,Employees!C:C,Employees!B:B,FALSE)</f>
        <v>T004</v>
      </c>
    </row>
    <row r="365" spans="2:8" x14ac:dyDescent="0.25">
      <c r="B365" s="9" t="s">
        <v>862</v>
      </c>
      <c r="C365" s="9" t="s">
        <v>12</v>
      </c>
      <c r="D365" s="9">
        <v>124000</v>
      </c>
      <c r="E365" s="9" t="s">
        <v>2235</v>
      </c>
      <c r="F365" s="9" t="s">
        <v>63</v>
      </c>
      <c r="G365" s="9" t="s">
        <v>55</v>
      </c>
      <c r="H365" s="9" t="str">
        <f>_xlfn.XLOOKUP(G365,Employees!C:C,Employees!B:B,FALSE)</f>
        <v>T007</v>
      </c>
    </row>
    <row r="366" spans="2:8" x14ac:dyDescent="0.25">
      <c r="B366" s="9" t="s">
        <v>864</v>
      </c>
      <c r="C366" s="9" t="s">
        <v>14</v>
      </c>
      <c r="D366" s="9">
        <v>42000</v>
      </c>
      <c r="E366" s="9" t="s">
        <v>2236</v>
      </c>
      <c r="F366" s="9" t="s">
        <v>63</v>
      </c>
      <c r="G366" s="9" t="s">
        <v>55</v>
      </c>
      <c r="H366" s="9" t="str">
        <f>_xlfn.XLOOKUP(G366,Employees!C:C,Employees!B:B,FALSE)</f>
        <v>T007</v>
      </c>
    </row>
    <row r="367" spans="2:8" x14ac:dyDescent="0.25">
      <c r="B367" s="9" t="s">
        <v>867</v>
      </c>
      <c r="C367" s="9" t="s">
        <v>14</v>
      </c>
      <c r="D367" s="9">
        <v>68000</v>
      </c>
      <c r="E367" s="9" t="s">
        <v>2236</v>
      </c>
      <c r="F367" s="9" t="s">
        <v>64</v>
      </c>
      <c r="G367" s="9" t="s">
        <v>61</v>
      </c>
      <c r="H367" s="9" t="str">
        <f>_xlfn.XLOOKUP(G367,Employees!C:C,Employees!B:B,FALSE)</f>
        <v>T009</v>
      </c>
    </row>
    <row r="368" spans="2:8" x14ac:dyDescent="0.25">
      <c r="B368" s="9" t="s">
        <v>869</v>
      </c>
      <c r="C368" s="9" t="s">
        <v>18</v>
      </c>
      <c r="D368" s="9">
        <v>152000</v>
      </c>
      <c r="E368" s="9" t="s">
        <v>2237</v>
      </c>
      <c r="F368" s="9" t="s">
        <v>66</v>
      </c>
      <c r="G368" s="9" t="s">
        <v>53</v>
      </c>
      <c r="H368" s="9" t="str">
        <f>_xlfn.XLOOKUP(G368,Employees!C:C,Employees!B:B,FALSE)</f>
        <v>T006</v>
      </c>
    </row>
    <row r="369" spans="2:8" x14ac:dyDescent="0.25">
      <c r="B369" s="9" t="s">
        <v>871</v>
      </c>
      <c r="C369" s="9" t="s">
        <v>18</v>
      </c>
      <c r="D369" s="9">
        <v>106000</v>
      </c>
      <c r="E369" s="9" t="s">
        <v>2238</v>
      </c>
      <c r="F369" s="9" t="s">
        <v>66</v>
      </c>
      <c r="G369" s="9" t="s">
        <v>43</v>
      </c>
      <c r="H369" s="9" t="str">
        <f>_xlfn.XLOOKUP(G369,Employees!C:C,Employees!B:B,FALSE)</f>
        <v>T001</v>
      </c>
    </row>
    <row r="370" spans="2:8" x14ac:dyDescent="0.25">
      <c r="B370" s="9" t="s">
        <v>873</v>
      </c>
      <c r="C370" s="9" t="s">
        <v>12</v>
      </c>
      <c r="D370" s="9">
        <v>241000</v>
      </c>
      <c r="E370" s="9" t="s">
        <v>2239</v>
      </c>
      <c r="F370" s="9" t="s">
        <v>67</v>
      </c>
      <c r="G370" s="9" t="s">
        <v>45</v>
      </c>
      <c r="H370" s="9" t="str">
        <f>_xlfn.XLOOKUP(G370,Employees!C:C,Employees!B:B,FALSE)</f>
        <v>T002</v>
      </c>
    </row>
    <row r="371" spans="2:8" x14ac:dyDescent="0.25">
      <c r="B371" s="9" t="s">
        <v>876</v>
      </c>
      <c r="C371" s="9" t="s">
        <v>22</v>
      </c>
      <c r="D371" s="9">
        <v>282000</v>
      </c>
      <c r="E371" s="9" t="s">
        <v>2240</v>
      </c>
      <c r="F371" s="9" t="s">
        <v>66</v>
      </c>
      <c r="G371" s="9" t="s">
        <v>51</v>
      </c>
      <c r="H371" s="9" t="str">
        <f>_xlfn.XLOOKUP(G371,Employees!C:C,Employees!B:B,FALSE)</f>
        <v>T005</v>
      </c>
    </row>
    <row r="372" spans="2:8" x14ac:dyDescent="0.25">
      <c r="B372" s="9" t="s">
        <v>878</v>
      </c>
      <c r="C372" s="9" t="s">
        <v>18</v>
      </c>
      <c r="D372" s="9">
        <v>139000</v>
      </c>
      <c r="E372" s="9" t="s">
        <v>2240</v>
      </c>
      <c r="F372" s="9" t="s">
        <v>66</v>
      </c>
      <c r="G372" s="9" t="s">
        <v>55</v>
      </c>
      <c r="H372" s="9" t="str">
        <f>_xlfn.XLOOKUP(G372,Employees!C:C,Employees!B:B,FALSE)</f>
        <v>T007</v>
      </c>
    </row>
    <row r="373" spans="2:8" x14ac:dyDescent="0.25">
      <c r="B373" s="9" t="s">
        <v>879</v>
      </c>
      <c r="C373" s="9" t="s">
        <v>22</v>
      </c>
      <c r="D373" s="9">
        <v>296000</v>
      </c>
      <c r="E373" s="9" t="s">
        <v>2240</v>
      </c>
      <c r="F373" s="9" t="s">
        <v>67</v>
      </c>
      <c r="G373" s="9" t="s">
        <v>58</v>
      </c>
      <c r="H373" s="9" t="str">
        <f>_xlfn.XLOOKUP(G373,Employees!C:C,Employees!B:B,FALSE)</f>
        <v>T008</v>
      </c>
    </row>
    <row r="374" spans="2:8" x14ac:dyDescent="0.25">
      <c r="B374" s="9" t="s">
        <v>880</v>
      </c>
      <c r="C374" s="9" t="s">
        <v>12</v>
      </c>
      <c r="D374" s="9">
        <v>166000</v>
      </c>
      <c r="E374" s="9" t="s">
        <v>2241</v>
      </c>
      <c r="F374" s="9" t="s">
        <v>62</v>
      </c>
      <c r="G374" s="9" t="s">
        <v>58</v>
      </c>
      <c r="H374" s="9" t="str">
        <f>_xlfn.XLOOKUP(G374,Employees!C:C,Employees!B:B,FALSE)</f>
        <v>T008</v>
      </c>
    </row>
    <row r="375" spans="2:8" x14ac:dyDescent="0.25">
      <c r="B375" s="9" t="s">
        <v>882</v>
      </c>
      <c r="C375" s="9" t="s">
        <v>18</v>
      </c>
      <c r="D375" s="9">
        <v>47000</v>
      </c>
      <c r="E375" s="9" t="s">
        <v>2242</v>
      </c>
      <c r="F375" s="9" t="s">
        <v>65</v>
      </c>
      <c r="G375" s="9" t="s">
        <v>51</v>
      </c>
      <c r="H375" s="9" t="str">
        <f>_xlfn.XLOOKUP(G375,Employees!C:C,Employees!B:B,FALSE)</f>
        <v>T005</v>
      </c>
    </row>
    <row r="376" spans="2:8" x14ac:dyDescent="0.25">
      <c r="B376" s="9" t="s">
        <v>884</v>
      </c>
      <c r="C376" s="9" t="s">
        <v>22</v>
      </c>
      <c r="D376" s="9">
        <v>51000</v>
      </c>
      <c r="E376" s="9" t="s">
        <v>2243</v>
      </c>
      <c r="F376" s="9" t="s">
        <v>64</v>
      </c>
      <c r="G376" s="9" t="s">
        <v>49</v>
      </c>
      <c r="H376" s="9" t="str">
        <f>_xlfn.XLOOKUP(G376,Employees!C:C,Employees!B:B,FALSE)</f>
        <v>T004</v>
      </c>
    </row>
    <row r="377" spans="2:8" x14ac:dyDescent="0.25">
      <c r="B377" s="9" t="s">
        <v>886</v>
      </c>
      <c r="C377" s="9" t="s">
        <v>12</v>
      </c>
      <c r="D377" s="9">
        <v>281000</v>
      </c>
      <c r="E377" s="9" t="s">
        <v>2243</v>
      </c>
      <c r="F377" s="9" t="s">
        <v>66</v>
      </c>
      <c r="G377" s="9" t="s">
        <v>53</v>
      </c>
      <c r="H377" s="9" t="str">
        <f>_xlfn.XLOOKUP(G377,Employees!C:C,Employees!B:B,FALSE)</f>
        <v>T006</v>
      </c>
    </row>
    <row r="378" spans="2:8" x14ac:dyDescent="0.25">
      <c r="B378" s="9" t="s">
        <v>887</v>
      </c>
      <c r="C378" s="9" t="s">
        <v>12</v>
      </c>
      <c r="D378" s="9">
        <v>284000</v>
      </c>
      <c r="E378" s="9" t="s">
        <v>2244</v>
      </c>
      <c r="F378" s="9" t="s">
        <v>67</v>
      </c>
      <c r="G378" s="9" t="s">
        <v>58</v>
      </c>
      <c r="H378" s="9" t="str">
        <f>_xlfn.XLOOKUP(G378,Employees!C:C,Employees!B:B,FALSE)</f>
        <v>T008</v>
      </c>
    </row>
    <row r="379" spans="2:8" x14ac:dyDescent="0.25">
      <c r="B379" s="9" t="s">
        <v>889</v>
      </c>
      <c r="C379" s="9" t="s">
        <v>18</v>
      </c>
      <c r="D379" s="9">
        <v>271000</v>
      </c>
      <c r="E379" s="9" t="s">
        <v>2245</v>
      </c>
      <c r="F379" s="9" t="s">
        <v>65</v>
      </c>
      <c r="G379" s="9" t="s">
        <v>47</v>
      </c>
      <c r="H379" s="9" t="str">
        <f>_xlfn.XLOOKUP(G379,Employees!C:C,Employees!B:B,FALSE)</f>
        <v>T003</v>
      </c>
    </row>
    <row r="380" spans="2:8" x14ac:dyDescent="0.25">
      <c r="B380" s="9" t="s">
        <v>891</v>
      </c>
      <c r="C380" s="9" t="s">
        <v>12</v>
      </c>
      <c r="D380" s="9">
        <v>161000</v>
      </c>
      <c r="E380" s="9" t="s">
        <v>2246</v>
      </c>
      <c r="F380" s="9" t="s">
        <v>66</v>
      </c>
      <c r="G380" s="9" t="s">
        <v>49</v>
      </c>
      <c r="H380" s="9" t="str">
        <f>_xlfn.XLOOKUP(G380,Employees!C:C,Employees!B:B,FALSE)</f>
        <v>T004</v>
      </c>
    </row>
    <row r="381" spans="2:8" x14ac:dyDescent="0.25">
      <c r="B381" s="9" t="s">
        <v>893</v>
      </c>
      <c r="C381" s="9" t="s">
        <v>18</v>
      </c>
      <c r="D381" s="9">
        <v>36000</v>
      </c>
      <c r="E381" s="9" t="s">
        <v>2247</v>
      </c>
      <c r="F381" s="9" t="s">
        <v>63</v>
      </c>
      <c r="G381" s="9" t="s">
        <v>61</v>
      </c>
      <c r="H381" s="9" t="str">
        <f>_xlfn.XLOOKUP(G381,Employees!C:C,Employees!B:B,FALSE)</f>
        <v>T009</v>
      </c>
    </row>
    <row r="382" spans="2:8" x14ac:dyDescent="0.25">
      <c r="B382" s="9" t="s">
        <v>895</v>
      </c>
      <c r="C382" s="9" t="s">
        <v>14</v>
      </c>
      <c r="D382" s="9">
        <v>298000</v>
      </c>
      <c r="E382" s="9" t="s">
        <v>2247</v>
      </c>
      <c r="F382" s="9" t="s">
        <v>66</v>
      </c>
      <c r="G382" s="9" t="s">
        <v>51</v>
      </c>
      <c r="H382" s="9" t="str">
        <f>_xlfn.XLOOKUP(G382,Employees!C:C,Employees!B:B,FALSE)</f>
        <v>T005</v>
      </c>
    </row>
    <row r="383" spans="2:8" x14ac:dyDescent="0.25">
      <c r="B383" s="9" t="s">
        <v>897</v>
      </c>
      <c r="C383" s="9" t="s">
        <v>14</v>
      </c>
      <c r="D383" s="9">
        <v>86000</v>
      </c>
      <c r="E383" s="9" t="s">
        <v>2248</v>
      </c>
      <c r="F383" s="9" t="s">
        <v>67</v>
      </c>
      <c r="G383" s="9" t="s">
        <v>58</v>
      </c>
      <c r="H383" s="9" t="str">
        <f>_xlfn.XLOOKUP(G383,Employees!C:C,Employees!B:B,FALSE)</f>
        <v>T008</v>
      </c>
    </row>
    <row r="384" spans="2:8" x14ac:dyDescent="0.25">
      <c r="B384" s="9" t="s">
        <v>899</v>
      </c>
      <c r="C384" s="9" t="s">
        <v>22</v>
      </c>
      <c r="D384" s="9">
        <v>71000</v>
      </c>
      <c r="E384" s="9" t="s">
        <v>2248</v>
      </c>
      <c r="F384" s="9" t="s">
        <v>62</v>
      </c>
      <c r="G384" s="9" t="s">
        <v>45</v>
      </c>
      <c r="H384" s="9" t="str">
        <f>_xlfn.XLOOKUP(G384,Employees!C:C,Employees!B:B,FALSE)</f>
        <v>T002</v>
      </c>
    </row>
    <row r="385" spans="2:8" x14ac:dyDescent="0.25">
      <c r="B385" s="9" t="s">
        <v>900</v>
      </c>
      <c r="C385" s="9" t="s">
        <v>20</v>
      </c>
      <c r="D385" s="9">
        <v>123000</v>
      </c>
      <c r="E385" s="9" t="s">
        <v>2249</v>
      </c>
      <c r="F385" s="9" t="s">
        <v>63</v>
      </c>
      <c r="G385" s="9" t="s">
        <v>43</v>
      </c>
      <c r="H385" s="9" t="str">
        <f>_xlfn.XLOOKUP(G385,Employees!C:C,Employees!B:B,FALSE)</f>
        <v>T001</v>
      </c>
    </row>
    <row r="386" spans="2:8" x14ac:dyDescent="0.25">
      <c r="B386" s="9" t="s">
        <v>902</v>
      </c>
      <c r="C386" s="9" t="s">
        <v>18</v>
      </c>
      <c r="D386" s="9">
        <v>175000</v>
      </c>
      <c r="E386" s="9" t="s">
        <v>2249</v>
      </c>
      <c r="F386" s="9" t="s">
        <v>66</v>
      </c>
      <c r="G386" s="9" t="s">
        <v>55</v>
      </c>
      <c r="H386" s="9" t="str">
        <f>_xlfn.XLOOKUP(G386,Employees!C:C,Employees!B:B,FALSE)</f>
        <v>T007</v>
      </c>
    </row>
    <row r="387" spans="2:8" x14ac:dyDescent="0.25">
      <c r="B387" s="9" t="s">
        <v>903</v>
      </c>
      <c r="C387" s="9" t="s">
        <v>22</v>
      </c>
      <c r="D387" s="9">
        <v>113000</v>
      </c>
      <c r="E387" s="9" t="s">
        <v>2250</v>
      </c>
      <c r="F387" s="9" t="s">
        <v>66</v>
      </c>
      <c r="G387" s="9" t="s">
        <v>58</v>
      </c>
      <c r="H387" s="9" t="str">
        <f>_xlfn.XLOOKUP(G387,Employees!C:C,Employees!B:B,FALSE)</f>
        <v>T008</v>
      </c>
    </row>
    <row r="388" spans="2:8" x14ac:dyDescent="0.25">
      <c r="B388" s="9" t="s">
        <v>905</v>
      </c>
      <c r="C388" s="9" t="s">
        <v>16</v>
      </c>
      <c r="D388" s="9">
        <v>270000</v>
      </c>
      <c r="E388" s="9" t="s">
        <v>2251</v>
      </c>
      <c r="F388" s="9" t="s">
        <v>67</v>
      </c>
      <c r="G388" s="9" t="s">
        <v>49</v>
      </c>
      <c r="H388" s="9" t="str">
        <f>_xlfn.XLOOKUP(G388,Employees!C:C,Employees!B:B,FALSE)</f>
        <v>T004</v>
      </c>
    </row>
    <row r="389" spans="2:8" x14ac:dyDescent="0.25">
      <c r="B389" s="9" t="s">
        <v>907</v>
      </c>
      <c r="C389" s="9" t="s">
        <v>24</v>
      </c>
      <c r="D389" s="9">
        <v>191000</v>
      </c>
      <c r="E389" s="9" t="s">
        <v>2252</v>
      </c>
      <c r="F389" s="9" t="s">
        <v>65</v>
      </c>
      <c r="G389" s="9" t="s">
        <v>45</v>
      </c>
      <c r="H389" s="9" t="str">
        <f>_xlfn.XLOOKUP(G389,Employees!C:C,Employees!B:B,FALSE)</f>
        <v>T002</v>
      </c>
    </row>
    <row r="390" spans="2:8" x14ac:dyDescent="0.25">
      <c r="B390" s="9" t="s">
        <v>909</v>
      </c>
      <c r="C390" s="9" t="s">
        <v>20</v>
      </c>
      <c r="D390" s="9">
        <v>46000</v>
      </c>
      <c r="E390" s="9" t="s">
        <v>2253</v>
      </c>
      <c r="F390" s="9" t="s">
        <v>63</v>
      </c>
      <c r="G390" s="9" t="s">
        <v>61</v>
      </c>
      <c r="H390" s="9" t="str">
        <f>_xlfn.XLOOKUP(G390,Employees!C:C,Employees!B:B,FALSE)</f>
        <v>T009</v>
      </c>
    </row>
    <row r="391" spans="2:8" x14ac:dyDescent="0.25">
      <c r="B391" s="9" t="s">
        <v>911</v>
      </c>
      <c r="C391" s="9" t="s">
        <v>18</v>
      </c>
      <c r="D391" s="9">
        <v>261000</v>
      </c>
      <c r="E391" s="9" t="s">
        <v>2254</v>
      </c>
      <c r="F391" s="9" t="s">
        <v>64</v>
      </c>
      <c r="G391" s="9" t="s">
        <v>51</v>
      </c>
      <c r="H391" s="9" t="str">
        <f>_xlfn.XLOOKUP(G391,Employees!C:C,Employees!B:B,FALSE)</f>
        <v>T005</v>
      </c>
    </row>
    <row r="392" spans="2:8" x14ac:dyDescent="0.25">
      <c r="B392" s="9" t="s">
        <v>913</v>
      </c>
      <c r="C392" s="9" t="s">
        <v>14</v>
      </c>
      <c r="D392" s="9">
        <v>35000</v>
      </c>
      <c r="E392" s="9" t="s">
        <v>2255</v>
      </c>
      <c r="F392" s="9" t="s">
        <v>62</v>
      </c>
      <c r="G392" s="9" t="s">
        <v>47</v>
      </c>
      <c r="H392" s="9" t="str">
        <f>_xlfn.XLOOKUP(G392,Employees!C:C,Employees!B:B,FALSE)</f>
        <v>T003</v>
      </c>
    </row>
    <row r="393" spans="2:8" x14ac:dyDescent="0.25">
      <c r="B393" s="9" t="s">
        <v>916</v>
      </c>
      <c r="C393" s="9" t="s">
        <v>16</v>
      </c>
      <c r="D393" s="9">
        <v>264000</v>
      </c>
      <c r="E393" s="9" t="s">
        <v>2255</v>
      </c>
      <c r="F393" s="9" t="s">
        <v>67</v>
      </c>
      <c r="G393" s="9" t="s">
        <v>61</v>
      </c>
      <c r="H393" s="9" t="str">
        <f>_xlfn.XLOOKUP(G393,Employees!C:C,Employees!B:B,FALSE)</f>
        <v>T009</v>
      </c>
    </row>
    <row r="394" spans="2:8" x14ac:dyDescent="0.25">
      <c r="B394" s="9" t="s">
        <v>917</v>
      </c>
      <c r="C394" s="9" t="s">
        <v>24</v>
      </c>
      <c r="D394" s="9">
        <v>63000</v>
      </c>
      <c r="E394" s="9" t="s">
        <v>2256</v>
      </c>
      <c r="F394" s="9" t="s">
        <v>66</v>
      </c>
      <c r="G394" s="9" t="s">
        <v>45</v>
      </c>
      <c r="H394" s="9" t="str">
        <f>_xlfn.XLOOKUP(G394,Employees!C:C,Employees!B:B,FALSE)</f>
        <v>T002</v>
      </c>
    </row>
    <row r="395" spans="2:8" x14ac:dyDescent="0.25">
      <c r="B395" s="9" t="s">
        <v>919</v>
      </c>
      <c r="C395" s="9" t="s">
        <v>22</v>
      </c>
      <c r="D395" s="9">
        <v>134000</v>
      </c>
      <c r="E395" s="9" t="s">
        <v>2256</v>
      </c>
      <c r="F395" s="9" t="s">
        <v>64</v>
      </c>
      <c r="G395" s="9" t="s">
        <v>53</v>
      </c>
      <c r="H395" s="9" t="str">
        <f>_xlfn.XLOOKUP(G395,Employees!C:C,Employees!B:B,FALSE)</f>
        <v>T006</v>
      </c>
    </row>
    <row r="396" spans="2:8" x14ac:dyDescent="0.25">
      <c r="B396" s="9" t="s">
        <v>921</v>
      </c>
      <c r="C396" s="9" t="s">
        <v>12</v>
      </c>
      <c r="D396" s="9">
        <v>253000</v>
      </c>
      <c r="E396" s="9" t="s">
        <v>2257</v>
      </c>
      <c r="F396" s="9" t="s">
        <v>62</v>
      </c>
      <c r="G396" s="9" t="s">
        <v>47</v>
      </c>
      <c r="H396" s="9" t="str">
        <f>_xlfn.XLOOKUP(G396,Employees!C:C,Employees!B:B,FALSE)</f>
        <v>T003</v>
      </c>
    </row>
    <row r="397" spans="2:8" x14ac:dyDescent="0.25">
      <c r="B397" s="9" t="s">
        <v>924</v>
      </c>
      <c r="C397" s="9" t="s">
        <v>24</v>
      </c>
      <c r="D397" s="9">
        <v>87000</v>
      </c>
      <c r="E397" s="9" t="s">
        <v>2258</v>
      </c>
      <c r="F397" s="9" t="s">
        <v>66</v>
      </c>
      <c r="G397" s="9" t="s">
        <v>43</v>
      </c>
      <c r="H397" s="9" t="str">
        <f>_xlfn.XLOOKUP(G397,Employees!C:C,Employees!B:B,FALSE)</f>
        <v>T001</v>
      </c>
    </row>
    <row r="398" spans="2:8" x14ac:dyDescent="0.25">
      <c r="B398" s="9" t="s">
        <v>927</v>
      </c>
      <c r="C398" s="9" t="s">
        <v>20</v>
      </c>
      <c r="D398" s="9">
        <v>253000</v>
      </c>
      <c r="E398" s="9" t="s">
        <v>2258</v>
      </c>
      <c r="F398" s="9" t="s">
        <v>63</v>
      </c>
      <c r="G398" s="9" t="s">
        <v>51</v>
      </c>
      <c r="H398" s="9" t="str">
        <f>_xlfn.XLOOKUP(G398,Employees!C:C,Employees!B:B,FALSE)</f>
        <v>T005</v>
      </c>
    </row>
    <row r="399" spans="2:8" x14ac:dyDescent="0.25">
      <c r="B399" s="9" t="s">
        <v>928</v>
      </c>
      <c r="C399" s="9" t="s">
        <v>18</v>
      </c>
      <c r="D399" s="9">
        <v>237000</v>
      </c>
      <c r="E399" s="9" t="s">
        <v>2259</v>
      </c>
      <c r="F399" s="9" t="s">
        <v>62</v>
      </c>
      <c r="G399" s="9" t="s">
        <v>61</v>
      </c>
      <c r="H399" s="9" t="str">
        <f>_xlfn.XLOOKUP(G399,Employees!C:C,Employees!B:B,FALSE)</f>
        <v>T009</v>
      </c>
    </row>
    <row r="400" spans="2:8" x14ac:dyDescent="0.25">
      <c r="B400" s="9" t="s">
        <v>930</v>
      </c>
      <c r="C400" s="9" t="s">
        <v>16</v>
      </c>
      <c r="D400" s="9">
        <v>129000</v>
      </c>
      <c r="E400" s="9" t="s">
        <v>2260</v>
      </c>
      <c r="F400" s="9" t="s">
        <v>64</v>
      </c>
      <c r="G400" s="9" t="s">
        <v>58</v>
      </c>
      <c r="H400" s="9" t="str">
        <f>_xlfn.XLOOKUP(G400,Employees!C:C,Employees!B:B,FALSE)</f>
        <v>T008</v>
      </c>
    </row>
    <row r="401" spans="2:8" x14ac:dyDescent="0.25">
      <c r="B401" s="9" t="s">
        <v>933</v>
      </c>
      <c r="C401" s="9" t="s">
        <v>20</v>
      </c>
      <c r="D401" s="9">
        <v>168000</v>
      </c>
      <c r="E401" s="9" t="s">
        <v>2261</v>
      </c>
      <c r="F401" s="9" t="s">
        <v>65</v>
      </c>
      <c r="G401" s="9" t="s">
        <v>55</v>
      </c>
      <c r="H401" s="9" t="str">
        <f>_xlfn.XLOOKUP(G401,Employees!C:C,Employees!B:B,FALSE)</f>
        <v>T007</v>
      </c>
    </row>
    <row r="402" spans="2:8" x14ac:dyDescent="0.25">
      <c r="B402" s="9" t="s">
        <v>935</v>
      </c>
      <c r="C402" s="9" t="s">
        <v>12</v>
      </c>
      <c r="D402" s="9">
        <v>174000</v>
      </c>
      <c r="E402" s="9" t="s">
        <v>2262</v>
      </c>
      <c r="F402" s="9" t="s">
        <v>67</v>
      </c>
      <c r="G402" s="9" t="s">
        <v>58</v>
      </c>
      <c r="H402" s="9" t="str">
        <f>_xlfn.XLOOKUP(G402,Employees!C:C,Employees!B:B,FALSE)</f>
        <v>T008</v>
      </c>
    </row>
    <row r="403" spans="2:8" x14ac:dyDescent="0.25">
      <c r="B403" s="9" t="s">
        <v>937</v>
      </c>
      <c r="C403" s="9" t="s">
        <v>12</v>
      </c>
      <c r="D403" s="9">
        <v>210000</v>
      </c>
      <c r="E403" s="9" t="s">
        <v>2263</v>
      </c>
      <c r="F403" s="9" t="s">
        <v>66</v>
      </c>
      <c r="G403" s="9" t="s">
        <v>61</v>
      </c>
      <c r="H403" s="9" t="str">
        <f>_xlfn.XLOOKUP(G403,Employees!C:C,Employees!B:B,FALSE)</f>
        <v>T009</v>
      </c>
    </row>
    <row r="404" spans="2:8" x14ac:dyDescent="0.25">
      <c r="B404" s="9" t="s">
        <v>939</v>
      </c>
      <c r="C404" s="9" t="s">
        <v>12</v>
      </c>
      <c r="D404" s="9">
        <v>94000</v>
      </c>
      <c r="E404" s="9" t="s">
        <v>2264</v>
      </c>
      <c r="F404" s="9" t="s">
        <v>67</v>
      </c>
      <c r="G404" s="9" t="s">
        <v>58</v>
      </c>
      <c r="H404" s="9" t="str">
        <f>_xlfn.XLOOKUP(G404,Employees!C:C,Employees!B:B,FALSE)</f>
        <v>T008</v>
      </c>
    </row>
    <row r="405" spans="2:8" x14ac:dyDescent="0.25">
      <c r="B405" s="9" t="s">
        <v>941</v>
      </c>
      <c r="C405" s="9" t="s">
        <v>18</v>
      </c>
      <c r="D405" s="9">
        <v>71000</v>
      </c>
      <c r="E405" s="9" t="s">
        <v>2265</v>
      </c>
      <c r="F405" s="9" t="s">
        <v>66</v>
      </c>
      <c r="G405" s="9" t="s">
        <v>45</v>
      </c>
      <c r="H405" s="9" t="str">
        <f>_xlfn.XLOOKUP(G405,Employees!C:C,Employees!B:B,FALSE)</f>
        <v>T002</v>
      </c>
    </row>
    <row r="406" spans="2:8" x14ac:dyDescent="0.25">
      <c r="B406" s="9" t="s">
        <v>943</v>
      </c>
      <c r="C406" s="9" t="s">
        <v>20</v>
      </c>
      <c r="D406" s="9">
        <v>255000</v>
      </c>
      <c r="E406" s="9" t="s">
        <v>2265</v>
      </c>
      <c r="F406" s="9" t="s">
        <v>66</v>
      </c>
      <c r="G406" s="9" t="s">
        <v>49</v>
      </c>
      <c r="H406" s="9" t="str">
        <f>_xlfn.XLOOKUP(G406,Employees!C:C,Employees!B:B,FALSE)</f>
        <v>T004</v>
      </c>
    </row>
    <row r="407" spans="2:8" x14ac:dyDescent="0.25">
      <c r="B407" s="9" t="s">
        <v>944</v>
      </c>
      <c r="C407" s="9" t="s">
        <v>24</v>
      </c>
      <c r="D407" s="9">
        <v>80000</v>
      </c>
      <c r="E407" s="9" t="s">
        <v>2266</v>
      </c>
      <c r="F407" s="9" t="s">
        <v>65</v>
      </c>
      <c r="G407" s="9" t="s">
        <v>51</v>
      </c>
      <c r="H407" s="9" t="str">
        <f>_xlfn.XLOOKUP(G407,Employees!C:C,Employees!B:B,FALSE)</f>
        <v>T005</v>
      </c>
    </row>
    <row r="408" spans="2:8" x14ac:dyDescent="0.25">
      <c r="B408" s="9" t="s">
        <v>946</v>
      </c>
      <c r="C408" s="9" t="s">
        <v>24</v>
      </c>
      <c r="D408" s="9">
        <v>87000</v>
      </c>
      <c r="E408" s="9" t="s">
        <v>2267</v>
      </c>
      <c r="F408" s="9" t="s">
        <v>65</v>
      </c>
      <c r="G408" s="9" t="s">
        <v>49</v>
      </c>
      <c r="H408" s="9" t="str">
        <f>_xlfn.XLOOKUP(G408,Employees!C:C,Employees!B:B,FALSE)</f>
        <v>T004</v>
      </c>
    </row>
    <row r="409" spans="2:8" x14ac:dyDescent="0.25">
      <c r="B409" s="9" t="s">
        <v>948</v>
      </c>
      <c r="C409" s="9" t="s">
        <v>16</v>
      </c>
      <c r="D409" s="9">
        <v>141000</v>
      </c>
      <c r="E409" s="9" t="s">
        <v>2268</v>
      </c>
      <c r="F409" s="9" t="s">
        <v>63</v>
      </c>
      <c r="G409" s="9" t="s">
        <v>58</v>
      </c>
      <c r="H409" s="9" t="str">
        <f>_xlfn.XLOOKUP(G409,Employees!C:C,Employees!B:B,FALSE)</f>
        <v>T008</v>
      </c>
    </row>
    <row r="410" spans="2:8" x14ac:dyDescent="0.25">
      <c r="B410" s="9" t="s">
        <v>950</v>
      </c>
      <c r="C410" s="9" t="s">
        <v>12</v>
      </c>
      <c r="D410" s="9">
        <v>70000</v>
      </c>
      <c r="E410" s="9" t="s">
        <v>2269</v>
      </c>
      <c r="F410" s="9" t="s">
        <v>62</v>
      </c>
      <c r="G410" s="9" t="s">
        <v>53</v>
      </c>
      <c r="H410" s="9" t="str">
        <f>_xlfn.XLOOKUP(G410,Employees!C:C,Employees!B:B,FALSE)</f>
        <v>T006</v>
      </c>
    </row>
    <row r="411" spans="2:8" x14ac:dyDescent="0.25">
      <c r="B411" s="9" t="s">
        <v>952</v>
      </c>
      <c r="C411" s="9" t="s">
        <v>12</v>
      </c>
      <c r="D411" s="9">
        <v>266000</v>
      </c>
      <c r="E411" s="9" t="s">
        <v>2269</v>
      </c>
      <c r="F411" s="9" t="s">
        <v>66</v>
      </c>
      <c r="G411" s="9" t="s">
        <v>43</v>
      </c>
      <c r="H411" s="9" t="str">
        <f>_xlfn.XLOOKUP(G411,Employees!C:C,Employees!B:B,FALSE)</f>
        <v>T001</v>
      </c>
    </row>
    <row r="412" spans="2:8" x14ac:dyDescent="0.25">
      <c r="B412" s="9" t="s">
        <v>953</v>
      </c>
      <c r="C412" s="9" t="s">
        <v>22</v>
      </c>
      <c r="D412" s="9">
        <v>41000</v>
      </c>
      <c r="E412" s="9" t="s">
        <v>2269</v>
      </c>
      <c r="F412" s="9" t="s">
        <v>64</v>
      </c>
      <c r="G412" s="9" t="s">
        <v>43</v>
      </c>
      <c r="H412" s="9" t="str">
        <f>_xlfn.XLOOKUP(G412,Employees!C:C,Employees!B:B,FALSE)</f>
        <v>T001</v>
      </c>
    </row>
    <row r="413" spans="2:8" x14ac:dyDescent="0.25">
      <c r="B413" s="9" t="s">
        <v>954</v>
      </c>
      <c r="C413" s="9" t="s">
        <v>24</v>
      </c>
      <c r="D413" s="9">
        <v>238000</v>
      </c>
      <c r="E413" s="9" t="s">
        <v>2269</v>
      </c>
      <c r="F413" s="9" t="s">
        <v>66</v>
      </c>
      <c r="G413" s="9" t="s">
        <v>58</v>
      </c>
      <c r="H413" s="9" t="str">
        <f>_xlfn.XLOOKUP(G413,Employees!C:C,Employees!B:B,FALSE)</f>
        <v>T008</v>
      </c>
    </row>
    <row r="414" spans="2:8" x14ac:dyDescent="0.25">
      <c r="B414" s="9" t="s">
        <v>955</v>
      </c>
      <c r="C414" s="9" t="s">
        <v>14</v>
      </c>
      <c r="D414" s="9">
        <v>55000</v>
      </c>
      <c r="E414" s="9" t="s">
        <v>2270</v>
      </c>
      <c r="F414" s="9" t="s">
        <v>67</v>
      </c>
      <c r="G414" s="9" t="s">
        <v>47</v>
      </c>
      <c r="H414" s="9" t="str">
        <f>_xlfn.XLOOKUP(G414,Employees!C:C,Employees!B:B,FALSE)</f>
        <v>T003</v>
      </c>
    </row>
    <row r="415" spans="2:8" x14ac:dyDescent="0.25">
      <c r="B415" s="9" t="s">
        <v>957</v>
      </c>
      <c r="C415" s="9" t="s">
        <v>24</v>
      </c>
      <c r="D415" s="9">
        <v>146000</v>
      </c>
      <c r="E415" s="9" t="s">
        <v>2271</v>
      </c>
      <c r="F415" s="9" t="s">
        <v>67</v>
      </c>
      <c r="G415" s="9" t="s">
        <v>58</v>
      </c>
      <c r="H415" s="9" t="str">
        <f>_xlfn.XLOOKUP(G415,Employees!C:C,Employees!B:B,FALSE)</f>
        <v>T008</v>
      </c>
    </row>
    <row r="416" spans="2:8" x14ac:dyDescent="0.25">
      <c r="B416" s="9" t="s">
        <v>960</v>
      </c>
      <c r="C416" s="9" t="s">
        <v>22</v>
      </c>
      <c r="D416" s="9">
        <v>95000</v>
      </c>
      <c r="E416" s="9" t="s">
        <v>2272</v>
      </c>
      <c r="F416" s="9" t="s">
        <v>63</v>
      </c>
      <c r="G416" s="9" t="s">
        <v>45</v>
      </c>
      <c r="H416" s="9" t="str">
        <f>_xlfn.XLOOKUP(G416,Employees!C:C,Employees!B:B,FALSE)</f>
        <v>T002</v>
      </c>
    </row>
    <row r="417" spans="2:8" x14ac:dyDescent="0.25">
      <c r="B417" s="9" t="s">
        <v>963</v>
      </c>
      <c r="C417" s="9" t="s">
        <v>14</v>
      </c>
      <c r="D417" s="9">
        <v>248000</v>
      </c>
      <c r="E417" s="9" t="s">
        <v>2273</v>
      </c>
      <c r="F417" s="9" t="s">
        <v>67</v>
      </c>
      <c r="G417" s="9" t="s">
        <v>43</v>
      </c>
      <c r="H417" s="9" t="str">
        <f>_xlfn.XLOOKUP(G417,Employees!C:C,Employees!B:B,FALSE)</f>
        <v>T001</v>
      </c>
    </row>
    <row r="418" spans="2:8" x14ac:dyDescent="0.25">
      <c r="B418" s="9" t="s">
        <v>966</v>
      </c>
      <c r="C418" s="9" t="s">
        <v>12</v>
      </c>
      <c r="D418" s="9">
        <v>204000</v>
      </c>
      <c r="E418" s="9" t="s">
        <v>2274</v>
      </c>
      <c r="F418" s="9" t="s">
        <v>67</v>
      </c>
      <c r="G418" s="9" t="s">
        <v>43</v>
      </c>
      <c r="H418" s="9" t="str">
        <f>_xlfn.XLOOKUP(G418,Employees!C:C,Employees!B:B,FALSE)</f>
        <v>T001</v>
      </c>
    </row>
    <row r="419" spans="2:8" x14ac:dyDescent="0.25">
      <c r="B419" s="9" t="s">
        <v>968</v>
      </c>
      <c r="C419" s="9" t="s">
        <v>16</v>
      </c>
      <c r="D419" s="9">
        <v>139000</v>
      </c>
      <c r="E419" s="9" t="s">
        <v>2275</v>
      </c>
      <c r="F419" s="9" t="s">
        <v>63</v>
      </c>
      <c r="G419" s="9" t="s">
        <v>55</v>
      </c>
      <c r="H419" s="9" t="str">
        <f>_xlfn.XLOOKUP(G419,Employees!C:C,Employees!B:B,FALSE)</f>
        <v>T007</v>
      </c>
    </row>
    <row r="420" spans="2:8" x14ac:dyDescent="0.25">
      <c r="B420" s="9" t="s">
        <v>970</v>
      </c>
      <c r="C420" s="9" t="s">
        <v>12</v>
      </c>
      <c r="D420" s="9">
        <v>196000</v>
      </c>
      <c r="E420" s="9" t="s">
        <v>2276</v>
      </c>
      <c r="F420" s="9" t="s">
        <v>65</v>
      </c>
      <c r="G420" s="9" t="s">
        <v>45</v>
      </c>
      <c r="H420" s="9" t="str">
        <f>_xlfn.XLOOKUP(G420,Employees!C:C,Employees!B:B,FALSE)</f>
        <v>T002</v>
      </c>
    </row>
    <row r="421" spans="2:8" x14ac:dyDescent="0.25">
      <c r="B421" s="9" t="s">
        <v>972</v>
      </c>
      <c r="C421" s="9" t="s">
        <v>12</v>
      </c>
      <c r="D421" s="9">
        <v>273000</v>
      </c>
      <c r="E421" s="9" t="s">
        <v>2277</v>
      </c>
      <c r="F421" s="9" t="s">
        <v>67</v>
      </c>
      <c r="G421" s="9" t="s">
        <v>53</v>
      </c>
      <c r="H421" s="9" t="str">
        <f>_xlfn.XLOOKUP(G421,Employees!C:C,Employees!B:B,FALSE)</f>
        <v>T006</v>
      </c>
    </row>
    <row r="422" spans="2:8" x14ac:dyDescent="0.25">
      <c r="B422" s="9" t="s">
        <v>974</v>
      </c>
      <c r="C422" s="9" t="s">
        <v>20</v>
      </c>
      <c r="D422" s="9">
        <v>107000</v>
      </c>
      <c r="E422" s="9" t="s">
        <v>2278</v>
      </c>
      <c r="F422" s="9" t="s">
        <v>66</v>
      </c>
      <c r="G422" s="9" t="s">
        <v>45</v>
      </c>
      <c r="H422" s="9" t="str">
        <f>_xlfn.XLOOKUP(G422,Employees!C:C,Employees!B:B,FALSE)</f>
        <v>T002</v>
      </c>
    </row>
    <row r="423" spans="2:8" x14ac:dyDescent="0.25">
      <c r="B423" s="9" t="s">
        <v>976</v>
      </c>
      <c r="C423" s="9" t="s">
        <v>24</v>
      </c>
      <c r="D423" s="9">
        <v>147000</v>
      </c>
      <c r="E423" s="9" t="s">
        <v>2278</v>
      </c>
      <c r="F423" s="9" t="s">
        <v>63</v>
      </c>
      <c r="G423" s="9" t="s">
        <v>58</v>
      </c>
      <c r="H423" s="9" t="str">
        <f>_xlfn.XLOOKUP(G423,Employees!C:C,Employees!B:B,FALSE)</f>
        <v>T008</v>
      </c>
    </row>
    <row r="424" spans="2:8" x14ac:dyDescent="0.25">
      <c r="B424" s="9" t="s">
        <v>977</v>
      </c>
      <c r="C424" s="9" t="s">
        <v>20</v>
      </c>
      <c r="D424" s="9">
        <v>261000</v>
      </c>
      <c r="E424" s="9" t="s">
        <v>2278</v>
      </c>
      <c r="F424" s="9" t="s">
        <v>66</v>
      </c>
      <c r="G424" s="9" t="s">
        <v>61</v>
      </c>
      <c r="H424" s="9" t="str">
        <f>_xlfn.XLOOKUP(G424,Employees!C:C,Employees!B:B,FALSE)</f>
        <v>T009</v>
      </c>
    </row>
    <row r="425" spans="2:8" x14ac:dyDescent="0.25">
      <c r="B425" s="9" t="s">
        <v>978</v>
      </c>
      <c r="C425" s="9" t="s">
        <v>16</v>
      </c>
      <c r="D425" s="9">
        <v>83000</v>
      </c>
      <c r="E425" s="9" t="s">
        <v>2278</v>
      </c>
      <c r="F425" s="9" t="s">
        <v>67</v>
      </c>
      <c r="G425" s="9" t="s">
        <v>49</v>
      </c>
      <c r="H425" s="9" t="str">
        <f>_xlfn.XLOOKUP(G425,Employees!C:C,Employees!B:B,FALSE)</f>
        <v>T004</v>
      </c>
    </row>
    <row r="426" spans="2:8" x14ac:dyDescent="0.25">
      <c r="B426" s="9" t="s">
        <v>980</v>
      </c>
      <c r="C426" s="9" t="s">
        <v>24</v>
      </c>
      <c r="D426" s="9">
        <v>165000</v>
      </c>
      <c r="E426" s="9" t="s">
        <v>2279</v>
      </c>
      <c r="F426" s="9" t="s">
        <v>66</v>
      </c>
      <c r="G426" s="9" t="s">
        <v>43</v>
      </c>
      <c r="H426" s="9" t="str">
        <f>_xlfn.XLOOKUP(G426,Employees!C:C,Employees!B:B,FALSE)</f>
        <v>T001</v>
      </c>
    </row>
    <row r="427" spans="2:8" x14ac:dyDescent="0.25">
      <c r="B427" s="9" t="s">
        <v>983</v>
      </c>
      <c r="C427" s="9" t="s">
        <v>16</v>
      </c>
      <c r="D427" s="9">
        <v>214000</v>
      </c>
      <c r="E427" s="9" t="s">
        <v>2279</v>
      </c>
      <c r="F427" s="9" t="s">
        <v>64</v>
      </c>
      <c r="G427" s="9" t="s">
        <v>49</v>
      </c>
      <c r="H427" s="9" t="str">
        <f>_xlfn.XLOOKUP(G427,Employees!C:C,Employees!B:B,FALSE)</f>
        <v>T004</v>
      </c>
    </row>
    <row r="428" spans="2:8" x14ac:dyDescent="0.25">
      <c r="B428" s="9" t="s">
        <v>984</v>
      </c>
      <c r="C428" s="9" t="s">
        <v>12</v>
      </c>
      <c r="D428" s="9">
        <v>241000</v>
      </c>
      <c r="E428" s="9" t="s">
        <v>2279</v>
      </c>
      <c r="F428" s="9" t="s">
        <v>66</v>
      </c>
      <c r="G428" s="9" t="s">
        <v>53</v>
      </c>
      <c r="H428" s="9" t="str">
        <f>_xlfn.XLOOKUP(G428,Employees!C:C,Employees!B:B,FALSE)</f>
        <v>T006</v>
      </c>
    </row>
    <row r="429" spans="2:8" x14ac:dyDescent="0.25">
      <c r="B429" s="9" t="s">
        <v>985</v>
      </c>
      <c r="C429" s="9" t="s">
        <v>14</v>
      </c>
      <c r="D429" s="9">
        <v>265000</v>
      </c>
      <c r="E429" s="9" t="s">
        <v>2280</v>
      </c>
      <c r="F429" s="9" t="s">
        <v>64</v>
      </c>
      <c r="G429" s="9" t="s">
        <v>51</v>
      </c>
      <c r="H429" s="9" t="str">
        <f>_xlfn.XLOOKUP(G429,Employees!C:C,Employees!B:B,FALSE)</f>
        <v>T005</v>
      </c>
    </row>
    <row r="430" spans="2:8" x14ac:dyDescent="0.25">
      <c r="B430" s="9" t="s">
        <v>988</v>
      </c>
      <c r="C430" s="9" t="s">
        <v>14</v>
      </c>
      <c r="D430" s="9">
        <v>184000</v>
      </c>
      <c r="E430" s="9" t="s">
        <v>2281</v>
      </c>
      <c r="F430" s="9" t="s">
        <v>62</v>
      </c>
      <c r="G430" s="9" t="s">
        <v>58</v>
      </c>
      <c r="H430" s="9" t="str">
        <f>_xlfn.XLOOKUP(G430,Employees!C:C,Employees!B:B,FALSE)</f>
        <v>T008</v>
      </c>
    </row>
    <row r="431" spans="2:8" x14ac:dyDescent="0.25">
      <c r="B431" s="9" t="s">
        <v>991</v>
      </c>
      <c r="C431" s="9" t="s">
        <v>18</v>
      </c>
      <c r="D431" s="9">
        <v>179000</v>
      </c>
      <c r="E431" s="9" t="s">
        <v>2282</v>
      </c>
      <c r="F431" s="9" t="s">
        <v>64</v>
      </c>
      <c r="G431" s="9" t="s">
        <v>61</v>
      </c>
      <c r="H431" s="9" t="str">
        <f>_xlfn.XLOOKUP(G431,Employees!C:C,Employees!B:B,FALSE)</f>
        <v>T009</v>
      </c>
    </row>
    <row r="432" spans="2:8" x14ac:dyDescent="0.25">
      <c r="B432" s="9" t="s">
        <v>993</v>
      </c>
      <c r="C432" s="9" t="s">
        <v>16</v>
      </c>
      <c r="D432" s="9">
        <v>159000</v>
      </c>
      <c r="E432" s="9" t="s">
        <v>2283</v>
      </c>
      <c r="F432" s="9" t="s">
        <v>64</v>
      </c>
      <c r="G432" s="9" t="s">
        <v>58</v>
      </c>
      <c r="H432" s="9" t="str">
        <f>_xlfn.XLOOKUP(G432,Employees!C:C,Employees!B:B,FALSE)</f>
        <v>T008</v>
      </c>
    </row>
    <row r="433" spans="2:8" x14ac:dyDescent="0.25">
      <c r="B433" s="9" t="s">
        <v>995</v>
      </c>
      <c r="C433" s="9" t="s">
        <v>20</v>
      </c>
      <c r="D433" s="9">
        <v>170000</v>
      </c>
      <c r="E433" s="9" t="s">
        <v>2284</v>
      </c>
      <c r="F433" s="9" t="s">
        <v>62</v>
      </c>
      <c r="G433" s="9" t="s">
        <v>55</v>
      </c>
      <c r="H433" s="9" t="str">
        <f>_xlfn.XLOOKUP(G433,Employees!C:C,Employees!B:B,FALSE)</f>
        <v>T007</v>
      </c>
    </row>
    <row r="434" spans="2:8" x14ac:dyDescent="0.25">
      <c r="B434" s="9" t="s">
        <v>997</v>
      </c>
      <c r="C434" s="9" t="s">
        <v>16</v>
      </c>
      <c r="D434" s="9">
        <v>182000</v>
      </c>
      <c r="E434" s="9" t="s">
        <v>2285</v>
      </c>
      <c r="F434" s="9" t="s">
        <v>67</v>
      </c>
      <c r="G434" s="9" t="s">
        <v>61</v>
      </c>
      <c r="H434" s="9" t="str">
        <f>_xlfn.XLOOKUP(G434,Employees!C:C,Employees!B:B,FALSE)</f>
        <v>T009</v>
      </c>
    </row>
    <row r="435" spans="2:8" x14ac:dyDescent="0.25">
      <c r="B435" s="9" t="s">
        <v>999</v>
      </c>
      <c r="C435" s="9" t="s">
        <v>14</v>
      </c>
      <c r="D435" s="9">
        <v>58000</v>
      </c>
      <c r="E435" s="9" t="s">
        <v>2286</v>
      </c>
      <c r="F435" s="9" t="s">
        <v>66</v>
      </c>
      <c r="G435" s="9" t="s">
        <v>49</v>
      </c>
      <c r="H435" s="9" t="str">
        <f>_xlfn.XLOOKUP(G435,Employees!C:C,Employees!B:B,FALSE)</f>
        <v>T004</v>
      </c>
    </row>
    <row r="436" spans="2:8" x14ac:dyDescent="0.25">
      <c r="B436" s="9" t="s">
        <v>1001</v>
      </c>
      <c r="C436" s="9" t="s">
        <v>16</v>
      </c>
      <c r="D436" s="9">
        <v>46000</v>
      </c>
      <c r="E436" s="9" t="s">
        <v>2286</v>
      </c>
      <c r="F436" s="9" t="s">
        <v>67</v>
      </c>
      <c r="G436" s="9" t="s">
        <v>55</v>
      </c>
      <c r="H436" s="9" t="str">
        <f>_xlfn.XLOOKUP(G436,Employees!C:C,Employees!B:B,FALSE)</f>
        <v>T007</v>
      </c>
    </row>
    <row r="437" spans="2:8" x14ac:dyDescent="0.25">
      <c r="B437" s="9" t="s">
        <v>1002</v>
      </c>
      <c r="C437" s="9" t="s">
        <v>14</v>
      </c>
      <c r="D437" s="9">
        <v>93000</v>
      </c>
      <c r="E437" s="9" t="s">
        <v>2286</v>
      </c>
      <c r="F437" s="9" t="s">
        <v>64</v>
      </c>
      <c r="G437" s="9" t="s">
        <v>47</v>
      </c>
      <c r="H437" s="9" t="str">
        <f>_xlfn.XLOOKUP(G437,Employees!C:C,Employees!B:B,FALSE)</f>
        <v>T003</v>
      </c>
    </row>
    <row r="438" spans="2:8" x14ac:dyDescent="0.25">
      <c r="B438" s="9" t="s">
        <v>1003</v>
      </c>
      <c r="C438" s="9" t="s">
        <v>16</v>
      </c>
      <c r="D438" s="9">
        <v>108000</v>
      </c>
      <c r="E438" s="9" t="s">
        <v>2287</v>
      </c>
      <c r="F438" s="9" t="s">
        <v>66</v>
      </c>
      <c r="G438" s="9" t="s">
        <v>51</v>
      </c>
      <c r="H438" s="9" t="str">
        <f>_xlfn.XLOOKUP(G438,Employees!C:C,Employees!B:B,FALSE)</f>
        <v>T005</v>
      </c>
    </row>
    <row r="439" spans="2:8" x14ac:dyDescent="0.25">
      <c r="B439" s="9" t="s">
        <v>1005</v>
      </c>
      <c r="C439" s="9" t="s">
        <v>14</v>
      </c>
      <c r="D439" s="9">
        <v>202000</v>
      </c>
      <c r="E439" s="9" t="s">
        <v>2288</v>
      </c>
      <c r="F439" s="9" t="s">
        <v>62</v>
      </c>
      <c r="G439" s="9" t="s">
        <v>43</v>
      </c>
      <c r="H439" s="9" t="str">
        <f>_xlfn.XLOOKUP(G439,Employees!C:C,Employees!B:B,FALSE)</f>
        <v>T001</v>
      </c>
    </row>
    <row r="440" spans="2:8" x14ac:dyDescent="0.25">
      <c r="B440" s="9" t="s">
        <v>1007</v>
      </c>
      <c r="C440" s="9" t="s">
        <v>20</v>
      </c>
      <c r="D440" s="9">
        <v>154000</v>
      </c>
      <c r="E440" s="9" t="s">
        <v>2289</v>
      </c>
      <c r="F440" s="9" t="s">
        <v>65</v>
      </c>
      <c r="G440" s="9" t="s">
        <v>61</v>
      </c>
      <c r="H440" s="9" t="str">
        <f>_xlfn.XLOOKUP(G440,Employees!C:C,Employees!B:B,FALSE)</f>
        <v>T009</v>
      </c>
    </row>
    <row r="441" spans="2:8" x14ac:dyDescent="0.25">
      <c r="B441" s="9" t="s">
        <v>1009</v>
      </c>
      <c r="C441" s="9" t="s">
        <v>16</v>
      </c>
      <c r="D441" s="9">
        <v>118000</v>
      </c>
      <c r="E441" s="9" t="s">
        <v>2289</v>
      </c>
      <c r="F441" s="9" t="s">
        <v>63</v>
      </c>
      <c r="G441" s="9" t="s">
        <v>51</v>
      </c>
      <c r="H441" s="9" t="str">
        <f>_xlfn.XLOOKUP(G441,Employees!C:C,Employees!B:B,FALSE)</f>
        <v>T005</v>
      </c>
    </row>
    <row r="442" spans="2:8" x14ac:dyDescent="0.25">
      <c r="B442" s="9" t="s">
        <v>1010</v>
      </c>
      <c r="C442" s="9" t="s">
        <v>22</v>
      </c>
      <c r="D442" s="9">
        <v>268000</v>
      </c>
      <c r="E442" s="9" t="s">
        <v>2290</v>
      </c>
      <c r="F442" s="9" t="s">
        <v>63</v>
      </c>
      <c r="G442" s="9" t="s">
        <v>51</v>
      </c>
      <c r="H442" s="9" t="str">
        <f>_xlfn.XLOOKUP(G442,Employees!C:C,Employees!B:B,FALSE)</f>
        <v>T005</v>
      </c>
    </row>
    <row r="443" spans="2:8" x14ac:dyDescent="0.25">
      <c r="B443" s="9" t="s">
        <v>1012</v>
      </c>
      <c r="C443" s="9" t="s">
        <v>20</v>
      </c>
      <c r="D443" s="9">
        <v>82000</v>
      </c>
      <c r="E443" s="9" t="s">
        <v>2290</v>
      </c>
      <c r="F443" s="9" t="s">
        <v>63</v>
      </c>
      <c r="G443" s="9" t="s">
        <v>58</v>
      </c>
      <c r="H443" s="9" t="str">
        <f>_xlfn.XLOOKUP(G443,Employees!C:C,Employees!B:B,FALSE)</f>
        <v>T008</v>
      </c>
    </row>
    <row r="444" spans="2:8" x14ac:dyDescent="0.25">
      <c r="B444" s="9" t="s">
        <v>1013</v>
      </c>
      <c r="C444" s="9" t="s">
        <v>12</v>
      </c>
      <c r="D444" s="9">
        <v>200000</v>
      </c>
      <c r="E444" s="9" t="s">
        <v>2291</v>
      </c>
      <c r="F444" s="9" t="s">
        <v>65</v>
      </c>
      <c r="G444" s="9" t="s">
        <v>53</v>
      </c>
      <c r="H444" s="9" t="str">
        <f>_xlfn.XLOOKUP(G444,Employees!C:C,Employees!B:B,FALSE)</f>
        <v>T006</v>
      </c>
    </row>
    <row r="445" spans="2:8" x14ac:dyDescent="0.25">
      <c r="B445" s="9" t="s">
        <v>1015</v>
      </c>
      <c r="C445" s="9" t="s">
        <v>16</v>
      </c>
      <c r="D445" s="9">
        <v>94000</v>
      </c>
      <c r="E445" s="9" t="s">
        <v>2292</v>
      </c>
      <c r="F445" s="9" t="s">
        <v>65</v>
      </c>
      <c r="G445" s="9" t="s">
        <v>43</v>
      </c>
      <c r="H445" s="9" t="str">
        <f>_xlfn.XLOOKUP(G445,Employees!C:C,Employees!B:B,FALSE)</f>
        <v>T001</v>
      </c>
    </row>
    <row r="446" spans="2:8" x14ac:dyDescent="0.25">
      <c r="B446" s="9" t="s">
        <v>1017</v>
      </c>
      <c r="C446" s="9" t="s">
        <v>22</v>
      </c>
      <c r="D446" s="9">
        <v>215000</v>
      </c>
      <c r="E446" s="9" t="s">
        <v>2293</v>
      </c>
      <c r="F446" s="9" t="s">
        <v>63</v>
      </c>
      <c r="G446" s="9" t="s">
        <v>45</v>
      </c>
      <c r="H446" s="9" t="str">
        <f>_xlfn.XLOOKUP(G446,Employees!C:C,Employees!B:B,FALSE)</f>
        <v>T002</v>
      </c>
    </row>
    <row r="447" spans="2:8" x14ac:dyDescent="0.25">
      <c r="B447" s="9" t="s">
        <v>1019</v>
      </c>
      <c r="C447" s="9" t="s">
        <v>16</v>
      </c>
      <c r="D447" s="9">
        <v>69000</v>
      </c>
      <c r="E447" s="9" t="s">
        <v>2294</v>
      </c>
      <c r="F447" s="9" t="s">
        <v>63</v>
      </c>
      <c r="G447" s="9" t="s">
        <v>61</v>
      </c>
      <c r="H447" s="9" t="str">
        <f>_xlfn.XLOOKUP(G447,Employees!C:C,Employees!B:B,FALSE)</f>
        <v>T009</v>
      </c>
    </row>
    <row r="448" spans="2:8" x14ac:dyDescent="0.25">
      <c r="B448" s="9" t="s">
        <v>1021</v>
      </c>
      <c r="C448" s="9" t="s">
        <v>22</v>
      </c>
      <c r="D448" s="9">
        <v>38000</v>
      </c>
      <c r="E448" s="9" t="s">
        <v>2295</v>
      </c>
      <c r="F448" s="9" t="s">
        <v>65</v>
      </c>
      <c r="G448" s="9" t="s">
        <v>43</v>
      </c>
      <c r="H448" s="9" t="str">
        <f>_xlfn.XLOOKUP(G448,Employees!C:C,Employees!B:B,FALSE)</f>
        <v>T001</v>
      </c>
    </row>
    <row r="449" spans="2:8" x14ac:dyDescent="0.25">
      <c r="B449" s="9" t="s">
        <v>1024</v>
      </c>
      <c r="C449" s="9" t="s">
        <v>20</v>
      </c>
      <c r="D449" s="9">
        <v>272000</v>
      </c>
      <c r="E449" s="9" t="s">
        <v>2296</v>
      </c>
      <c r="F449" s="9" t="s">
        <v>65</v>
      </c>
      <c r="G449" s="9" t="s">
        <v>55</v>
      </c>
      <c r="H449" s="9" t="str">
        <f>_xlfn.XLOOKUP(G449,Employees!C:C,Employees!B:B,FALSE)</f>
        <v>T007</v>
      </c>
    </row>
    <row r="450" spans="2:8" x14ac:dyDescent="0.25">
      <c r="B450" s="9" t="s">
        <v>1026</v>
      </c>
      <c r="C450" s="9" t="s">
        <v>16</v>
      </c>
      <c r="D450" s="9">
        <v>90000</v>
      </c>
      <c r="E450" s="9" t="s">
        <v>2297</v>
      </c>
      <c r="F450" s="9" t="s">
        <v>65</v>
      </c>
      <c r="G450" s="9" t="s">
        <v>55</v>
      </c>
      <c r="H450" s="9" t="str">
        <f>_xlfn.XLOOKUP(G450,Employees!C:C,Employees!B:B,FALSE)</f>
        <v>T007</v>
      </c>
    </row>
    <row r="451" spans="2:8" x14ac:dyDescent="0.25">
      <c r="B451" s="9" t="s">
        <v>1029</v>
      </c>
      <c r="C451" s="9" t="s">
        <v>16</v>
      </c>
      <c r="D451" s="9">
        <v>215000</v>
      </c>
      <c r="E451" s="9" t="s">
        <v>2298</v>
      </c>
      <c r="F451" s="9" t="s">
        <v>62</v>
      </c>
      <c r="G451" s="9" t="s">
        <v>45</v>
      </c>
      <c r="H451" s="9" t="str">
        <f>_xlfn.XLOOKUP(G451,Employees!C:C,Employees!B:B,FALSE)</f>
        <v>T002</v>
      </c>
    </row>
    <row r="452" spans="2:8" x14ac:dyDescent="0.25">
      <c r="B452" s="9" t="s">
        <v>1031</v>
      </c>
      <c r="C452" s="9" t="s">
        <v>18</v>
      </c>
      <c r="D452" s="9">
        <v>171000</v>
      </c>
      <c r="E452" s="9" t="s">
        <v>2298</v>
      </c>
      <c r="F452" s="9" t="s">
        <v>67</v>
      </c>
      <c r="G452" s="9" t="s">
        <v>49</v>
      </c>
      <c r="H452" s="9" t="str">
        <f>_xlfn.XLOOKUP(G452,Employees!C:C,Employees!B:B,FALSE)</f>
        <v>T004</v>
      </c>
    </row>
    <row r="453" spans="2:8" x14ac:dyDescent="0.25">
      <c r="B453" s="9" t="s">
        <v>1033</v>
      </c>
      <c r="C453" s="9" t="s">
        <v>22</v>
      </c>
      <c r="D453" s="9">
        <v>150000</v>
      </c>
      <c r="E453" s="9" t="s">
        <v>2299</v>
      </c>
      <c r="F453" s="9" t="s">
        <v>62</v>
      </c>
      <c r="G453" s="9" t="s">
        <v>53</v>
      </c>
      <c r="H453" s="9" t="str">
        <f>_xlfn.XLOOKUP(G453,Employees!C:C,Employees!B:B,FALSE)</f>
        <v>T006</v>
      </c>
    </row>
    <row r="454" spans="2:8" x14ac:dyDescent="0.25">
      <c r="B454" s="9" t="s">
        <v>1036</v>
      </c>
      <c r="C454" s="9" t="s">
        <v>16</v>
      </c>
      <c r="D454" s="9">
        <v>156000</v>
      </c>
      <c r="E454" s="9" t="s">
        <v>2300</v>
      </c>
      <c r="F454" s="9" t="s">
        <v>65</v>
      </c>
      <c r="G454" s="9" t="s">
        <v>58</v>
      </c>
      <c r="H454" s="9" t="str">
        <f>_xlfn.XLOOKUP(G454,Employees!C:C,Employees!B:B,FALSE)</f>
        <v>T008</v>
      </c>
    </row>
    <row r="455" spans="2:8" x14ac:dyDescent="0.25">
      <c r="B455" s="9" t="s">
        <v>1038</v>
      </c>
      <c r="C455" s="9" t="s">
        <v>14</v>
      </c>
      <c r="D455" s="9">
        <v>114000</v>
      </c>
      <c r="E455" s="9" t="s">
        <v>2300</v>
      </c>
      <c r="F455" s="9" t="s">
        <v>65</v>
      </c>
      <c r="G455" s="9" t="s">
        <v>47</v>
      </c>
      <c r="H455" s="9" t="str">
        <f>_xlfn.XLOOKUP(G455,Employees!C:C,Employees!B:B,FALSE)</f>
        <v>T003</v>
      </c>
    </row>
    <row r="456" spans="2:8" x14ac:dyDescent="0.25">
      <c r="B456" s="9" t="s">
        <v>1039</v>
      </c>
      <c r="C456" s="9" t="s">
        <v>20</v>
      </c>
      <c r="D456" s="9">
        <v>53000</v>
      </c>
      <c r="E456" s="9" t="s">
        <v>2301</v>
      </c>
      <c r="F456" s="9" t="s">
        <v>67</v>
      </c>
      <c r="G456" s="9" t="s">
        <v>55</v>
      </c>
      <c r="H456" s="9" t="str">
        <f>_xlfn.XLOOKUP(G456,Employees!C:C,Employees!B:B,FALSE)</f>
        <v>T007</v>
      </c>
    </row>
    <row r="457" spans="2:8" x14ac:dyDescent="0.25">
      <c r="B457" s="9" t="s">
        <v>1041</v>
      </c>
      <c r="C457" s="9" t="s">
        <v>22</v>
      </c>
      <c r="D457" s="9">
        <v>99000</v>
      </c>
      <c r="E457" s="9" t="s">
        <v>2302</v>
      </c>
      <c r="F457" s="9" t="s">
        <v>62</v>
      </c>
      <c r="G457" s="9" t="s">
        <v>61</v>
      </c>
      <c r="H457" s="9" t="str">
        <f>_xlfn.XLOOKUP(G457,Employees!C:C,Employees!B:B,FALSE)</f>
        <v>T009</v>
      </c>
    </row>
    <row r="458" spans="2:8" x14ac:dyDescent="0.25">
      <c r="B458" s="9" t="s">
        <v>1043</v>
      </c>
      <c r="C458" s="9" t="s">
        <v>14</v>
      </c>
      <c r="D458" s="9">
        <v>75000</v>
      </c>
      <c r="E458" s="9" t="s">
        <v>2303</v>
      </c>
      <c r="F458" s="9" t="s">
        <v>63</v>
      </c>
      <c r="G458" s="9" t="s">
        <v>43</v>
      </c>
      <c r="H458" s="9" t="str">
        <f>_xlfn.XLOOKUP(G458,Employees!C:C,Employees!B:B,FALSE)</f>
        <v>T001</v>
      </c>
    </row>
    <row r="459" spans="2:8" x14ac:dyDescent="0.25">
      <c r="B459" s="9" t="s">
        <v>1045</v>
      </c>
      <c r="C459" s="9" t="s">
        <v>16</v>
      </c>
      <c r="D459" s="9">
        <v>182000</v>
      </c>
      <c r="E459" s="9" t="s">
        <v>2304</v>
      </c>
      <c r="F459" s="9" t="s">
        <v>66</v>
      </c>
      <c r="G459" s="9" t="s">
        <v>47</v>
      </c>
      <c r="H459" s="9" t="str">
        <f>_xlfn.XLOOKUP(G459,Employees!C:C,Employees!B:B,FALSE)</f>
        <v>T003</v>
      </c>
    </row>
    <row r="460" spans="2:8" x14ac:dyDescent="0.25">
      <c r="B460" s="9" t="s">
        <v>1047</v>
      </c>
      <c r="C460" s="9" t="s">
        <v>14</v>
      </c>
      <c r="D460" s="9">
        <v>299000</v>
      </c>
      <c r="E460" s="9" t="s">
        <v>2305</v>
      </c>
      <c r="F460" s="9" t="s">
        <v>63</v>
      </c>
      <c r="G460" s="9" t="s">
        <v>58</v>
      </c>
      <c r="H460" s="9" t="str">
        <f>_xlfn.XLOOKUP(G460,Employees!C:C,Employees!B:B,FALSE)</f>
        <v>T008</v>
      </c>
    </row>
    <row r="461" spans="2:8" x14ac:dyDescent="0.25">
      <c r="B461" s="9" t="s">
        <v>1050</v>
      </c>
      <c r="C461" s="9" t="s">
        <v>24</v>
      </c>
      <c r="D461" s="9">
        <v>217000</v>
      </c>
      <c r="E461" s="9" t="s">
        <v>2306</v>
      </c>
      <c r="F461" s="9" t="s">
        <v>67</v>
      </c>
      <c r="G461" s="9" t="s">
        <v>49</v>
      </c>
      <c r="H461" s="9" t="str">
        <f>_xlfn.XLOOKUP(G461,Employees!C:C,Employees!B:B,FALSE)</f>
        <v>T004</v>
      </c>
    </row>
    <row r="462" spans="2:8" x14ac:dyDescent="0.25">
      <c r="B462" s="9" t="s">
        <v>1052</v>
      </c>
      <c r="C462" s="9" t="s">
        <v>14</v>
      </c>
      <c r="D462" s="9">
        <v>158000</v>
      </c>
      <c r="E462" s="9" t="s">
        <v>2306</v>
      </c>
      <c r="F462" s="9" t="s">
        <v>65</v>
      </c>
      <c r="G462" s="9" t="s">
        <v>49</v>
      </c>
      <c r="H462" s="9" t="str">
        <f>_xlfn.XLOOKUP(G462,Employees!C:C,Employees!B:B,FALSE)</f>
        <v>T004</v>
      </c>
    </row>
    <row r="463" spans="2:8" x14ac:dyDescent="0.25">
      <c r="B463" s="9" t="s">
        <v>1054</v>
      </c>
      <c r="C463" s="9" t="s">
        <v>22</v>
      </c>
      <c r="D463" s="9">
        <v>235000</v>
      </c>
      <c r="E463" s="9" t="s">
        <v>2307</v>
      </c>
      <c r="F463" s="9" t="s">
        <v>66</v>
      </c>
      <c r="G463" s="9" t="s">
        <v>58</v>
      </c>
      <c r="H463" s="9" t="str">
        <f>_xlfn.XLOOKUP(G463,Employees!C:C,Employees!B:B,FALSE)</f>
        <v>T008</v>
      </c>
    </row>
    <row r="464" spans="2:8" x14ac:dyDescent="0.25">
      <c r="B464" s="9" t="s">
        <v>1057</v>
      </c>
      <c r="C464" s="9" t="s">
        <v>16</v>
      </c>
      <c r="D464" s="9">
        <v>267000</v>
      </c>
      <c r="E464" s="9" t="s">
        <v>2308</v>
      </c>
      <c r="F464" s="9" t="s">
        <v>67</v>
      </c>
      <c r="G464" s="9" t="s">
        <v>45</v>
      </c>
      <c r="H464" s="9" t="str">
        <f>_xlfn.XLOOKUP(G464,Employees!C:C,Employees!B:B,FALSE)</f>
        <v>T002</v>
      </c>
    </row>
    <row r="465" spans="2:8" x14ac:dyDescent="0.25">
      <c r="B465" s="9" t="s">
        <v>1060</v>
      </c>
      <c r="C465" s="9" t="s">
        <v>14</v>
      </c>
      <c r="D465" s="9">
        <v>290000</v>
      </c>
      <c r="E465" s="9" t="s">
        <v>2309</v>
      </c>
      <c r="F465" s="9" t="s">
        <v>62</v>
      </c>
      <c r="G465" s="9" t="s">
        <v>45</v>
      </c>
      <c r="H465" s="9" t="str">
        <f>_xlfn.XLOOKUP(G465,Employees!C:C,Employees!B:B,FALSE)</f>
        <v>T002</v>
      </c>
    </row>
    <row r="466" spans="2:8" x14ac:dyDescent="0.25">
      <c r="B466" s="9" t="s">
        <v>1062</v>
      </c>
      <c r="C466" s="9" t="s">
        <v>14</v>
      </c>
      <c r="D466" s="9">
        <v>245000</v>
      </c>
      <c r="E466" s="9" t="s">
        <v>2309</v>
      </c>
      <c r="F466" s="9" t="s">
        <v>67</v>
      </c>
      <c r="G466" s="9" t="s">
        <v>47</v>
      </c>
      <c r="H466" s="9" t="str">
        <f>_xlfn.XLOOKUP(G466,Employees!C:C,Employees!B:B,FALSE)</f>
        <v>T003</v>
      </c>
    </row>
    <row r="467" spans="2:8" x14ac:dyDescent="0.25">
      <c r="B467" s="9" t="s">
        <v>1063</v>
      </c>
      <c r="C467" s="9" t="s">
        <v>24</v>
      </c>
      <c r="D467" s="9">
        <v>232000</v>
      </c>
      <c r="E467" s="9" t="s">
        <v>2309</v>
      </c>
      <c r="F467" s="9" t="s">
        <v>63</v>
      </c>
      <c r="G467" s="9" t="s">
        <v>45</v>
      </c>
      <c r="H467" s="9" t="str">
        <f>_xlfn.XLOOKUP(G467,Employees!C:C,Employees!B:B,FALSE)</f>
        <v>T002</v>
      </c>
    </row>
    <row r="468" spans="2:8" x14ac:dyDescent="0.25">
      <c r="B468" s="9" t="s">
        <v>1064</v>
      </c>
      <c r="C468" s="9" t="s">
        <v>20</v>
      </c>
      <c r="D468" s="9">
        <v>252000</v>
      </c>
      <c r="E468" s="9" t="s">
        <v>2310</v>
      </c>
      <c r="F468" s="9" t="s">
        <v>63</v>
      </c>
      <c r="G468" s="9" t="s">
        <v>61</v>
      </c>
      <c r="H468" s="9" t="str">
        <f>_xlfn.XLOOKUP(G468,Employees!C:C,Employees!B:B,FALSE)</f>
        <v>T009</v>
      </c>
    </row>
    <row r="469" spans="2:8" x14ac:dyDescent="0.25">
      <c r="B469" s="9" t="s">
        <v>1066</v>
      </c>
      <c r="C469" s="9" t="s">
        <v>20</v>
      </c>
      <c r="D469" s="9">
        <v>280000</v>
      </c>
      <c r="E469" s="9" t="s">
        <v>2311</v>
      </c>
      <c r="F469" s="9" t="s">
        <v>62</v>
      </c>
      <c r="G469" s="9" t="s">
        <v>53</v>
      </c>
      <c r="H469" s="9" t="str">
        <f>_xlfn.XLOOKUP(G469,Employees!C:C,Employees!B:B,FALSE)</f>
        <v>T006</v>
      </c>
    </row>
    <row r="470" spans="2:8" x14ac:dyDescent="0.25">
      <c r="B470" s="9" t="s">
        <v>1068</v>
      </c>
      <c r="C470" s="9" t="s">
        <v>22</v>
      </c>
      <c r="D470" s="9">
        <v>217000</v>
      </c>
      <c r="E470" s="9" t="s">
        <v>2312</v>
      </c>
      <c r="F470" s="9" t="s">
        <v>66</v>
      </c>
      <c r="G470" s="9" t="s">
        <v>53</v>
      </c>
      <c r="H470" s="9" t="str">
        <f>_xlfn.XLOOKUP(G470,Employees!C:C,Employees!B:B,FALSE)</f>
        <v>T006</v>
      </c>
    </row>
    <row r="471" spans="2:8" x14ac:dyDescent="0.25">
      <c r="B471" s="9" t="s">
        <v>1070</v>
      </c>
      <c r="C471" s="9" t="s">
        <v>18</v>
      </c>
      <c r="D471" s="9">
        <v>198000</v>
      </c>
      <c r="E471" s="9" t="s">
        <v>2313</v>
      </c>
      <c r="F471" s="9" t="s">
        <v>65</v>
      </c>
      <c r="G471" s="9" t="s">
        <v>61</v>
      </c>
      <c r="H471" s="9" t="str">
        <f>_xlfn.XLOOKUP(G471,Employees!C:C,Employees!B:B,FALSE)</f>
        <v>T009</v>
      </c>
    </row>
    <row r="472" spans="2:8" x14ac:dyDescent="0.25">
      <c r="B472" s="9" t="s">
        <v>1072</v>
      </c>
      <c r="C472" s="9" t="s">
        <v>24</v>
      </c>
      <c r="D472" s="9">
        <v>278000</v>
      </c>
      <c r="E472" s="9" t="s">
        <v>2313</v>
      </c>
      <c r="F472" s="9" t="s">
        <v>62</v>
      </c>
      <c r="G472" s="9" t="s">
        <v>49</v>
      </c>
      <c r="H472" s="9" t="str">
        <f>_xlfn.XLOOKUP(G472,Employees!C:C,Employees!B:B,FALSE)</f>
        <v>T004</v>
      </c>
    </row>
    <row r="473" spans="2:8" x14ac:dyDescent="0.25">
      <c r="B473" s="9" t="s">
        <v>1074</v>
      </c>
      <c r="C473" s="9" t="s">
        <v>20</v>
      </c>
      <c r="D473" s="9">
        <v>100000</v>
      </c>
      <c r="E473" s="9" t="s">
        <v>2314</v>
      </c>
      <c r="F473" s="9" t="s">
        <v>65</v>
      </c>
      <c r="G473" s="9" t="s">
        <v>45</v>
      </c>
      <c r="H473" s="9" t="str">
        <f>_xlfn.XLOOKUP(G473,Employees!C:C,Employees!B:B,FALSE)</f>
        <v>T002</v>
      </c>
    </row>
    <row r="474" spans="2:8" x14ac:dyDescent="0.25">
      <c r="B474" s="9" t="s">
        <v>1076</v>
      </c>
      <c r="C474" s="9" t="s">
        <v>18</v>
      </c>
      <c r="D474" s="9">
        <v>34000</v>
      </c>
      <c r="E474" s="9" t="s">
        <v>2314</v>
      </c>
      <c r="F474" s="9" t="s">
        <v>64</v>
      </c>
      <c r="G474" s="9" t="s">
        <v>47</v>
      </c>
      <c r="H474" s="9" t="str">
        <f>_xlfn.XLOOKUP(G474,Employees!C:C,Employees!B:B,FALSE)</f>
        <v>T003</v>
      </c>
    </row>
    <row r="475" spans="2:8" x14ac:dyDescent="0.25">
      <c r="B475" s="9" t="s">
        <v>1078</v>
      </c>
      <c r="C475" s="9" t="s">
        <v>14</v>
      </c>
      <c r="D475" s="9">
        <v>85000</v>
      </c>
      <c r="E475" s="9" t="s">
        <v>2315</v>
      </c>
      <c r="F475" s="9" t="s">
        <v>63</v>
      </c>
      <c r="G475" s="9" t="s">
        <v>53</v>
      </c>
      <c r="H475" s="9" t="str">
        <f>_xlfn.XLOOKUP(G475,Employees!C:C,Employees!B:B,FALSE)</f>
        <v>T006</v>
      </c>
    </row>
    <row r="476" spans="2:8" x14ac:dyDescent="0.25">
      <c r="B476" s="9" t="s">
        <v>1080</v>
      </c>
      <c r="C476" s="9" t="s">
        <v>16</v>
      </c>
      <c r="D476" s="9">
        <v>247000</v>
      </c>
      <c r="E476" s="9" t="s">
        <v>2315</v>
      </c>
      <c r="F476" s="9" t="s">
        <v>64</v>
      </c>
      <c r="G476" s="9" t="s">
        <v>43</v>
      </c>
      <c r="H476" s="9" t="str">
        <f>_xlfn.XLOOKUP(G476,Employees!C:C,Employees!B:B,FALSE)</f>
        <v>T001</v>
      </c>
    </row>
    <row r="477" spans="2:8" x14ac:dyDescent="0.25">
      <c r="B477" s="9" t="s">
        <v>1081</v>
      </c>
      <c r="C477" s="9" t="s">
        <v>18</v>
      </c>
      <c r="D477" s="9">
        <v>233000</v>
      </c>
      <c r="E477" s="9" t="s">
        <v>2315</v>
      </c>
      <c r="F477" s="9" t="s">
        <v>66</v>
      </c>
      <c r="G477" s="9" t="s">
        <v>51</v>
      </c>
      <c r="H477" s="9" t="str">
        <f>_xlfn.XLOOKUP(G477,Employees!C:C,Employees!B:B,FALSE)</f>
        <v>T005</v>
      </c>
    </row>
    <row r="478" spans="2:8" x14ac:dyDescent="0.25">
      <c r="B478" s="9" t="s">
        <v>1082</v>
      </c>
      <c r="C478" s="9" t="s">
        <v>18</v>
      </c>
      <c r="D478" s="9">
        <v>122000</v>
      </c>
      <c r="E478" s="9" t="s">
        <v>2316</v>
      </c>
      <c r="F478" s="9" t="s">
        <v>65</v>
      </c>
      <c r="G478" s="9" t="s">
        <v>49</v>
      </c>
      <c r="H478" s="9" t="str">
        <f>_xlfn.XLOOKUP(G478,Employees!C:C,Employees!B:B,FALSE)</f>
        <v>T004</v>
      </c>
    </row>
    <row r="479" spans="2:8" x14ac:dyDescent="0.25">
      <c r="B479" s="9" t="s">
        <v>1085</v>
      </c>
      <c r="C479" s="9" t="s">
        <v>18</v>
      </c>
      <c r="D479" s="9">
        <v>88000</v>
      </c>
      <c r="E479" s="9" t="s">
        <v>2317</v>
      </c>
      <c r="F479" s="9" t="s">
        <v>63</v>
      </c>
      <c r="G479" s="9" t="s">
        <v>55</v>
      </c>
      <c r="H479" s="9" t="str">
        <f>_xlfn.XLOOKUP(G479,Employees!C:C,Employees!B:B,FALSE)</f>
        <v>T007</v>
      </c>
    </row>
    <row r="480" spans="2:8" x14ac:dyDescent="0.25">
      <c r="B480" s="9" t="s">
        <v>1087</v>
      </c>
      <c r="C480" s="9" t="s">
        <v>18</v>
      </c>
      <c r="D480" s="9">
        <v>137000</v>
      </c>
      <c r="E480" s="9" t="s">
        <v>2318</v>
      </c>
      <c r="F480" s="9" t="s">
        <v>64</v>
      </c>
      <c r="G480" s="9" t="s">
        <v>47</v>
      </c>
      <c r="H480" s="9" t="str">
        <f>_xlfn.XLOOKUP(G480,Employees!C:C,Employees!B:B,FALSE)</f>
        <v>T003</v>
      </c>
    </row>
    <row r="481" spans="2:8" x14ac:dyDescent="0.25">
      <c r="B481" s="9" t="s">
        <v>1089</v>
      </c>
      <c r="C481" s="9" t="s">
        <v>16</v>
      </c>
      <c r="D481" s="9">
        <v>109000</v>
      </c>
      <c r="E481" s="9" t="s">
        <v>2319</v>
      </c>
      <c r="F481" s="9" t="s">
        <v>66</v>
      </c>
      <c r="G481" s="9" t="s">
        <v>61</v>
      </c>
      <c r="H481" s="9" t="str">
        <f>_xlfn.XLOOKUP(G481,Employees!C:C,Employees!B:B,FALSE)</f>
        <v>T009</v>
      </c>
    </row>
    <row r="482" spans="2:8" x14ac:dyDescent="0.25">
      <c r="B482" s="9" t="s">
        <v>1092</v>
      </c>
      <c r="C482" s="9" t="s">
        <v>14</v>
      </c>
      <c r="D482" s="9">
        <v>241000</v>
      </c>
      <c r="E482" s="9" t="s">
        <v>2319</v>
      </c>
      <c r="F482" s="9" t="s">
        <v>63</v>
      </c>
      <c r="G482" s="9" t="s">
        <v>58</v>
      </c>
      <c r="H482" s="9" t="str">
        <f>_xlfn.XLOOKUP(G482,Employees!C:C,Employees!B:B,FALSE)</f>
        <v>T008</v>
      </c>
    </row>
    <row r="483" spans="2:8" x14ac:dyDescent="0.25">
      <c r="B483" s="9" t="s">
        <v>1093</v>
      </c>
      <c r="C483" s="9" t="s">
        <v>22</v>
      </c>
      <c r="D483" s="9">
        <v>286000</v>
      </c>
      <c r="E483" s="9" t="s">
        <v>2320</v>
      </c>
      <c r="F483" s="9" t="s">
        <v>64</v>
      </c>
      <c r="G483" s="9" t="s">
        <v>55</v>
      </c>
      <c r="H483" s="9" t="str">
        <f>_xlfn.XLOOKUP(G483,Employees!C:C,Employees!B:B,FALSE)</f>
        <v>T007</v>
      </c>
    </row>
    <row r="484" spans="2:8" x14ac:dyDescent="0.25">
      <c r="B484" s="9" t="s">
        <v>1095</v>
      </c>
      <c r="C484" s="9" t="s">
        <v>24</v>
      </c>
      <c r="D484" s="9">
        <v>276000</v>
      </c>
      <c r="E484" s="9" t="s">
        <v>2320</v>
      </c>
      <c r="F484" s="9" t="s">
        <v>67</v>
      </c>
      <c r="G484" s="9" t="s">
        <v>47</v>
      </c>
      <c r="H484" s="9" t="str">
        <f>_xlfn.XLOOKUP(G484,Employees!C:C,Employees!B:B,FALSE)</f>
        <v>T003</v>
      </c>
    </row>
    <row r="485" spans="2:8" x14ac:dyDescent="0.25">
      <c r="B485" s="9" t="s">
        <v>1096</v>
      </c>
      <c r="C485" s="9" t="s">
        <v>12</v>
      </c>
      <c r="D485" s="9">
        <v>267000</v>
      </c>
      <c r="E485" s="9" t="s">
        <v>2321</v>
      </c>
      <c r="F485" s="9" t="s">
        <v>65</v>
      </c>
      <c r="G485" s="9" t="s">
        <v>43</v>
      </c>
      <c r="H485" s="9" t="str">
        <f>_xlfn.XLOOKUP(G485,Employees!C:C,Employees!B:B,FALSE)</f>
        <v>T001</v>
      </c>
    </row>
    <row r="486" spans="2:8" x14ac:dyDescent="0.25">
      <c r="B486" s="9" t="s">
        <v>1098</v>
      </c>
      <c r="C486" s="9" t="s">
        <v>14</v>
      </c>
      <c r="D486" s="9">
        <v>144000</v>
      </c>
      <c r="E486" s="9" t="s">
        <v>2322</v>
      </c>
      <c r="F486" s="9" t="s">
        <v>67</v>
      </c>
      <c r="G486" s="9" t="s">
        <v>61</v>
      </c>
      <c r="H486" s="9" t="str">
        <f>_xlfn.XLOOKUP(G486,Employees!C:C,Employees!B:B,FALSE)</f>
        <v>T009</v>
      </c>
    </row>
    <row r="487" spans="2:8" x14ac:dyDescent="0.25">
      <c r="B487" s="9" t="s">
        <v>1100</v>
      </c>
      <c r="C487" s="9" t="s">
        <v>12</v>
      </c>
      <c r="D487" s="9">
        <v>145000</v>
      </c>
      <c r="E487" s="9" t="s">
        <v>2323</v>
      </c>
      <c r="F487" s="9" t="s">
        <v>63</v>
      </c>
      <c r="G487" s="9" t="s">
        <v>43</v>
      </c>
      <c r="H487" s="9" t="str">
        <f>_xlfn.XLOOKUP(G487,Employees!C:C,Employees!B:B,FALSE)</f>
        <v>T001</v>
      </c>
    </row>
    <row r="488" spans="2:8" x14ac:dyDescent="0.25">
      <c r="B488" s="9" t="s">
        <v>1102</v>
      </c>
      <c r="C488" s="9" t="s">
        <v>14</v>
      </c>
      <c r="D488" s="9">
        <v>148000</v>
      </c>
      <c r="E488" s="9" t="s">
        <v>2324</v>
      </c>
      <c r="F488" s="9" t="s">
        <v>65</v>
      </c>
      <c r="G488" s="9" t="s">
        <v>55</v>
      </c>
      <c r="H488" s="9" t="str">
        <f>_xlfn.XLOOKUP(G488,Employees!C:C,Employees!B:B,FALSE)</f>
        <v>T007</v>
      </c>
    </row>
    <row r="489" spans="2:8" x14ac:dyDescent="0.25">
      <c r="B489" s="9" t="s">
        <v>1104</v>
      </c>
      <c r="C489" s="9" t="s">
        <v>12</v>
      </c>
      <c r="D489" s="9">
        <v>78000</v>
      </c>
      <c r="E489" s="9" t="s">
        <v>2325</v>
      </c>
      <c r="F489" s="9" t="s">
        <v>62</v>
      </c>
      <c r="G489" s="9" t="s">
        <v>58</v>
      </c>
      <c r="H489" s="9" t="str">
        <f>_xlfn.XLOOKUP(G489,Employees!C:C,Employees!B:B,FALSE)</f>
        <v>T008</v>
      </c>
    </row>
    <row r="490" spans="2:8" x14ac:dyDescent="0.25">
      <c r="B490" s="9" t="s">
        <v>1106</v>
      </c>
      <c r="C490" s="9" t="s">
        <v>24</v>
      </c>
      <c r="D490" s="9">
        <v>135000</v>
      </c>
      <c r="E490" s="9" t="s">
        <v>2326</v>
      </c>
      <c r="F490" s="9" t="s">
        <v>62</v>
      </c>
      <c r="G490" s="9" t="s">
        <v>55</v>
      </c>
      <c r="H490" s="9" t="str">
        <f>_xlfn.XLOOKUP(G490,Employees!C:C,Employees!B:B,FALSE)</f>
        <v>T007</v>
      </c>
    </row>
    <row r="491" spans="2:8" x14ac:dyDescent="0.25">
      <c r="B491" s="9" t="s">
        <v>1109</v>
      </c>
      <c r="C491" s="9" t="s">
        <v>24</v>
      </c>
      <c r="D491" s="9">
        <v>253000</v>
      </c>
      <c r="E491" s="9" t="s">
        <v>2327</v>
      </c>
      <c r="F491" s="9" t="s">
        <v>65</v>
      </c>
      <c r="G491" s="9" t="s">
        <v>47</v>
      </c>
      <c r="H491" s="9" t="str">
        <f>_xlfn.XLOOKUP(G491,Employees!C:C,Employees!B:B,FALSE)</f>
        <v>T003</v>
      </c>
    </row>
    <row r="492" spans="2:8" x14ac:dyDescent="0.25">
      <c r="B492" s="9" t="s">
        <v>1111</v>
      </c>
      <c r="C492" s="9" t="s">
        <v>24</v>
      </c>
      <c r="D492" s="9">
        <v>78000</v>
      </c>
      <c r="E492" s="9" t="s">
        <v>2328</v>
      </c>
      <c r="F492" s="9" t="s">
        <v>65</v>
      </c>
      <c r="G492" s="9" t="s">
        <v>53</v>
      </c>
      <c r="H492" s="9" t="str">
        <f>_xlfn.XLOOKUP(G492,Employees!C:C,Employees!B:B,FALSE)</f>
        <v>T006</v>
      </c>
    </row>
    <row r="493" spans="2:8" x14ac:dyDescent="0.25">
      <c r="B493" s="9" t="s">
        <v>1113</v>
      </c>
      <c r="C493" s="9" t="s">
        <v>14</v>
      </c>
      <c r="D493" s="9">
        <v>33000</v>
      </c>
      <c r="E493" s="9" t="s">
        <v>2329</v>
      </c>
      <c r="F493" s="9" t="s">
        <v>62</v>
      </c>
      <c r="G493" s="9" t="s">
        <v>47</v>
      </c>
      <c r="H493" s="9" t="str">
        <f>_xlfn.XLOOKUP(G493,Employees!C:C,Employees!B:B,FALSE)</f>
        <v>T003</v>
      </c>
    </row>
    <row r="494" spans="2:8" x14ac:dyDescent="0.25">
      <c r="B494" s="9" t="s">
        <v>1115</v>
      </c>
      <c r="C494" s="9" t="s">
        <v>20</v>
      </c>
      <c r="D494" s="9">
        <v>208000</v>
      </c>
      <c r="E494" s="9" t="s">
        <v>2330</v>
      </c>
      <c r="F494" s="9" t="s">
        <v>65</v>
      </c>
      <c r="G494" s="9" t="s">
        <v>49</v>
      </c>
      <c r="H494" s="9" t="str">
        <f>_xlfn.XLOOKUP(G494,Employees!C:C,Employees!B:B,FALSE)</f>
        <v>T004</v>
      </c>
    </row>
    <row r="495" spans="2:8" x14ac:dyDescent="0.25">
      <c r="B495" s="9" t="s">
        <v>1117</v>
      </c>
      <c r="C495" s="9" t="s">
        <v>24</v>
      </c>
      <c r="D495" s="9">
        <v>152000</v>
      </c>
      <c r="E495" s="9" t="s">
        <v>2330</v>
      </c>
      <c r="F495" s="9" t="s">
        <v>64</v>
      </c>
      <c r="G495" s="9" t="s">
        <v>45</v>
      </c>
      <c r="H495" s="9" t="str">
        <f>_xlfn.XLOOKUP(G495,Employees!C:C,Employees!B:B,FALSE)</f>
        <v>T002</v>
      </c>
    </row>
    <row r="496" spans="2:8" x14ac:dyDescent="0.25">
      <c r="B496" s="9" t="s">
        <v>1118</v>
      </c>
      <c r="C496" s="9" t="s">
        <v>18</v>
      </c>
      <c r="D496" s="9">
        <v>235000</v>
      </c>
      <c r="E496" s="9" t="s">
        <v>2331</v>
      </c>
      <c r="F496" s="9" t="s">
        <v>65</v>
      </c>
      <c r="G496" s="9" t="s">
        <v>51</v>
      </c>
      <c r="H496" s="9" t="str">
        <f>_xlfn.XLOOKUP(G496,Employees!C:C,Employees!B:B,FALSE)</f>
        <v>T005</v>
      </c>
    </row>
    <row r="497" spans="2:8" x14ac:dyDescent="0.25">
      <c r="B497" s="9" t="s">
        <v>1120</v>
      </c>
      <c r="C497" s="9" t="s">
        <v>12</v>
      </c>
      <c r="D497" s="9">
        <v>42000</v>
      </c>
      <c r="E497" s="9" t="s">
        <v>2332</v>
      </c>
      <c r="F497" s="9" t="s">
        <v>62</v>
      </c>
      <c r="G497" s="9" t="s">
        <v>51</v>
      </c>
      <c r="H497" s="9" t="str">
        <f>_xlfn.XLOOKUP(G497,Employees!C:C,Employees!B:B,FALSE)</f>
        <v>T005</v>
      </c>
    </row>
    <row r="498" spans="2:8" x14ac:dyDescent="0.25">
      <c r="B498" s="9" t="s">
        <v>1122</v>
      </c>
      <c r="C498" s="9" t="s">
        <v>12</v>
      </c>
      <c r="D498" s="9">
        <v>31000</v>
      </c>
      <c r="E498" s="9" t="s">
        <v>2333</v>
      </c>
      <c r="F498" s="9" t="s">
        <v>62</v>
      </c>
      <c r="G498" s="9" t="s">
        <v>53</v>
      </c>
      <c r="H498" s="9" t="str">
        <f>_xlfn.XLOOKUP(G498,Employees!C:C,Employees!B:B,FALSE)</f>
        <v>T006</v>
      </c>
    </row>
    <row r="499" spans="2:8" x14ac:dyDescent="0.25">
      <c r="B499" s="9" t="s">
        <v>1124</v>
      </c>
      <c r="C499" s="9" t="s">
        <v>22</v>
      </c>
      <c r="D499" s="9">
        <v>240000</v>
      </c>
      <c r="E499" s="9" t="s">
        <v>2334</v>
      </c>
      <c r="F499" s="9" t="s">
        <v>66</v>
      </c>
      <c r="G499" s="9" t="s">
        <v>47</v>
      </c>
      <c r="H499" s="9" t="str">
        <f>_xlfn.XLOOKUP(G499,Employees!C:C,Employees!B:B,FALSE)</f>
        <v>T003</v>
      </c>
    </row>
    <row r="500" spans="2:8" x14ac:dyDescent="0.25">
      <c r="B500" s="9" t="s">
        <v>1127</v>
      </c>
      <c r="C500" s="9" t="s">
        <v>18</v>
      </c>
      <c r="D500" s="9">
        <v>295000</v>
      </c>
      <c r="E500" s="9" t="s">
        <v>2335</v>
      </c>
      <c r="F500" s="9" t="s">
        <v>66</v>
      </c>
      <c r="G500" s="9" t="s">
        <v>47</v>
      </c>
      <c r="H500" s="9" t="str">
        <f>_xlfn.XLOOKUP(G500,Employees!C:C,Employees!B:B,FALSE)</f>
        <v>T003</v>
      </c>
    </row>
    <row r="501" spans="2:8" x14ac:dyDescent="0.25">
      <c r="B501" s="9" t="s">
        <v>1130</v>
      </c>
      <c r="C501" s="9" t="s">
        <v>14</v>
      </c>
      <c r="D501" s="9">
        <v>31000</v>
      </c>
      <c r="E501" s="9" t="s">
        <v>2335</v>
      </c>
      <c r="F501" s="9" t="s">
        <v>67</v>
      </c>
      <c r="G501" s="9" t="s">
        <v>51</v>
      </c>
      <c r="H501" s="9" t="str">
        <f>_xlfn.XLOOKUP(G501,Employees!C:C,Employees!B:B,FALSE)</f>
        <v>T005</v>
      </c>
    </row>
    <row r="502" spans="2:8" x14ac:dyDescent="0.25">
      <c r="B502" s="9" t="s">
        <v>1131</v>
      </c>
      <c r="C502" s="9" t="s">
        <v>24</v>
      </c>
      <c r="D502" s="9">
        <v>278000</v>
      </c>
      <c r="E502" s="9" t="s">
        <v>2336</v>
      </c>
      <c r="F502" s="9" t="s">
        <v>67</v>
      </c>
      <c r="G502" s="9" t="s">
        <v>61</v>
      </c>
      <c r="H502" s="9" t="str">
        <f>_xlfn.XLOOKUP(G502,Employees!C:C,Employees!B:B,FALSE)</f>
        <v>T009</v>
      </c>
    </row>
    <row r="503" spans="2:8" x14ac:dyDescent="0.25">
      <c r="B503" s="9" t="s">
        <v>1133</v>
      </c>
      <c r="C503" s="9" t="s">
        <v>12</v>
      </c>
      <c r="D503" s="9">
        <v>218000</v>
      </c>
      <c r="E503" s="9" t="s">
        <v>2336</v>
      </c>
      <c r="F503" s="9" t="s">
        <v>62</v>
      </c>
      <c r="G503" s="9" t="s">
        <v>49</v>
      </c>
      <c r="H503" s="9" t="str">
        <f>_xlfn.XLOOKUP(G503,Employees!C:C,Employees!B:B,FALSE)</f>
        <v>T004</v>
      </c>
    </row>
    <row r="504" spans="2:8" x14ac:dyDescent="0.25">
      <c r="B504" s="9" t="s">
        <v>1134</v>
      </c>
      <c r="C504" s="9" t="s">
        <v>18</v>
      </c>
      <c r="D504" s="9">
        <v>297000</v>
      </c>
      <c r="E504" s="9" t="s">
        <v>2336</v>
      </c>
      <c r="F504" s="9" t="s">
        <v>66</v>
      </c>
      <c r="G504" s="9" t="s">
        <v>51</v>
      </c>
      <c r="H504" s="9" t="str">
        <f>_xlfn.XLOOKUP(G504,Employees!C:C,Employees!B:B,FALSE)</f>
        <v>T005</v>
      </c>
    </row>
    <row r="505" spans="2:8" x14ac:dyDescent="0.25">
      <c r="B505" s="9" t="s">
        <v>1135</v>
      </c>
      <c r="C505" s="9" t="s">
        <v>22</v>
      </c>
      <c r="D505" s="9">
        <v>241000</v>
      </c>
      <c r="E505" s="9" t="s">
        <v>2336</v>
      </c>
      <c r="F505" s="9" t="s">
        <v>67</v>
      </c>
      <c r="G505" s="9" t="s">
        <v>53</v>
      </c>
      <c r="H505" s="9" t="str">
        <f>_xlfn.XLOOKUP(G505,Employees!C:C,Employees!B:B,FALSE)</f>
        <v>T006</v>
      </c>
    </row>
    <row r="506" spans="2:8" x14ac:dyDescent="0.25">
      <c r="B506" s="9" t="s">
        <v>1136</v>
      </c>
      <c r="C506" s="9" t="s">
        <v>22</v>
      </c>
      <c r="D506" s="9">
        <v>108000</v>
      </c>
      <c r="E506" s="9" t="s">
        <v>2337</v>
      </c>
      <c r="F506" s="9" t="s">
        <v>65</v>
      </c>
      <c r="G506" s="9" t="s">
        <v>51</v>
      </c>
      <c r="H506" s="9" t="str">
        <f>_xlfn.XLOOKUP(G506,Employees!C:C,Employees!B:B,FALSE)</f>
        <v>T005</v>
      </c>
    </row>
    <row r="507" spans="2:8" x14ac:dyDescent="0.25">
      <c r="B507" s="9" t="s">
        <v>1138</v>
      </c>
      <c r="C507" s="9" t="s">
        <v>24</v>
      </c>
      <c r="D507" s="9">
        <v>108000</v>
      </c>
      <c r="E507" s="9" t="s">
        <v>2338</v>
      </c>
      <c r="F507" s="9" t="s">
        <v>67</v>
      </c>
      <c r="G507" s="9" t="s">
        <v>51</v>
      </c>
      <c r="H507" s="9" t="str">
        <f>_xlfn.XLOOKUP(G507,Employees!C:C,Employees!B:B,FALSE)</f>
        <v>T005</v>
      </c>
    </row>
    <row r="508" spans="2:8" x14ac:dyDescent="0.25">
      <c r="B508" s="9" t="s">
        <v>1140</v>
      </c>
      <c r="C508" s="9" t="s">
        <v>18</v>
      </c>
      <c r="D508" s="9">
        <v>170000</v>
      </c>
      <c r="E508" s="9" t="s">
        <v>2339</v>
      </c>
      <c r="F508" s="9" t="s">
        <v>63</v>
      </c>
      <c r="G508" s="9" t="s">
        <v>53</v>
      </c>
      <c r="H508" s="9" t="str">
        <f>_xlfn.XLOOKUP(G508,Employees!C:C,Employees!B:B,FALSE)</f>
        <v>T006</v>
      </c>
    </row>
    <row r="509" spans="2:8" x14ac:dyDescent="0.25">
      <c r="B509" s="9" t="s">
        <v>1142</v>
      </c>
      <c r="C509" s="9" t="s">
        <v>20</v>
      </c>
      <c r="D509" s="9">
        <v>211000</v>
      </c>
      <c r="E509" s="9" t="s">
        <v>2340</v>
      </c>
      <c r="F509" s="9" t="s">
        <v>65</v>
      </c>
      <c r="G509" s="9" t="s">
        <v>58</v>
      </c>
      <c r="H509" s="9" t="str">
        <f>_xlfn.XLOOKUP(G509,Employees!C:C,Employees!B:B,FALSE)</f>
        <v>T008</v>
      </c>
    </row>
    <row r="510" spans="2:8" x14ac:dyDescent="0.25">
      <c r="B510" s="9" t="s">
        <v>1144</v>
      </c>
      <c r="C510" s="9" t="s">
        <v>18</v>
      </c>
      <c r="D510" s="9">
        <v>110000</v>
      </c>
      <c r="E510" s="9" t="s">
        <v>2341</v>
      </c>
      <c r="F510" s="9" t="s">
        <v>66</v>
      </c>
      <c r="G510" s="9" t="s">
        <v>49</v>
      </c>
      <c r="H510" s="9" t="str">
        <f>_xlfn.XLOOKUP(G510,Employees!C:C,Employees!B:B,FALSE)</f>
        <v>T004</v>
      </c>
    </row>
    <row r="511" spans="2:8" x14ac:dyDescent="0.25">
      <c r="B511" s="9" t="s">
        <v>1146</v>
      </c>
      <c r="C511" s="9" t="s">
        <v>14</v>
      </c>
      <c r="D511" s="9">
        <v>254000</v>
      </c>
      <c r="E511" s="9" t="s">
        <v>2342</v>
      </c>
      <c r="F511" s="9" t="s">
        <v>62</v>
      </c>
      <c r="G511" s="9" t="s">
        <v>49</v>
      </c>
      <c r="H511" s="9" t="str">
        <f>_xlfn.XLOOKUP(G511,Employees!C:C,Employees!B:B,FALSE)</f>
        <v>T004</v>
      </c>
    </row>
    <row r="512" spans="2:8" x14ac:dyDescent="0.25">
      <c r="B512" s="9" t="s">
        <v>1149</v>
      </c>
      <c r="C512" s="9" t="s">
        <v>22</v>
      </c>
      <c r="D512" s="9">
        <v>64000</v>
      </c>
      <c r="E512" s="9" t="s">
        <v>2342</v>
      </c>
      <c r="F512" s="9" t="s">
        <v>62</v>
      </c>
      <c r="G512" s="9" t="s">
        <v>61</v>
      </c>
      <c r="H512" s="9" t="str">
        <f>_xlfn.XLOOKUP(G512,Employees!C:C,Employees!B:B,FALSE)</f>
        <v>T009</v>
      </c>
    </row>
    <row r="513" spans="2:8" x14ac:dyDescent="0.25">
      <c r="B513" s="9" t="s">
        <v>1150</v>
      </c>
      <c r="C513" s="9" t="s">
        <v>16</v>
      </c>
      <c r="D513" s="9">
        <v>133000</v>
      </c>
      <c r="E513" s="9" t="s">
        <v>2342</v>
      </c>
      <c r="F513" s="9" t="s">
        <v>63</v>
      </c>
      <c r="G513" s="9" t="s">
        <v>51</v>
      </c>
      <c r="H513" s="9" t="str">
        <f>_xlfn.XLOOKUP(G513,Employees!C:C,Employees!B:B,FALSE)</f>
        <v>T005</v>
      </c>
    </row>
    <row r="514" spans="2:8" x14ac:dyDescent="0.25">
      <c r="B514" s="9" t="s">
        <v>1152</v>
      </c>
      <c r="C514" s="9" t="s">
        <v>12</v>
      </c>
      <c r="D514" s="9">
        <v>194000</v>
      </c>
      <c r="E514" s="9" t="s">
        <v>2343</v>
      </c>
      <c r="F514" s="9" t="s">
        <v>62</v>
      </c>
      <c r="G514" s="9" t="s">
        <v>49</v>
      </c>
      <c r="H514" s="9" t="str">
        <f>_xlfn.XLOOKUP(G514,Employees!C:C,Employees!B:B,FALSE)</f>
        <v>T004</v>
      </c>
    </row>
    <row r="515" spans="2:8" x14ac:dyDescent="0.25">
      <c r="B515" s="9" t="s">
        <v>1155</v>
      </c>
      <c r="C515" s="9" t="s">
        <v>18</v>
      </c>
      <c r="D515" s="9">
        <v>108000</v>
      </c>
      <c r="E515" s="9" t="s">
        <v>2344</v>
      </c>
      <c r="F515" s="9" t="s">
        <v>67</v>
      </c>
      <c r="G515" s="9" t="s">
        <v>51</v>
      </c>
      <c r="H515" s="9" t="str">
        <f>_xlfn.XLOOKUP(G515,Employees!C:C,Employees!B:B,FALSE)</f>
        <v>T005</v>
      </c>
    </row>
    <row r="516" spans="2:8" x14ac:dyDescent="0.25">
      <c r="B516" s="9" t="s">
        <v>1157</v>
      </c>
      <c r="C516" s="9" t="s">
        <v>22</v>
      </c>
      <c r="D516" s="9">
        <v>135000</v>
      </c>
      <c r="E516" s="9" t="s">
        <v>2345</v>
      </c>
      <c r="F516" s="9" t="s">
        <v>62</v>
      </c>
      <c r="G516" s="9" t="s">
        <v>45</v>
      </c>
      <c r="H516" s="9" t="str">
        <f>_xlfn.XLOOKUP(G516,Employees!C:C,Employees!B:B,FALSE)</f>
        <v>T002</v>
      </c>
    </row>
    <row r="517" spans="2:8" x14ac:dyDescent="0.25">
      <c r="B517" s="9" t="s">
        <v>1159</v>
      </c>
      <c r="C517" s="9" t="s">
        <v>12</v>
      </c>
      <c r="D517" s="9">
        <v>129000</v>
      </c>
      <c r="E517" s="9" t="s">
        <v>2346</v>
      </c>
      <c r="F517" s="9" t="s">
        <v>66</v>
      </c>
      <c r="G517" s="9" t="s">
        <v>47</v>
      </c>
      <c r="H517" s="9" t="str">
        <f>_xlfn.XLOOKUP(G517,Employees!C:C,Employees!B:B,FALSE)</f>
        <v>T003</v>
      </c>
    </row>
    <row r="518" spans="2:8" x14ac:dyDescent="0.25">
      <c r="B518" s="9" t="s">
        <v>1161</v>
      </c>
      <c r="C518" s="9" t="s">
        <v>12</v>
      </c>
      <c r="D518" s="9">
        <v>142000</v>
      </c>
      <c r="E518" s="9" t="s">
        <v>2347</v>
      </c>
      <c r="F518" s="9" t="s">
        <v>67</v>
      </c>
      <c r="G518" s="9" t="s">
        <v>51</v>
      </c>
      <c r="H518" s="9" t="str">
        <f>_xlfn.XLOOKUP(G518,Employees!C:C,Employees!B:B,FALSE)</f>
        <v>T005</v>
      </c>
    </row>
    <row r="519" spans="2:8" x14ac:dyDescent="0.25">
      <c r="B519" s="9" t="s">
        <v>1163</v>
      </c>
      <c r="C519" s="9" t="s">
        <v>18</v>
      </c>
      <c r="D519" s="9">
        <v>253000</v>
      </c>
      <c r="E519" s="9" t="s">
        <v>2348</v>
      </c>
      <c r="F519" s="9" t="s">
        <v>66</v>
      </c>
      <c r="G519" s="9" t="s">
        <v>55</v>
      </c>
      <c r="H519" s="9" t="str">
        <f>_xlfn.XLOOKUP(G519,Employees!C:C,Employees!B:B,FALSE)</f>
        <v>T007</v>
      </c>
    </row>
    <row r="520" spans="2:8" x14ac:dyDescent="0.25">
      <c r="B520" s="9" t="s">
        <v>1165</v>
      </c>
      <c r="C520" s="9" t="s">
        <v>18</v>
      </c>
      <c r="D520" s="9">
        <v>187000</v>
      </c>
      <c r="E520" s="9" t="s">
        <v>2349</v>
      </c>
      <c r="F520" s="9" t="s">
        <v>62</v>
      </c>
      <c r="G520" s="9" t="s">
        <v>58</v>
      </c>
      <c r="H520" s="9" t="str">
        <f>_xlfn.XLOOKUP(G520,Employees!C:C,Employees!B:B,FALSE)</f>
        <v>T008</v>
      </c>
    </row>
    <row r="521" spans="2:8" x14ac:dyDescent="0.25">
      <c r="B521" s="9" t="s">
        <v>1167</v>
      </c>
      <c r="C521" s="9" t="s">
        <v>24</v>
      </c>
      <c r="D521" s="9">
        <v>243000</v>
      </c>
      <c r="E521" s="9" t="s">
        <v>2350</v>
      </c>
      <c r="F521" s="9" t="s">
        <v>62</v>
      </c>
      <c r="G521" s="9" t="s">
        <v>53</v>
      </c>
      <c r="H521" s="9" t="str">
        <f>_xlfn.XLOOKUP(G521,Employees!C:C,Employees!B:B,FALSE)</f>
        <v>T006</v>
      </c>
    </row>
    <row r="522" spans="2:8" x14ac:dyDescent="0.25">
      <c r="B522" s="9" t="s">
        <v>1169</v>
      </c>
      <c r="C522" s="9" t="s">
        <v>18</v>
      </c>
      <c r="D522" s="9">
        <v>268000</v>
      </c>
      <c r="E522" s="9" t="s">
        <v>2350</v>
      </c>
      <c r="F522" s="9" t="s">
        <v>66</v>
      </c>
      <c r="G522" s="9" t="s">
        <v>45</v>
      </c>
      <c r="H522" s="9" t="str">
        <f>_xlfn.XLOOKUP(G522,Employees!C:C,Employees!B:B,FALSE)</f>
        <v>T002</v>
      </c>
    </row>
    <row r="523" spans="2:8" x14ac:dyDescent="0.25">
      <c r="B523" s="9" t="s">
        <v>1170</v>
      </c>
      <c r="C523" s="9" t="s">
        <v>16</v>
      </c>
      <c r="D523" s="9">
        <v>68000</v>
      </c>
      <c r="E523" s="9" t="s">
        <v>2351</v>
      </c>
      <c r="F523" s="9" t="s">
        <v>62</v>
      </c>
      <c r="G523" s="9" t="s">
        <v>47</v>
      </c>
      <c r="H523" s="9" t="str">
        <f>_xlfn.XLOOKUP(G523,Employees!C:C,Employees!B:B,FALSE)</f>
        <v>T003</v>
      </c>
    </row>
    <row r="524" spans="2:8" x14ac:dyDescent="0.25">
      <c r="B524" s="9" t="s">
        <v>1172</v>
      </c>
      <c r="C524" s="9" t="s">
        <v>22</v>
      </c>
      <c r="D524" s="9">
        <v>278000</v>
      </c>
      <c r="E524" s="9" t="s">
        <v>2352</v>
      </c>
      <c r="F524" s="9" t="s">
        <v>67</v>
      </c>
      <c r="G524" s="9" t="s">
        <v>43</v>
      </c>
      <c r="H524" s="9" t="str">
        <f>_xlfn.XLOOKUP(G524,Employees!C:C,Employees!B:B,FALSE)</f>
        <v>T001</v>
      </c>
    </row>
    <row r="525" spans="2:8" x14ac:dyDescent="0.25">
      <c r="B525" s="9" t="s">
        <v>1174</v>
      </c>
      <c r="C525" s="9" t="s">
        <v>22</v>
      </c>
      <c r="D525" s="9">
        <v>198000</v>
      </c>
      <c r="E525" s="9" t="s">
        <v>2352</v>
      </c>
      <c r="F525" s="9" t="s">
        <v>64</v>
      </c>
      <c r="G525" s="9" t="s">
        <v>51</v>
      </c>
      <c r="H525" s="9" t="str">
        <f>_xlfn.XLOOKUP(G525,Employees!C:C,Employees!B:B,FALSE)</f>
        <v>T005</v>
      </c>
    </row>
    <row r="526" spans="2:8" x14ac:dyDescent="0.25">
      <c r="B526" s="9" t="s">
        <v>1175</v>
      </c>
      <c r="C526" s="9" t="s">
        <v>16</v>
      </c>
      <c r="D526" s="9">
        <v>83000</v>
      </c>
      <c r="E526" s="9" t="s">
        <v>2353</v>
      </c>
      <c r="F526" s="9" t="s">
        <v>63</v>
      </c>
      <c r="G526" s="9" t="s">
        <v>47</v>
      </c>
      <c r="H526" s="9" t="str">
        <f>_xlfn.XLOOKUP(G526,Employees!C:C,Employees!B:B,FALSE)</f>
        <v>T003</v>
      </c>
    </row>
    <row r="527" spans="2:8" x14ac:dyDescent="0.25">
      <c r="B527" s="9" t="s">
        <v>1177</v>
      </c>
      <c r="C527" s="9" t="s">
        <v>24</v>
      </c>
      <c r="D527" s="9">
        <v>92000</v>
      </c>
      <c r="E527" s="9" t="s">
        <v>2354</v>
      </c>
      <c r="F527" s="9" t="s">
        <v>66</v>
      </c>
      <c r="G527" s="9" t="s">
        <v>49</v>
      </c>
      <c r="H527" s="9" t="str">
        <f>_xlfn.XLOOKUP(G527,Employees!C:C,Employees!B:B,FALSE)</f>
        <v>T004</v>
      </c>
    </row>
    <row r="528" spans="2:8" x14ac:dyDescent="0.25">
      <c r="B528" s="9" t="s">
        <v>1179</v>
      </c>
      <c r="C528" s="9" t="s">
        <v>14</v>
      </c>
      <c r="D528" s="9">
        <v>145000</v>
      </c>
      <c r="E528" s="9" t="s">
        <v>2354</v>
      </c>
      <c r="F528" s="9" t="s">
        <v>67</v>
      </c>
      <c r="G528" s="9" t="s">
        <v>51</v>
      </c>
      <c r="H528" s="9" t="str">
        <f>_xlfn.XLOOKUP(G528,Employees!C:C,Employees!B:B,FALSE)</f>
        <v>T005</v>
      </c>
    </row>
    <row r="529" spans="2:8" x14ac:dyDescent="0.25">
      <c r="B529" s="9" t="s">
        <v>1180</v>
      </c>
      <c r="C529" s="9" t="s">
        <v>22</v>
      </c>
      <c r="D529" s="9">
        <v>218000</v>
      </c>
      <c r="E529" s="9" t="s">
        <v>2355</v>
      </c>
      <c r="F529" s="9" t="s">
        <v>65</v>
      </c>
      <c r="G529" s="9" t="s">
        <v>58</v>
      </c>
      <c r="H529" s="9" t="str">
        <f>_xlfn.XLOOKUP(G529,Employees!C:C,Employees!B:B,FALSE)</f>
        <v>T008</v>
      </c>
    </row>
    <row r="530" spans="2:8" x14ac:dyDescent="0.25">
      <c r="B530" s="9" t="s">
        <v>1182</v>
      </c>
      <c r="C530" s="9" t="s">
        <v>16</v>
      </c>
      <c r="D530" s="9">
        <v>224000</v>
      </c>
      <c r="E530" s="9" t="s">
        <v>2355</v>
      </c>
      <c r="F530" s="9" t="s">
        <v>62</v>
      </c>
      <c r="G530" s="9" t="s">
        <v>55</v>
      </c>
      <c r="H530" s="9" t="str">
        <f>_xlfn.XLOOKUP(G530,Employees!C:C,Employees!B:B,FALSE)</f>
        <v>T007</v>
      </c>
    </row>
    <row r="531" spans="2:8" x14ac:dyDescent="0.25">
      <c r="B531" s="9" t="s">
        <v>1184</v>
      </c>
      <c r="C531" s="9" t="s">
        <v>12</v>
      </c>
      <c r="D531" s="9">
        <v>179000</v>
      </c>
      <c r="E531" s="9" t="s">
        <v>2356</v>
      </c>
      <c r="F531" s="9" t="s">
        <v>62</v>
      </c>
      <c r="G531" s="9" t="s">
        <v>49</v>
      </c>
      <c r="H531" s="9" t="str">
        <f>_xlfn.XLOOKUP(G531,Employees!C:C,Employees!B:B,FALSE)</f>
        <v>T004</v>
      </c>
    </row>
    <row r="532" spans="2:8" x14ac:dyDescent="0.25">
      <c r="B532" s="9" t="s">
        <v>1186</v>
      </c>
      <c r="C532" s="9" t="s">
        <v>20</v>
      </c>
      <c r="D532" s="9">
        <v>278000</v>
      </c>
      <c r="E532" s="9" t="s">
        <v>2356</v>
      </c>
      <c r="F532" s="9" t="s">
        <v>64</v>
      </c>
      <c r="G532" s="9" t="s">
        <v>49</v>
      </c>
      <c r="H532" s="9" t="str">
        <f>_xlfn.XLOOKUP(G532,Employees!C:C,Employees!B:B,FALSE)</f>
        <v>T004</v>
      </c>
    </row>
    <row r="533" spans="2:8" x14ac:dyDescent="0.25">
      <c r="B533" s="9" t="s">
        <v>1187</v>
      </c>
      <c r="C533" s="9" t="s">
        <v>12</v>
      </c>
      <c r="D533" s="9">
        <v>224000</v>
      </c>
      <c r="E533" s="9" t="s">
        <v>2357</v>
      </c>
      <c r="F533" s="9" t="s">
        <v>62</v>
      </c>
      <c r="G533" s="9" t="s">
        <v>58</v>
      </c>
      <c r="H533" s="9" t="str">
        <f>_xlfn.XLOOKUP(G533,Employees!C:C,Employees!B:B,FALSE)</f>
        <v>T008</v>
      </c>
    </row>
    <row r="534" spans="2:8" x14ac:dyDescent="0.25">
      <c r="B534" s="9" t="s">
        <v>1189</v>
      </c>
      <c r="C534" s="9" t="s">
        <v>24</v>
      </c>
      <c r="D534" s="9">
        <v>213000</v>
      </c>
      <c r="E534" s="9" t="s">
        <v>2357</v>
      </c>
      <c r="F534" s="9" t="s">
        <v>63</v>
      </c>
      <c r="G534" s="9" t="s">
        <v>55</v>
      </c>
      <c r="H534" s="9" t="str">
        <f>_xlfn.XLOOKUP(G534,Employees!C:C,Employees!B:B,FALSE)</f>
        <v>T007</v>
      </c>
    </row>
    <row r="535" spans="2:8" x14ac:dyDescent="0.25">
      <c r="B535" s="9" t="s">
        <v>1190</v>
      </c>
      <c r="C535" s="9" t="s">
        <v>20</v>
      </c>
      <c r="D535" s="9">
        <v>80000</v>
      </c>
      <c r="E535" s="9" t="s">
        <v>2357</v>
      </c>
      <c r="F535" s="9" t="s">
        <v>63</v>
      </c>
      <c r="G535" s="9" t="s">
        <v>51</v>
      </c>
      <c r="H535" s="9" t="str">
        <f>_xlfn.XLOOKUP(G535,Employees!C:C,Employees!B:B,FALSE)</f>
        <v>T005</v>
      </c>
    </row>
    <row r="536" spans="2:8" x14ac:dyDescent="0.25">
      <c r="B536" s="9" t="s">
        <v>1191</v>
      </c>
      <c r="C536" s="9" t="s">
        <v>24</v>
      </c>
      <c r="D536" s="9">
        <v>31000</v>
      </c>
      <c r="E536" s="9" t="s">
        <v>2358</v>
      </c>
      <c r="F536" s="9" t="s">
        <v>63</v>
      </c>
      <c r="G536" s="9" t="s">
        <v>49</v>
      </c>
      <c r="H536" s="9" t="str">
        <f>_xlfn.XLOOKUP(G536,Employees!C:C,Employees!B:B,FALSE)</f>
        <v>T004</v>
      </c>
    </row>
    <row r="537" spans="2:8" x14ac:dyDescent="0.25">
      <c r="B537" s="9" t="s">
        <v>1193</v>
      </c>
      <c r="C537" s="9" t="s">
        <v>16</v>
      </c>
      <c r="D537" s="9">
        <v>212000</v>
      </c>
      <c r="E537" s="9" t="s">
        <v>2358</v>
      </c>
      <c r="F537" s="9" t="s">
        <v>62</v>
      </c>
      <c r="G537" s="9" t="s">
        <v>51</v>
      </c>
      <c r="H537" s="9" t="str">
        <f>_xlfn.XLOOKUP(G537,Employees!C:C,Employees!B:B,FALSE)</f>
        <v>T005</v>
      </c>
    </row>
    <row r="538" spans="2:8" x14ac:dyDescent="0.25">
      <c r="B538" s="9" t="s">
        <v>1194</v>
      </c>
      <c r="C538" s="9" t="s">
        <v>14</v>
      </c>
      <c r="D538" s="9">
        <v>109000</v>
      </c>
      <c r="E538" s="9" t="s">
        <v>2359</v>
      </c>
      <c r="F538" s="9" t="s">
        <v>65</v>
      </c>
      <c r="G538" s="9" t="s">
        <v>47</v>
      </c>
      <c r="H538" s="9" t="str">
        <f>_xlfn.XLOOKUP(G538,Employees!C:C,Employees!B:B,FALSE)</f>
        <v>T003</v>
      </c>
    </row>
    <row r="539" spans="2:8" x14ac:dyDescent="0.25">
      <c r="B539" s="9" t="s">
        <v>1196</v>
      </c>
      <c r="C539" s="9" t="s">
        <v>20</v>
      </c>
      <c r="D539" s="9">
        <v>233000</v>
      </c>
      <c r="E539" s="9" t="s">
        <v>2360</v>
      </c>
      <c r="F539" s="9" t="s">
        <v>62</v>
      </c>
      <c r="G539" s="9" t="s">
        <v>53</v>
      </c>
      <c r="H539" s="9" t="str">
        <f>_xlfn.XLOOKUP(G539,Employees!C:C,Employees!B:B,FALSE)</f>
        <v>T006</v>
      </c>
    </row>
    <row r="540" spans="2:8" x14ac:dyDescent="0.25">
      <c r="B540" s="9" t="s">
        <v>1198</v>
      </c>
      <c r="C540" s="9" t="s">
        <v>24</v>
      </c>
      <c r="D540" s="9">
        <v>77000</v>
      </c>
      <c r="E540" s="9" t="s">
        <v>2360</v>
      </c>
      <c r="F540" s="9" t="s">
        <v>67</v>
      </c>
      <c r="G540" s="9" t="s">
        <v>51</v>
      </c>
      <c r="H540" s="9" t="str">
        <f>_xlfn.XLOOKUP(G540,Employees!C:C,Employees!B:B,FALSE)</f>
        <v>T005</v>
      </c>
    </row>
    <row r="541" spans="2:8" x14ac:dyDescent="0.25">
      <c r="B541" s="9" t="s">
        <v>1199</v>
      </c>
      <c r="C541" s="9" t="s">
        <v>18</v>
      </c>
      <c r="D541" s="9">
        <v>267000</v>
      </c>
      <c r="E541" s="9" t="s">
        <v>2360</v>
      </c>
      <c r="F541" s="9" t="s">
        <v>64</v>
      </c>
      <c r="G541" s="9" t="s">
        <v>45</v>
      </c>
      <c r="H541" s="9" t="str">
        <f>_xlfn.XLOOKUP(G541,Employees!C:C,Employees!B:B,FALSE)</f>
        <v>T002</v>
      </c>
    </row>
    <row r="542" spans="2:8" x14ac:dyDescent="0.25">
      <c r="B542" s="9" t="s">
        <v>1200</v>
      </c>
      <c r="C542" s="9" t="s">
        <v>12</v>
      </c>
      <c r="D542" s="9">
        <v>183000</v>
      </c>
      <c r="E542" s="9" t="s">
        <v>2361</v>
      </c>
      <c r="F542" s="9" t="s">
        <v>62</v>
      </c>
      <c r="G542" s="9" t="s">
        <v>47</v>
      </c>
      <c r="H542" s="9" t="str">
        <f>_xlfn.XLOOKUP(G542,Employees!C:C,Employees!B:B,FALSE)</f>
        <v>T003</v>
      </c>
    </row>
    <row r="543" spans="2:8" x14ac:dyDescent="0.25">
      <c r="B543" s="9" t="s">
        <v>1202</v>
      </c>
      <c r="C543" s="9" t="s">
        <v>22</v>
      </c>
      <c r="D543" s="9">
        <v>184000</v>
      </c>
      <c r="E543" s="9" t="s">
        <v>2362</v>
      </c>
      <c r="F543" s="9" t="s">
        <v>65</v>
      </c>
      <c r="G543" s="9" t="s">
        <v>49</v>
      </c>
      <c r="H543" s="9" t="str">
        <f>_xlfn.XLOOKUP(G543,Employees!C:C,Employees!B:B,FALSE)</f>
        <v>T004</v>
      </c>
    </row>
    <row r="544" spans="2:8" x14ac:dyDescent="0.25">
      <c r="B544" s="9" t="s">
        <v>1204</v>
      </c>
      <c r="C544" s="9" t="s">
        <v>18</v>
      </c>
      <c r="D544" s="9">
        <v>33000</v>
      </c>
      <c r="E544" s="9" t="s">
        <v>2363</v>
      </c>
      <c r="F544" s="9" t="s">
        <v>66</v>
      </c>
      <c r="G544" s="9" t="s">
        <v>49</v>
      </c>
      <c r="H544" s="9" t="str">
        <f>_xlfn.XLOOKUP(G544,Employees!C:C,Employees!B:B,FALSE)</f>
        <v>T004</v>
      </c>
    </row>
    <row r="545" spans="2:8" x14ac:dyDescent="0.25">
      <c r="B545" s="9" t="s">
        <v>1206</v>
      </c>
      <c r="C545" s="9" t="s">
        <v>22</v>
      </c>
      <c r="D545" s="9">
        <v>198000</v>
      </c>
      <c r="E545" s="9" t="s">
        <v>2363</v>
      </c>
      <c r="F545" s="9" t="s">
        <v>65</v>
      </c>
      <c r="G545" s="9" t="s">
        <v>58</v>
      </c>
      <c r="H545" s="9" t="str">
        <f>_xlfn.XLOOKUP(G545,Employees!C:C,Employees!B:B,FALSE)</f>
        <v>T008</v>
      </c>
    </row>
    <row r="546" spans="2:8" x14ac:dyDescent="0.25">
      <c r="B546" s="9" t="s">
        <v>1207</v>
      </c>
      <c r="C546" s="9" t="s">
        <v>16</v>
      </c>
      <c r="D546" s="9">
        <v>132000</v>
      </c>
      <c r="E546" s="9" t="s">
        <v>2364</v>
      </c>
      <c r="F546" s="9" t="s">
        <v>63</v>
      </c>
      <c r="G546" s="9" t="s">
        <v>51</v>
      </c>
      <c r="H546" s="9" t="str">
        <f>_xlfn.XLOOKUP(G546,Employees!C:C,Employees!B:B,FALSE)</f>
        <v>T005</v>
      </c>
    </row>
    <row r="547" spans="2:8" x14ac:dyDescent="0.25">
      <c r="B547" s="9" t="s">
        <v>1209</v>
      </c>
      <c r="C547" s="9" t="s">
        <v>16</v>
      </c>
      <c r="D547" s="9">
        <v>40000</v>
      </c>
      <c r="E547" s="9" t="s">
        <v>2365</v>
      </c>
      <c r="F547" s="9" t="s">
        <v>65</v>
      </c>
      <c r="G547" s="9" t="s">
        <v>55</v>
      </c>
      <c r="H547" s="9" t="str">
        <f>_xlfn.XLOOKUP(G547,Employees!C:C,Employees!B:B,FALSE)</f>
        <v>T007</v>
      </c>
    </row>
    <row r="548" spans="2:8" x14ac:dyDescent="0.25">
      <c r="B548" s="9" t="s">
        <v>1211</v>
      </c>
      <c r="C548" s="9" t="s">
        <v>12</v>
      </c>
      <c r="D548" s="9">
        <v>40000</v>
      </c>
      <c r="E548" s="9" t="s">
        <v>2365</v>
      </c>
      <c r="F548" s="9" t="s">
        <v>63</v>
      </c>
      <c r="G548" s="9" t="s">
        <v>49</v>
      </c>
      <c r="H548" s="9" t="str">
        <f>_xlfn.XLOOKUP(G548,Employees!C:C,Employees!B:B,FALSE)</f>
        <v>T004</v>
      </c>
    </row>
    <row r="549" spans="2:8" x14ac:dyDescent="0.25">
      <c r="B549" s="9" t="s">
        <v>1212</v>
      </c>
      <c r="C549" s="9" t="s">
        <v>16</v>
      </c>
      <c r="D549" s="9">
        <v>160000</v>
      </c>
      <c r="E549" s="9" t="s">
        <v>2365</v>
      </c>
      <c r="F549" s="9" t="s">
        <v>65</v>
      </c>
      <c r="G549" s="9" t="s">
        <v>45</v>
      </c>
      <c r="H549" s="9" t="str">
        <f>_xlfn.XLOOKUP(G549,Employees!C:C,Employees!B:B,FALSE)</f>
        <v>T002</v>
      </c>
    </row>
    <row r="550" spans="2:8" x14ac:dyDescent="0.25">
      <c r="B550" s="9" t="s">
        <v>1213</v>
      </c>
      <c r="C550" s="9" t="s">
        <v>18</v>
      </c>
      <c r="D550" s="9">
        <v>290000</v>
      </c>
      <c r="E550" s="9" t="s">
        <v>2366</v>
      </c>
      <c r="F550" s="9" t="s">
        <v>63</v>
      </c>
      <c r="G550" s="9" t="s">
        <v>45</v>
      </c>
      <c r="H550" s="9" t="str">
        <f>_xlfn.XLOOKUP(G550,Employees!C:C,Employees!B:B,FALSE)</f>
        <v>T002</v>
      </c>
    </row>
    <row r="551" spans="2:8" x14ac:dyDescent="0.25">
      <c r="B551" s="9" t="s">
        <v>1215</v>
      </c>
      <c r="C551" s="9" t="s">
        <v>14</v>
      </c>
      <c r="D551" s="9">
        <v>99000</v>
      </c>
      <c r="E551" s="9" t="s">
        <v>2366</v>
      </c>
      <c r="F551" s="9" t="s">
        <v>65</v>
      </c>
      <c r="G551" s="9" t="s">
        <v>43</v>
      </c>
      <c r="H551" s="9" t="str">
        <f>_xlfn.XLOOKUP(G551,Employees!C:C,Employees!B:B,FALSE)</f>
        <v>T001</v>
      </c>
    </row>
    <row r="552" spans="2:8" x14ac:dyDescent="0.25">
      <c r="B552" s="9" t="s">
        <v>1216</v>
      </c>
      <c r="C552" s="9" t="s">
        <v>14</v>
      </c>
      <c r="D552" s="9">
        <v>161000</v>
      </c>
      <c r="E552" s="9" t="s">
        <v>2367</v>
      </c>
      <c r="F552" s="9" t="s">
        <v>64</v>
      </c>
      <c r="G552" s="9" t="s">
        <v>51</v>
      </c>
      <c r="H552" s="9" t="str">
        <f>_xlfn.XLOOKUP(G552,Employees!C:C,Employees!B:B,FALSE)</f>
        <v>T005</v>
      </c>
    </row>
    <row r="553" spans="2:8" x14ac:dyDescent="0.25">
      <c r="B553" s="9" t="s">
        <v>1218</v>
      </c>
      <c r="C553" s="9" t="s">
        <v>14</v>
      </c>
      <c r="D553" s="9">
        <v>281000</v>
      </c>
      <c r="E553" s="9" t="s">
        <v>2368</v>
      </c>
      <c r="F553" s="9" t="s">
        <v>62</v>
      </c>
      <c r="G553" s="9" t="s">
        <v>47</v>
      </c>
      <c r="H553" s="9" t="str">
        <f>_xlfn.XLOOKUP(G553,Employees!C:C,Employees!B:B,FALSE)</f>
        <v>T003</v>
      </c>
    </row>
    <row r="554" spans="2:8" x14ac:dyDescent="0.25">
      <c r="B554" s="9" t="s">
        <v>1220</v>
      </c>
      <c r="C554" s="9" t="s">
        <v>16</v>
      </c>
      <c r="D554" s="9">
        <v>253000</v>
      </c>
      <c r="E554" s="9" t="s">
        <v>2369</v>
      </c>
      <c r="F554" s="9" t="s">
        <v>67</v>
      </c>
      <c r="G554" s="9" t="s">
        <v>53</v>
      </c>
      <c r="H554" s="9" t="str">
        <f>_xlfn.XLOOKUP(G554,Employees!C:C,Employees!B:B,FALSE)</f>
        <v>T006</v>
      </c>
    </row>
    <row r="555" spans="2:8" x14ac:dyDescent="0.25">
      <c r="B555" s="9" t="s">
        <v>1222</v>
      </c>
      <c r="C555" s="9" t="s">
        <v>14</v>
      </c>
      <c r="D555" s="9">
        <v>225000</v>
      </c>
      <c r="E555" s="9" t="s">
        <v>2369</v>
      </c>
      <c r="F555" s="9" t="s">
        <v>64</v>
      </c>
      <c r="G555" s="9" t="s">
        <v>49</v>
      </c>
      <c r="H555" s="9" t="str">
        <f>_xlfn.XLOOKUP(G555,Employees!C:C,Employees!B:B,FALSE)</f>
        <v>T004</v>
      </c>
    </row>
    <row r="556" spans="2:8" x14ac:dyDescent="0.25">
      <c r="B556" s="9" t="s">
        <v>1223</v>
      </c>
      <c r="C556" s="9" t="s">
        <v>12</v>
      </c>
      <c r="D556" s="9">
        <v>86000</v>
      </c>
      <c r="E556" s="9" t="s">
        <v>2370</v>
      </c>
      <c r="F556" s="9" t="s">
        <v>64</v>
      </c>
      <c r="G556" s="9" t="s">
        <v>51</v>
      </c>
      <c r="H556" s="9" t="str">
        <f>_xlfn.XLOOKUP(G556,Employees!C:C,Employees!B:B,FALSE)</f>
        <v>T005</v>
      </c>
    </row>
    <row r="557" spans="2:8" x14ac:dyDescent="0.25">
      <c r="B557" s="9" t="s">
        <v>1225</v>
      </c>
      <c r="C557" s="9" t="s">
        <v>18</v>
      </c>
      <c r="D557" s="9">
        <v>214000</v>
      </c>
      <c r="E557" s="9" t="s">
        <v>2371</v>
      </c>
      <c r="F557" s="9" t="s">
        <v>67</v>
      </c>
      <c r="G557" s="9" t="s">
        <v>58</v>
      </c>
      <c r="H557" s="9" t="str">
        <f>_xlfn.XLOOKUP(G557,Employees!C:C,Employees!B:B,FALSE)</f>
        <v>T008</v>
      </c>
    </row>
    <row r="558" spans="2:8" x14ac:dyDescent="0.25">
      <c r="B558" s="9" t="s">
        <v>1227</v>
      </c>
      <c r="C558" s="9" t="s">
        <v>22</v>
      </c>
      <c r="D558" s="9">
        <v>139000</v>
      </c>
      <c r="E558" s="9" t="s">
        <v>2371</v>
      </c>
      <c r="F558" s="9" t="s">
        <v>65</v>
      </c>
      <c r="G558" s="9" t="s">
        <v>51</v>
      </c>
      <c r="H558" s="9" t="str">
        <f>_xlfn.XLOOKUP(G558,Employees!C:C,Employees!B:B,FALSE)</f>
        <v>T005</v>
      </c>
    </row>
    <row r="559" spans="2:8" x14ac:dyDescent="0.25">
      <c r="B559" s="9" t="s">
        <v>1228</v>
      </c>
      <c r="C559" s="9" t="s">
        <v>18</v>
      </c>
      <c r="D559" s="9">
        <v>176000</v>
      </c>
      <c r="E559" s="9" t="s">
        <v>2371</v>
      </c>
      <c r="F559" s="9" t="s">
        <v>64</v>
      </c>
      <c r="G559" s="9" t="s">
        <v>51</v>
      </c>
      <c r="H559" s="9" t="str">
        <f>_xlfn.XLOOKUP(G559,Employees!C:C,Employees!B:B,FALSE)</f>
        <v>T005</v>
      </c>
    </row>
    <row r="560" spans="2:8" x14ac:dyDescent="0.25">
      <c r="B560" s="9" t="s">
        <v>1230</v>
      </c>
      <c r="C560" s="9" t="s">
        <v>20</v>
      </c>
      <c r="D560" s="9">
        <v>263000</v>
      </c>
      <c r="E560" s="9" t="s">
        <v>2372</v>
      </c>
      <c r="F560" s="9" t="s">
        <v>67</v>
      </c>
      <c r="G560" s="9" t="s">
        <v>43</v>
      </c>
      <c r="H560" s="9" t="str">
        <f>_xlfn.XLOOKUP(G560,Employees!C:C,Employees!B:B,FALSE)</f>
        <v>T001</v>
      </c>
    </row>
    <row r="561" spans="2:8" x14ac:dyDescent="0.25">
      <c r="B561" s="9" t="s">
        <v>1232</v>
      </c>
      <c r="C561" s="9" t="s">
        <v>12</v>
      </c>
      <c r="D561" s="9">
        <v>252000</v>
      </c>
      <c r="E561" s="9" t="s">
        <v>2372</v>
      </c>
      <c r="F561" s="9" t="s">
        <v>65</v>
      </c>
      <c r="G561" s="9" t="s">
        <v>47</v>
      </c>
      <c r="H561" s="9" t="str">
        <f>_xlfn.XLOOKUP(G561,Employees!C:C,Employees!B:B,FALSE)</f>
        <v>T003</v>
      </c>
    </row>
    <row r="562" spans="2:8" x14ac:dyDescent="0.25">
      <c r="B562" s="9" t="s">
        <v>1233</v>
      </c>
      <c r="C562" s="9" t="s">
        <v>20</v>
      </c>
      <c r="D562" s="9">
        <v>188000</v>
      </c>
      <c r="E562" s="9" t="s">
        <v>2373</v>
      </c>
      <c r="F562" s="9" t="s">
        <v>65</v>
      </c>
      <c r="G562" s="9" t="s">
        <v>45</v>
      </c>
      <c r="H562" s="9" t="str">
        <f>_xlfn.XLOOKUP(G562,Employees!C:C,Employees!B:B,FALSE)</f>
        <v>T002</v>
      </c>
    </row>
    <row r="563" spans="2:8" x14ac:dyDescent="0.25">
      <c r="B563" s="9" t="s">
        <v>1235</v>
      </c>
      <c r="C563" s="9" t="s">
        <v>24</v>
      </c>
      <c r="D563" s="9">
        <v>51000</v>
      </c>
      <c r="E563" s="9" t="s">
        <v>2374</v>
      </c>
      <c r="F563" s="9" t="s">
        <v>63</v>
      </c>
      <c r="G563" s="9" t="s">
        <v>47</v>
      </c>
      <c r="H563" s="9" t="str">
        <f>_xlfn.XLOOKUP(G563,Employees!C:C,Employees!B:B,FALSE)</f>
        <v>T003</v>
      </c>
    </row>
    <row r="564" spans="2:8" x14ac:dyDescent="0.25">
      <c r="B564" s="9" t="s">
        <v>1237</v>
      </c>
      <c r="C564" s="9" t="s">
        <v>16</v>
      </c>
      <c r="D564" s="9">
        <v>204000</v>
      </c>
      <c r="E564" s="9" t="s">
        <v>2374</v>
      </c>
      <c r="F564" s="9" t="s">
        <v>64</v>
      </c>
      <c r="G564" s="9" t="s">
        <v>49</v>
      </c>
      <c r="H564" s="9" t="str">
        <f>_xlfn.XLOOKUP(G564,Employees!C:C,Employees!B:B,FALSE)</f>
        <v>T004</v>
      </c>
    </row>
    <row r="565" spans="2:8" x14ac:dyDescent="0.25">
      <c r="B565" s="9" t="s">
        <v>1238</v>
      </c>
      <c r="C565" s="9" t="s">
        <v>16</v>
      </c>
      <c r="D565" s="9">
        <v>245000</v>
      </c>
      <c r="E565" s="9" t="s">
        <v>2374</v>
      </c>
      <c r="F565" s="9" t="s">
        <v>64</v>
      </c>
      <c r="G565" s="9" t="s">
        <v>45</v>
      </c>
      <c r="H565" s="9" t="str">
        <f>_xlfn.XLOOKUP(G565,Employees!C:C,Employees!B:B,FALSE)</f>
        <v>T002</v>
      </c>
    </row>
    <row r="566" spans="2:8" x14ac:dyDescent="0.25">
      <c r="B566" s="9" t="s">
        <v>1239</v>
      </c>
      <c r="C566" s="9" t="s">
        <v>16</v>
      </c>
      <c r="D566" s="9">
        <v>31000</v>
      </c>
      <c r="E566" s="9" t="s">
        <v>2375</v>
      </c>
      <c r="F566" s="9" t="s">
        <v>64</v>
      </c>
      <c r="G566" s="9" t="s">
        <v>55</v>
      </c>
      <c r="H566" s="9" t="str">
        <f>_xlfn.XLOOKUP(G566,Employees!C:C,Employees!B:B,FALSE)</f>
        <v>T007</v>
      </c>
    </row>
    <row r="567" spans="2:8" x14ac:dyDescent="0.25">
      <c r="B567" s="9" t="s">
        <v>1241</v>
      </c>
      <c r="C567" s="9" t="s">
        <v>18</v>
      </c>
      <c r="D567" s="9">
        <v>121000</v>
      </c>
      <c r="E567" s="9" t="s">
        <v>2375</v>
      </c>
      <c r="F567" s="9" t="s">
        <v>67</v>
      </c>
      <c r="G567" s="9" t="s">
        <v>43</v>
      </c>
      <c r="H567" s="9" t="str">
        <f>_xlfn.XLOOKUP(G567,Employees!C:C,Employees!B:B,FALSE)</f>
        <v>T001</v>
      </c>
    </row>
    <row r="568" spans="2:8" x14ac:dyDescent="0.25">
      <c r="B568" s="9" t="s">
        <v>1242</v>
      </c>
      <c r="C568" s="9" t="s">
        <v>22</v>
      </c>
      <c r="D568" s="9">
        <v>57000</v>
      </c>
      <c r="E568" s="9" t="s">
        <v>2376</v>
      </c>
      <c r="F568" s="9" t="s">
        <v>62</v>
      </c>
      <c r="G568" s="9" t="s">
        <v>58</v>
      </c>
      <c r="H568" s="9" t="str">
        <f>_xlfn.XLOOKUP(G568,Employees!C:C,Employees!B:B,FALSE)</f>
        <v>T008</v>
      </c>
    </row>
    <row r="569" spans="2:8" x14ac:dyDescent="0.25">
      <c r="B569" s="9" t="s">
        <v>1244</v>
      </c>
      <c r="C569" s="9" t="s">
        <v>12</v>
      </c>
      <c r="D569" s="9">
        <v>194000</v>
      </c>
      <c r="E569" s="9" t="s">
        <v>2376</v>
      </c>
      <c r="F569" s="9" t="s">
        <v>64</v>
      </c>
      <c r="G569" s="9" t="s">
        <v>47</v>
      </c>
      <c r="H569" s="9" t="str">
        <f>_xlfn.XLOOKUP(G569,Employees!C:C,Employees!B:B,FALSE)</f>
        <v>T003</v>
      </c>
    </row>
    <row r="570" spans="2:8" x14ac:dyDescent="0.25">
      <c r="B570" s="9" t="s">
        <v>1245</v>
      </c>
      <c r="C570" s="9" t="s">
        <v>16</v>
      </c>
      <c r="D570" s="9">
        <v>135000</v>
      </c>
      <c r="E570" s="9" t="s">
        <v>2377</v>
      </c>
      <c r="F570" s="9" t="s">
        <v>66</v>
      </c>
      <c r="G570" s="9" t="s">
        <v>45</v>
      </c>
      <c r="H570" s="9" t="str">
        <f>_xlfn.XLOOKUP(G570,Employees!C:C,Employees!B:B,FALSE)</f>
        <v>T002</v>
      </c>
    </row>
    <row r="571" spans="2:8" x14ac:dyDescent="0.25">
      <c r="B571" s="9" t="s">
        <v>1247</v>
      </c>
      <c r="C571" s="9" t="s">
        <v>18</v>
      </c>
      <c r="D571" s="9">
        <v>102000</v>
      </c>
      <c r="E571" s="9" t="s">
        <v>2378</v>
      </c>
      <c r="F571" s="9" t="s">
        <v>66</v>
      </c>
      <c r="G571" s="9" t="s">
        <v>49</v>
      </c>
      <c r="H571" s="9" t="str">
        <f>_xlfn.XLOOKUP(G571,Employees!C:C,Employees!B:B,FALSE)</f>
        <v>T004</v>
      </c>
    </row>
    <row r="572" spans="2:8" x14ac:dyDescent="0.25">
      <c r="B572" s="9" t="s">
        <v>1249</v>
      </c>
      <c r="C572" s="9" t="s">
        <v>12</v>
      </c>
      <c r="D572" s="9">
        <v>150000</v>
      </c>
      <c r="E572" s="9" t="s">
        <v>2379</v>
      </c>
      <c r="F572" s="9" t="s">
        <v>66</v>
      </c>
      <c r="G572" s="9" t="s">
        <v>53</v>
      </c>
      <c r="H572" s="9" t="str">
        <f>_xlfn.XLOOKUP(G572,Employees!C:C,Employees!B:B,FALSE)</f>
        <v>T006</v>
      </c>
    </row>
    <row r="573" spans="2:8" x14ac:dyDescent="0.25">
      <c r="B573" s="9" t="s">
        <v>1251</v>
      </c>
      <c r="C573" s="9" t="s">
        <v>24</v>
      </c>
      <c r="D573" s="9">
        <v>107000</v>
      </c>
      <c r="E573" s="9" t="s">
        <v>2380</v>
      </c>
      <c r="F573" s="9" t="s">
        <v>63</v>
      </c>
      <c r="G573" s="9" t="s">
        <v>58</v>
      </c>
      <c r="H573" s="9" t="str">
        <f>_xlfn.XLOOKUP(G573,Employees!C:C,Employees!B:B,FALSE)</f>
        <v>T008</v>
      </c>
    </row>
    <row r="574" spans="2:8" x14ac:dyDescent="0.25">
      <c r="B574" s="9" t="s">
        <v>1253</v>
      </c>
      <c r="C574" s="9" t="s">
        <v>24</v>
      </c>
      <c r="D574" s="9">
        <v>109000</v>
      </c>
      <c r="E574" s="9" t="s">
        <v>2381</v>
      </c>
      <c r="F574" s="9" t="s">
        <v>65</v>
      </c>
      <c r="G574" s="9" t="s">
        <v>43</v>
      </c>
      <c r="H574" s="9" t="str">
        <f>_xlfn.XLOOKUP(G574,Employees!C:C,Employees!B:B,FALSE)</f>
        <v>T001</v>
      </c>
    </row>
    <row r="575" spans="2:8" x14ac:dyDescent="0.25">
      <c r="B575" s="9" t="s">
        <v>1255</v>
      </c>
      <c r="C575" s="9" t="s">
        <v>24</v>
      </c>
      <c r="D575" s="9">
        <v>55000</v>
      </c>
      <c r="E575" s="9" t="s">
        <v>2382</v>
      </c>
      <c r="F575" s="9" t="s">
        <v>64</v>
      </c>
      <c r="G575" s="9" t="s">
        <v>47</v>
      </c>
      <c r="H575" s="9" t="str">
        <f>_xlfn.XLOOKUP(G575,Employees!C:C,Employees!B:B,FALSE)</f>
        <v>T003</v>
      </c>
    </row>
    <row r="576" spans="2:8" x14ac:dyDescent="0.25">
      <c r="B576" s="9" t="s">
        <v>1257</v>
      </c>
      <c r="C576" s="9" t="s">
        <v>14</v>
      </c>
      <c r="D576" s="9">
        <v>247000</v>
      </c>
      <c r="E576" s="9" t="s">
        <v>2383</v>
      </c>
      <c r="F576" s="9" t="s">
        <v>67</v>
      </c>
      <c r="G576" s="9" t="s">
        <v>43</v>
      </c>
      <c r="H576" s="9" t="str">
        <f>_xlfn.XLOOKUP(G576,Employees!C:C,Employees!B:B,FALSE)</f>
        <v>T001</v>
      </c>
    </row>
    <row r="577" spans="2:8" x14ac:dyDescent="0.25">
      <c r="B577" s="9" t="s">
        <v>1259</v>
      </c>
      <c r="C577" s="9" t="s">
        <v>22</v>
      </c>
      <c r="D577" s="9">
        <v>85000</v>
      </c>
      <c r="E577" s="9" t="s">
        <v>2384</v>
      </c>
      <c r="F577" s="9" t="s">
        <v>62</v>
      </c>
      <c r="G577" s="9" t="s">
        <v>58</v>
      </c>
      <c r="H577" s="9" t="str">
        <f>_xlfn.XLOOKUP(G577,Employees!C:C,Employees!B:B,FALSE)</f>
        <v>T008</v>
      </c>
    </row>
    <row r="578" spans="2:8" x14ac:dyDescent="0.25">
      <c r="B578" s="9" t="s">
        <v>1261</v>
      </c>
      <c r="C578" s="9" t="s">
        <v>24</v>
      </c>
      <c r="D578" s="9">
        <v>191000</v>
      </c>
      <c r="E578" s="9" t="s">
        <v>2385</v>
      </c>
      <c r="F578" s="9" t="s">
        <v>64</v>
      </c>
      <c r="G578" s="9" t="s">
        <v>55</v>
      </c>
      <c r="H578" s="9" t="str">
        <f>_xlfn.XLOOKUP(G578,Employees!C:C,Employees!B:B,FALSE)</f>
        <v>T007</v>
      </c>
    </row>
    <row r="579" spans="2:8" x14ac:dyDescent="0.25">
      <c r="B579" s="9" t="s">
        <v>1263</v>
      </c>
      <c r="C579" s="9" t="s">
        <v>14</v>
      </c>
      <c r="D579" s="9">
        <v>137000</v>
      </c>
      <c r="E579" s="9" t="s">
        <v>2386</v>
      </c>
      <c r="F579" s="9" t="s">
        <v>65</v>
      </c>
      <c r="G579" s="9" t="s">
        <v>51</v>
      </c>
      <c r="H579" s="9" t="str">
        <f>_xlfn.XLOOKUP(G579,Employees!C:C,Employees!B:B,FALSE)</f>
        <v>T005</v>
      </c>
    </row>
    <row r="580" spans="2:8" x14ac:dyDescent="0.25">
      <c r="B580" s="9" t="s">
        <v>1265</v>
      </c>
      <c r="C580" s="9" t="s">
        <v>24</v>
      </c>
      <c r="D580" s="9">
        <v>245000</v>
      </c>
      <c r="E580" s="9" t="s">
        <v>2386</v>
      </c>
      <c r="F580" s="9" t="s">
        <v>65</v>
      </c>
      <c r="G580" s="9" t="s">
        <v>47</v>
      </c>
      <c r="H580" s="9" t="str">
        <f>_xlfn.XLOOKUP(G580,Employees!C:C,Employees!B:B,FALSE)</f>
        <v>T003</v>
      </c>
    </row>
    <row r="581" spans="2:8" x14ac:dyDescent="0.25">
      <c r="B581" s="9" t="s">
        <v>1266</v>
      </c>
      <c r="C581" s="9" t="s">
        <v>14</v>
      </c>
      <c r="D581" s="9">
        <v>299000</v>
      </c>
      <c r="E581" s="9" t="s">
        <v>2387</v>
      </c>
      <c r="F581" s="9" t="s">
        <v>62</v>
      </c>
      <c r="G581" s="9" t="s">
        <v>47</v>
      </c>
      <c r="H581" s="9" t="str">
        <f>_xlfn.XLOOKUP(G581,Employees!C:C,Employees!B:B,FALSE)</f>
        <v>T003</v>
      </c>
    </row>
    <row r="582" spans="2:8" x14ac:dyDescent="0.25">
      <c r="B582" s="9" t="s">
        <v>1268</v>
      </c>
      <c r="C582" s="9" t="s">
        <v>14</v>
      </c>
      <c r="D582" s="9">
        <v>134000</v>
      </c>
      <c r="E582" s="9" t="s">
        <v>2387</v>
      </c>
      <c r="F582" s="9" t="s">
        <v>64</v>
      </c>
      <c r="G582" s="9" t="s">
        <v>47</v>
      </c>
      <c r="H582" s="9" t="str">
        <f>_xlfn.XLOOKUP(G582,Employees!C:C,Employees!B:B,FALSE)</f>
        <v>T003</v>
      </c>
    </row>
    <row r="583" spans="2:8" x14ac:dyDescent="0.25">
      <c r="B583" s="9" t="s">
        <v>1269</v>
      </c>
      <c r="C583" s="9" t="s">
        <v>18</v>
      </c>
      <c r="D583" s="9">
        <v>170000</v>
      </c>
      <c r="E583" s="9" t="s">
        <v>2388</v>
      </c>
      <c r="F583" s="9" t="s">
        <v>62</v>
      </c>
      <c r="G583" s="9" t="s">
        <v>53</v>
      </c>
      <c r="H583" s="9" t="str">
        <f>_xlfn.XLOOKUP(G583,Employees!C:C,Employees!B:B,FALSE)</f>
        <v>T006</v>
      </c>
    </row>
    <row r="584" spans="2:8" x14ac:dyDescent="0.25">
      <c r="B584" s="9" t="s">
        <v>1271</v>
      </c>
      <c r="C584" s="9" t="s">
        <v>12</v>
      </c>
      <c r="D584" s="9">
        <v>224000</v>
      </c>
      <c r="E584" s="9" t="s">
        <v>2388</v>
      </c>
      <c r="F584" s="9" t="s">
        <v>63</v>
      </c>
      <c r="G584" s="9" t="s">
        <v>58</v>
      </c>
      <c r="H584" s="9" t="str">
        <f>_xlfn.XLOOKUP(G584,Employees!C:C,Employees!B:B,FALSE)</f>
        <v>T008</v>
      </c>
    </row>
    <row r="585" spans="2:8" x14ac:dyDescent="0.25">
      <c r="B585" s="9" t="s">
        <v>1272</v>
      </c>
      <c r="C585" s="9" t="s">
        <v>20</v>
      </c>
      <c r="D585" s="9">
        <v>162000</v>
      </c>
      <c r="E585" s="9" t="s">
        <v>2389</v>
      </c>
      <c r="F585" s="9" t="s">
        <v>63</v>
      </c>
      <c r="G585" s="9" t="s">
        <v>45</v>
      </c>
      <c r="H585" s="9" t="str">
        <f>_xlfn.XLOOKUP(G585,Employees!C:C,Employees!B:B,FALSE)</f>
        <v>T002</v>
      </c>
    </row>
    <row r="586" spans="2:8" x14ac:dyDescent="0.25">
      <c r="B586" s="9" t="s">
        <v>1275</v>
      </c>
      <c r="C586" s="9" t="s">
        <v>20</v>
      </c>
      <c r="D586" s="9">
        <v>163000</v>
      </c>
      <c r="E586" s="9" t="s">
        <v>2390</v>
      </c>
      <c r="F586" s="9" t="s">
        <v>67</v>
      </c>
      <c r="G586" s="9" t="s">
        <v>53</v>
      </c>
      <c r="H586" s="9" t="str">
        <f>_xlfn.XLOOKUP(G586,Employees!C:C,Employees!B:B,FALSE)</f>
        <v>T006</v>
      </c>
    </row>
    <row r="587" spans="2:8" x14ac:dyDescent="0.25">
      <c r="B587" s="9" t="s">
        <v>1277</v>
      </c>
      <c r="C587" s="9" t="s">
        <v>18</v>
      </c>
      <c r="D587" s="9">
        <v>119000</v>
      </c>
      <c r="E587" s="9" t="s">
        <v>2390</v>
      </c>
      <c r="F587" s="9" t="s">
        <v>64</v>
      </c>
      <c r="G587" s="9" t="s">
        <v>51</v>
      </c>
      <c r="H587" s="9" t="str">
        <f>_xlfn.XLOOKUP(G587,Employees!C:C,Employees!B:B,FALSE)</f>
        <v>T005</v>
      </c>
    </row>
    <row r="588" spans="2:8" x14ac:dyDescent="0.25">
      <c r="B588" s="9" t="s">
        <v>1278</v>
      </c>
      <c r="C588" s="9" t="s">
        <v>22</v>
      </c>
      <c r="D588" s="9">
        <v>99000</v>
      </c>
      <c r="E588" s="9" t="s">
        <v>2391</v>
      </c>
      <c r="F588" s="9" t="s">
        <v>66</v>
      </c>
      <c r="G588" s="9" t="s">
        <v>49</v>
      </c>
      <c r="H588" s="9" t="str">
        <f>_xlfn.XLOOKUP(G588,Employees!C:C,Employees!B:B,FALSE)</f>
        <v>T004</v>
      </c>
    </row>
    <row r="589" spans="2:8" x14ac:dyDescent="0.25">
      <c r="B589" s="9" t="s">
        <v>1280</v>
      </c>
      <c r="C589" s="9" t="s">
        <v>16</v>
      </c>
      <c r="D589" s="9">
        <v>164000</v>
      </c>
      <c r="E589" s="9" t="s">
        <v>2392</v>
      </c>
      <c r="F589" s="9" t="s">
        <v>64</v>
      </c>
      <c r="G589" s="9" t="s">
        <v>51</v>
      </c>
      <c r="H589" s="9" t="str">
        <f>_xlfn.XLOOKUP(G589,Employees!C:C,Employees!B:B,FALSE)</f>
        <v>T005</v>
      </c>
    </row>
    <row r="590" spans="2:8" x14ac:dyDescent="0.25">
      <c r="B590" s="9" t="s">
        <v>1283</v>
      </c>
      <c r="C590" s="9" t="s">
        <v>18</v>
      </c>
      <c r="D590" s="9">
        <v>58000</v>
      </c>
      <c r="E590" s="9" t="s">
        <v>2393</v>
      </c>
      <c r="F590" s="9" t="s">
        <v>64</v>
      </c>
      <c r="G590" s="9" t="s">
        <v>58</v>
      </c>
      <c r="H590" s="9" t="str">
        <f>_xlfn.XLOOKUP(G590,Employees!C:C,Employees!B:B,FALSE)</f>
        <v>T008</v>
      </c>
    </row>
    <row r="591" spans="2:8" x14ac:dyDescent="0.25">
      <c r="B591" s="9" t="s">
        <v>1285</v>
      </c>
      <c r="C591" s="9" t="s">
        <v>18</v>
      </c>
      <c r="D591" s="9">
        <v>41000</v>
      </c>
      <c r="E591" s="9" t="s">
        <v>2394</v>
      </c>
      <c r="F591" s="9" t="s">
        <v>63</v>
      </c>
      <c r="G591" s="9" t="s">
        <v>55</v>
      </c>
      <c r="H591" s="9" t="str">
        <f>_xlfn.XLOOKUP(G591,Employees!C:C,Employees!B:B,FALSE)</f>
        <v>T007</v>
      </c>
    </row>
    <row r="592" spans="2:8" x14ac:dyDescent="0.25">
      <c r="B592" s="9" t="s">
        <v>1287</v>
      </c>
      <c r="C592" s="9" t="s">
        <v>16</v>
      </c>
      <c r="D592" s="9">
        <v>87000</v>
      </c>
      <c r="E592" s="9" t="s">
        <v>2395</v>
      </c>
      <c r="F592" s="9" t="s">
        <v>65</v>
      </c>
      <c r="G592" s="9" t="s">
        <v>51</v>
      </c>
      <c r="H592" s="9" t="str">
        <f>_xlfn.XLOOKUP(G592,Employees!C:C,Employees!B:B,FALSE)</f>
        <v>T005</v>
      </c>
    </row>
    <row r="593" spans="2:8" x14ac:dyDescent="0.25">
      <c r="B593" s="9" t="s">
        <v>1289</v>
      </c>
      <c r="C593" s="9" t="s">
        <v>14</v>
      </c>
      <c r="D593" s="9">
        <v>279000</v>
      </c>
      <c r="E593" s="9" t="s">
        <v>2396</v>
      </c>
      <c r="F593" s="9" t="s">
        <v>64</v>
      </c>
      <c r="G593" s="9" t="s">
        <v>45</v>
      </c>
      <c r="H593" s="9" t="str">
        <f>_xlfn.XLOOKUP(G593,Employees!C:C,Employees!B:B,FALSE)</f>
        <v>T002</v>
      </c>
    </row>
    <row r="594" spans="2:8" x14ac:dyDescent="0.25">
      <c r="B594" s="9" t="s">
        <v>1291</v>
      </c>
      <c r="C594" s="9" t="s">
        <v>18</v>
      </c>
      <c r="D594" s="9">
        <v>168000</v>
      </c>
      <c r="E594" s="9" t="s">
        <v>2396</v>
      </c>
      <c r="F594" s="9" t="s">
        <v>66</v>
      </c>
      <c r="G594" s="9" t="s">
        <v>49</v>
      </c>
      <c r="H594" s="9" t="str">
        <f>_xlfn.XLOOKUP(G594,Employees!C:C,Employees!B:B,FALSE)</f>
        <v>T004</v>
      </c>
    </row>
    <row r="595" spans="2:8" x14ac:dyDescent="0.25">
      <c r="B595" s="9" t="s">
        <v>1292</v>
      </c>
      <c r="C595" s="9" t="s">
        <v>24</v>
      </c>
      <c r="D595" s="9">
        <v>48000</v>
      </c>
      <c r="E595" s="9" t="s">
        <v>2397</v>
      </c>
      <c r="F595" s="9" t="s">
        <v>62</v>
      </c>
      <c r="G595" s="9" t="s">
        <v>58</v>
      </c>
      <c r="H595" s="9" t="str">
        <f>_xlfn.XLOOKUP(G595,Employees!C:C,Employees!B:B,FALSE)</f>
        <v>T008</v>
      </c>
    </row>
    <row r="596" spans="2:8" x14ac:dyDescent="0.25">
      <c r="B596" s="9" t="s">
        <v>1294</v>
      </c>
      <c r="C596" s="9" t="s">
        <v>12</v>
      </c>
      <c r="D596" s="9">
        <v>101000</v>
      </c>
      <c r="E596" s="9" t="s">
        <v>2398</v>
      </c>
      <c r="F596" s="9" t="s">
        <v>62</v>
      </c>
      <c r="G596" s="9" t="s">
        <v>43</v>
      </c>
      <c r="H596" s="9" t="str">
        <f>_xlfn.XLOOKUP(G596,Employees!C:C,Employees!B:B,FALSE)</f>
        <v>T001</v>
      </c>
    </row>
    <row r="597" spans="2:8" x14ac:dyDescent="0.25">
      <c r="B597" s="9" t="s">
        <v>1296</v>
      </c>
      <c r="C597" s="9" t="s">
        <v>16</v>
      </c>
      <c r="D597" s="9">
        <v>287000</v>
      </c>
      <c r="E597" s="9" t="s">
        <v>2398</v>
      </c>
      <c r="F597" s="9" t="s">
        <v>64</v>
      </c>
      <c r="G597" s="9" t="s">
        <v>58</v>
      </c>
      <c r="H597" s="9" t="str">
        <f>_xlfn.XLOOKUP(G597,Employees!C:C,Employees!B:B,FALSE)</f>
        <v>T008</v>
      </c>
    </row>
    <row r="598" spans="2:8" x14ac:dyDescent="0.25">
      <c r="B598" s="9" t="s">
        <v>1297</v>
      </c>
      <c r="C598" s="9" t="s">
        <v>18</v>
      </c>
      <c r="D598" s="9">
        <v>173000</v>
      </c>
      <c r="E598" s="9" t="s">
        <v>2399</v>
      </c>
      <c r="F598" s="9" t="s">
        <v>62</v>
      </c>
      <c r="G598" s="9" t="s">
        <v>43</v>
      </c>
      <c r="H598" s="9" t="str">
        <f>_xlfn.XLOOKUP(G598,Employees!C:C,Employees!B:B,FALSE)</f>
        <v>T001</v>
      </c>
    </row>
    <row r="599" spans="2:8" x14ac:dyDescent="0.25">
      <c r="B599" s="9" t="s">
        <v>1299</v>
      </c>
      <c r="C599" s="9" t="s">
        <v>16</v>
      </c>
      <c r="D599" s="9">
        <v>290000</v>
      </c>
      <c r="E599" s="9" t="s">
        <v>2400</v>
      </c>
      <c r="F599" s="9" t="s">
        <v>64</v>
      </c>
      <c r="G599" s="9" t="s">
        <v>55</v>
      </c>
      <c r="H599" s="9" t="str">
        <f>_xlfn.XLOOKUP(G599,Employees!C:C,Employees!B:B,FALSE)</f>
        <v>T007</v>
      </c>
    </row>
    <row r="600" spans="2:8" x14ac:dyDescent="0.25">
      <c r="B600" s="9" t="s">
        <v>1301</v>
      </c>
      <c r="C600" s="9" t="s">
        <v>22</v>
      </c>
      <c r="D600" s="9">
        <v>299000</v>
      </c>
      <c r="E600" s="9" t="s">
        <v>2400</v>
      </c>
      <c r="F600" s="9" t="s">
        <v>66</v>
      </c>
      <c r="G600" s="9" t="s">
        <v>53</v>
      </c>
      <c r="H600" s="9" t="str">
        <f>_xlfn.XLOOKUP(G600,Employees!C:C,Employees!B:B,FALSE)</f>
        <v>T006</v>
      </c>
    </row>
    <row r="601" spans="2:8" x14ac:dyDescent="0.25">
      <c r="B601" s="9" t="s">
        <v>1302</v>
      </c>
      <c r="C601" s="9" t="s">
        <v>12</v>
      </c>
      <c r="D601" s="9">
        <v>163000</v>
      </c>
      <c r="E601" s="9" t="s">
        <v>2401</v>
      </c>
      <c r="F601" s="9" t="s">
        <v>62</v>
      </c>
      <c r="G601" s="9" t="s">
        <v>43</v>
      </c>
      <c r="H601" s="9" t="str">
        <f>_xlfn.XLOOKUP(G601,Employees!C:C,Employees!B:B,FALSE)</f>
        <v>T001</v>
      </c>
    </row>
    <row r="602" spans="2:8" x14ac:dyDescent="0.25">
      <c r="B602" s="9" t="s">
        <v>1304</v>
      </c>
      <c r="C602" s="9" t="s">
        <v>16</v>
      </c>
      <c r="D602" s="9">
        <v>199000</v>
      </c>
      <c r="E602" s="9" t="s">
        <v>2401</v>
      </c>
      <c r="F602" s="9" t="s">
        <v>65</v>
      </c>
      <c r="G602" s="9" t="s">
        <v>43</v>
      </c>
      <c r="H602" s="9" t="str">
        <f>_xlfn.XLOOKUP(G602,Employees!C:C,Employees!B:B,FALSE)</f>
        <v>T001</v>
      </c>
    </row>
    <row r="603" spans="2:8" x14ac:dyDescent="0.25">
      <c r="B603" s="9" t="s">
        <v>1305</v>
      </c>
      <c r="C603" s="9" t="s">
        <v>12</v>
      </c>
      <c r="D603" s="9">
        <v>251000</v>
      </c>
      <c r="E603" s="9" t="s">
        <v>2402</v>
      </c>
      <c r="F603" s="9" t="s">
        <v>63</v>
      </c>
      <c r="G603" s="9" t="s">
        <v>45</v>
      </c>
      <c r="H603" s="9" t="str">
        <f>_xlfn.XLOOKUP(G603,Employees!C:C,Employees!B:B,FALSE)</f>
        <v>T002</v>
      </c>
    </row>
    <row r="604" spans="2:8" x14ac:dyDescent="0.25">
      <c r="B604" s="9" t="s">
        <v>1307</v>
      </c>
      <c r="C604" s="9" t="s">
        <v>16</v>
      </c>
      <c r="D604" s="9">
        <v>187000</v>
      </c>
      <c r="E604" s="9" t="s">
        <v>2403</v>
      </c>
      <c r="F604" s="9" t="s">
        <v>67</v>
      </c>
      <c r="G604" s="9" t="s">
        <v>49</v>
      </c>
      <c r="H604" s="9" t="str">
        <f>_xlfn.XLOOKUP(G604,Employees!C:C,Employees!B:B,FALSE)</f>
        <v>T004</v>
      </c>
    </row>
    <row r="605" spans="2:8" x14ac:dyDescent="0.25">
      <c r="B605" s="9" t="s">
        <v>1309</v>
      </c>
      <c r="C605" s="9" t="s">
        <v>16</v>
      </c>
      <c r="D605" s="9">
        <v>33000</v>
      </c>
      <c r="E605" s="9" t="s">
        <v>2404</v>
      </c>
      <c r="F605" s="9" t="s">
        <v>66</v>
      </c>
      <c r="G605" s="9" t="s">
        <v>43</v>
      </c>
      <c r="H605" s="9" t="str">
        <f>_xlfn.XLOOKUP(G605,Employees!C:C,Employees!B:B,FALSE)</f>
        <v>T001</v>
      </c>
    </row>
    <row r="606" spans="2:8" x14ac:dyDescent="0.25">
      <c r="B606" s="9" t="s">
        <v>1311</v>
      </c>
      <c r="C606" s="9" t="s">
        <v>16</v>
      </c>
      <c r="D606" s="9">
        <v>176000</v>
      </c>
      <c r="E606" s="9" t="s">
        <v>2405</v>
      </c>
      <c r="F606" s="9" t="s">
        <v>64</v>
      </c>
      <c r="G606" s="9" t="s">
        <v>45</v>
      </c>
      <c r="H606" s="9" t="str">
        <f>_xlfn.XLOOKUP(G606,Employees!C:C,Employees!B:B,FALSE)</f>
        <v>T002</v>
      </c>
    </row>
    <row r="607" spans="2:8" x14ac:dyDescent="0.25">
      <c r="B607" s="9" t="s">
        <v>1313</v>
      </c>
      <c r="C607" s="9" t="s">
        <v>20</v>
      </c>
      <c r="D607" s="9">
        <v>220000</v>
      </c>
      <c r="E607" s="9" t="s">
        <v>2406</v>
      </c>
      <c r="F607" s="9" t="s">
        <v>64</v>
      </c>
      <c r="G607" s="9" t="s">
        <v>55</v>
      </c>
      <c r="H607" s="9" t="str">
        <f>_xlfn.XLOOKUP(G607,Employees!C:C,Employees!B:B,FALSE)</f>
        <v>T007</v>
      </c>
    </row>
    <row r="608" spans="2:8" x14ac:dyDescent="0.25">
      <c r="B608" s="9" t="s">
        <v>1316</v>
      </c>
      <c r="C608" s="9" t="s">
        <v>12</v>
      </c>
      <c r="D608" s="9">
        <v>76000</v>
      </c>
      <c r="E608" s="9" t="s">
        <v>2406</v>
      </c>
      <c r="F608" s="9" t="s">
        <v>66</v>
      </c>
      <c r="G608" s="9" t="s">
        <v>49</v>
      </c>
      <c r="H608" s="9" t="str">
        <f>_xlfn.XLOOKUP(G608,Employees!C:C,Employees!B:B,FALSE)</f>
        <v>T004</v>
      </c>
    </row>
    <row r="609" spans="2:8" x14ac:dyDescent="0.25">
      <c r="B609" s="9" t="s">
        <v>1318</v>
      </c>
      <c r="C609" s="9" t="s">
        <v>14</v>
      </c>
      <c r="D609" s="9">
        <v>187000</v>
      </c>
      <c r="E609" s="9" t="s">
        <v>2406</v>
      </c>
      <c r="F609" s="9" t="s">
        <v>63</v>
      </c>
      <c r="G609" s="9" t="s">
        <v>49</v>
      </c>
      <c r="H609" s="9" t="str">
        <f>_xlfn.XLOOKUP(G609,Employees!C:C,Employees!B:B,FALSE)</f>
        <v>T004</v>
      </c>
    </row>
    <row r="610" spans="2:8" x14ac:dyDescent="0.25">
      <c r="B610" s="9" t="s">
        <v>1319</v>
      </c>
      <c r="C610" s="9" t="s">
        <v>12</v>
      </c>
      <c r="D610" s="9">
        <v>225000</v>
      </c>
      <c r="E610" s="9" t="s">
        <v>2407</v>
      </c>
      <c r="F610" s="9" t="s">
        <v>63</v>
      </c>
      <c r="G610" s="9" t="s">
        <v>47</v>
      </c>
      <c r="H610" s="9" t="str">
        <f>_xlfn.XLOOKUP(G610,Employees!C:C,Employees!B:B,FALSE)</f>
        <v>T003</v>
      </c>
    </row>
    <row r="611" spans="2:8" x14ac:dyDescent="0.25">
      <c r="B611" s="9" t="s">
        <v>1321</v>
      </c>
      <c r="C611" s="9" t="s">
        <v>16</v>
      </c>
      <c r="D611" s="9">
        <v>283000</v>
      </c>
      <c r="E611" s="9" t="s">
        <v>2408</v>
      </c>
      <c r="F611" s="9" t="s">
        <v>67</v>
      </c>
      <c r="G611" s="9" t="s">
        <v>49</v>
      </c>
      <c r="H611" s="9" t="str">
        <f>_xlfn.XLOOKUP(G611,Employees!C:C,Employees!B:B,FALSE)</f>
        <v>T004</v>
      </c>
    </row>
    <row r="612" spans="2:8" x14ac:dyDescent="0.25">
      <c r="B612" s="9" t="s">
        <v>1324</v>
      </c>
      <c r="C612" s="9" t="s">
        <v>22</v>
      </c>
      <c r="D612" s="9">
        <v>225000</v>
      </c>
      <c r="E612" s="9" t="s">
        <v>2409</v>
      </c>
      <c r="F612" s="9" t="s">
        <v>65</v>
      </c>
      <c r="G612" s="9" t="s">
        <v>51</v>
      </c>
      <c r="H612" s="9" t="str">
        <f>_xlfn.XLOOKUP(G612,Employees!C:C,Employees!B:B,FALSE)</f>
        <v>T005</v>
      </c>
    </row>
    <row r="613" spans="2:8" x14ac:dyDescent="0.25">
      <c r="B613" s="9" t="s">
        <v>1326</v>
      </c>
      <c r="C613" s="9" t="s">
        <v>16</v>
      </c>
      <c r="D613" s="9">
        <v>44000</v>
      </c>
      <c r="E613" s="9" t="s">
        <v>2410</v>
      </c>
      <c r="F613" s="9" t="s">
        <v>65</v>
      </c>
      <c r="G613" s="9" t="s">
        <v>43</v>
      </c>
      <c r="H613" s="9" t="str">
        <f>_xlfn.XLOOKUP(G613,Employees!C:C,Employees!B:B,FALSE)</f>
        <v>T001</v>
      </c>
    </row>
    <row r="614" spans="2:8" x14ac:dyDescent="0.25">
      <c r="B614" s="9" t="s">
        <v>1329</v>
      </c>
      <c r="C614" s="9" t="s">
        <v>16</v>
      </c>
      <c r="D614" s="9">
        <v>132000</v>
      </c>
      <c r="E614" s="9" t="s">
        <v>2410</v>
      </c>
      <c r="F614" s="9" t="s">
        <v>62</v>
      </c>
      <c r="G614" s="9" t="s">
        <v>61</v>
      </c>
      <c r="H614" s="9" t="str">
        <f>_xlfn.XLOOKUP(G614,Employees!C:C,Employees!B:B,FALSE)</f>
        <v>T009</v>
      </c>
    </row>
    <row r="615" spans="2:8" x14ac:dyDescent="0.25">
      <c r="B615" s="9" t="s">
        <v>1330</v>
      </c>
      <c r="C615" s="9" t="s">
        <v>12</v>
      </c>
      <c r="D615" s="9">
        <v>202000</v>
      </c>
      <c r="E615" s="9" t="s">
        <v>2410</v>
      </c>
      <c r="F615" s="9" t="s">
        <v>64</v>
      </c>
      <c r="G615" s="9" t="s">
        <v>49</v>
      </c>
      <c r="H615" s="9" t="str">
        <f>_xlfn.XLOOKUP(G615,Employees!C:C,Employees!B:B,FALSE)</f>
        <v>T004</v>
      </c>
    </row>
    <row r="616" spans="2:8" x14ac:dyDescent="0.25">
      <c r="B616" s="9" t="s">
        <v>1331</v>
      </c>
      <c r="C616" s="9" t="s">
        <v>14</v>
      </c>
      <c r="D616" s="9">
        <v>261000</v>
      </c>
      <c r="E616" s="9" t="s">
        <v>2411</v>
      </c>
      <c r="F616" s="9" t="s">
        <v>64</v>
      </c>
      <c r="G616" s="9" t="s">
        <v>58</v>
      </c>
      <c r="H616" s="9" t="str">
        <f>_xlfn.XLOOKUP(G616,Employees!C:C,Employees!B:B,FALSE)</f>
        <v>T008</v>
      </c>
    </row>
    <row r="617" spans="2:8" x14ac:dyDescent="0.25">
      <c r="B617" s="9" t="s">
        <v>1333</v>
      </c>
      <c r="C617" s="9" t="s">
        <v>22</v>
      </c>
      <c r="D617" s="9">
        <v>213000</v>
      </c>
      <c r="E617" s="9" t="s">
        <v>2412</v>
      </c>
      <c r="F617" s="9" t="s">
        <v>67</v>
      </c>
      <c r="G617" s="9" t="s">
        <v>47</v>
      </c>
      <c r="H617" s="9" t="str">
        <f>_xlfn.XLOOKUP(G617,Employees!C:C,Employees!B:B,FALSE)</f>
        <v>T003</v>
      </c>
    </row>
    <row r="618" spans="2:8" x14ac:dyDescent="0.25">
      <c r="B618" s="9" t="s">
        <v>1335</v>
      </c>
      <c r="C618" s="9" t="s">
        <v>24</v>
      </c>
      <c r="D618" s="9">
        <v>296000</v>
      </c>
      <c r="E618" s="9" t="s">
        <v>2413</v>
      </c>
      <c r="F618" s="9" t="s">
        <v>63</v>
      </c>
      <c r="G618" s="9" t="s">
        <v>61</v>
      </c>
      <c r="H618" s="9" t="str">
        <f>_xlfn.XLOOKUP(G618,Employees!C:C,Employees!B:B,FALSE)</f>
        <v>T009</v>
      </c>
    </row>
    <row r="619" spans="2:8" x14ac:dyDescent="0.25">
      <c r="B619" s="9" t="s">
        <v>1337</v>
      </c>
      <c r="C619" s="9" t="s">
        <v>14</v>
      </c>
      <c r="D619" s="9">
        <v>169000</v>
      </c>
      <c r="E619" s="9" t="s">
        <v>2413</v>
      </c>
      <c r="F619" s="9" t="s">
        <v>67</v>
      </c>
      <c r="G619" s="9" t="s">
        <v>43</v>
      </c>
      <c r="H619" s="9" t="str">
        <f>_xlfn.XLOOKUP(G619,Employees!C:C,Employees!B:B,FALSE)</f>
        <v>T001</v>
      </c>
    </row>
    <row r="620" spans="2:8" x14ac:dyDescent="0.25">
      <c r="B620" s="9" t="s">
        <v>1338</v>
      </c>
      <c r="C620" s="9" t="s">
        <v>20</v>
      </c>
      <c r="D620" s="9">
        <v>64000</v>
      </c>
      <c r="E620" s="9" t="s">
        <v>2413</v>
      </c>
      <c r="F620" s="9" t="s">
        <v>64</v>
      </c>
      <c r="G620" s="9" t="s">
        <v>43</v>
      </c>
      <c r="H620" s="9" t="str">
        <f>_xlfn.XLOOKUP(G620,Employees!C:C,Employees!B:B,FALSE)</f>
        <v>T001</v>
      </c>
    </row>
    <row r="621" spans="2:8" x14ac:dyDescent="0.25">
      <c r="B621" s="9" t="s">
        <v>1339</v>
      </c>
      <c r="C621" s="9" t="s">
        <v>20</v>
      </c>
      <c r="D621" s="9">
        <v>101000</v>
      </c>
      <c r="E621" s="9" t="s">
        <v>2414</v>
      </c>
      <c r="F621" s="9" t="s">
        <v>67</v>
      </c>
      <c r="G621" s="9" t="s">
        <v>47</v>
      </c>
      <c r="H621" s="9" t="str">
        <f>_xlfn.XLOOKUP(G621,Employees!C:C,Employees!B:B,FALSE)</f>
        <v>T003</v>
      </c>
    </row>
    <row r="622" spans="2:8" x14ac:dyDescent="0.25">
      <c r="B622" s="9" t="s">
        <v>1341</v>
      </c>
      <c r="C622" s="9" t="s">
        <v>22</v>
      </c>
      <c r="D622" s="9">
        <v>87000</v>
      </c>
      <c r="E622" s="9" t="s">
        <v>2415</v>
      </c>
      <c r="F622" s="9" t="s">
        <v>62</v>
      </c>
      <c r="G622" s="9" t="s">
        <v>49</v>
      </c>
      <c r="H622" s="9" t="str">
        <f>_xlfn.XLOOKUP(G622,Employees!C:C,Employees!B:B,FALSE)</f>
        <v>T004</v>
      </c>
    </row>
    <row r="623" spans="2:8" x14ac:dyDescent="0.25">
      <c r="B623" s="9" t="s">
        <v>1343</v>
      </c>
      <c r="C623" s="9" t="s">
        <v>14</v>
      </c>
      <c r="D623" s="9">
        <v>195000</v>
      </c>
      <c r="E623" s="9" t="s">
        <v>2416</v>
      </c>
      <c r="F623" s="9" t="s">
        <v>64</v>
      </c>
      <c r="G623" s="9" t="s">
        <v>43</v>
      </c>
      <c r="H623" s="9" t="str">
        <f>_xlfn.XLOOKUP(G623,Employees!C:C,Employees!B:B,FALSE)</f>
        <v>T001</v>
      </c>
    </row>
    <row r="624" spans="2:8" x14ac:dyDescent="0.25">
      <c r="B624" s="9" t="s">
        <v>1346</v>
      </c>
      <c r="C624" s="9" t="s">
        <v>16</v>
      </c>
      <c r="D624" s="9">
        <v>103000</v>
      </c>
      <c r="E624" s="9" t="s">
        <v>2417</v>
      </c>
      <c r="F624" s="9" t="s">
        <v>64</v>
      </c>
      <c r="G624" s="9" t="s">
        <v>47</v>
      </c>
      <c r="H624" s="9" t="str">
        <f>_xlfn.XLOOKUP(G624,Employees!C:C,Employees!B:B,FALSE)</f>
        <v>T003</v>
      </c>
    </row>
    <row r="625" spans="2:8" x14ac:dyDescent="0.25">
      <c r="B625" s="9" t="s">
        <v>1348</v>
      </c>
      <c r="C625" s="9" t="s">
        <v>12</v>
      </c>
      <c r="D625" s="9">
        <v>262000</v>
      </c>
      <c r="E625" s="9" t="s">
        <v>2417</v>
      </c>
      <c r="F625" s="9" t="s">
        <v>62</v>
      </c>
      <c r="G625" s="9" t="s">
        <v>43</v>
      </c>
      <c r="H625" s="9" t="str">
        <f>_xlfn.XLOOKUP(G625,Employees!C:C,Employees!B:B,FALSE)</f>
        <v>T001</v>
      </c>
    </row>
    <row r="626" spans="2:8" x14ac:dyDescent="0.25">
      <c r="B626" s="9" t="s">
        <v>1350</v>
      </c>
      <c r="C626" s="9" t="s">
        <v>14</v>
      </c>
      <c r="D626" s="9">
        <v>91000</v>
      </c>
      <c r="E626" s="9" t="s">
        <v>2417</v>
      </c>
      <c r="F626" s="9" t="s">
        <v>67</v>
      </c>
      <c r="G626" s="9" t="s">
        <v>45</v>
      </c>
      <c r="H626" s="9" t="str">
        <f>_xlfn.XLOOKUP(G626,Employees!C:C,Employees!B:B,FALSE)</f>
        <v>T002</v>
      </c>
    </row>
    <row r="627" spans="2:8" x14ac:dyDescent="0.25">
      <c r="B627" s="9" t="s">
        <v>1351</v>
      </c>
      <c r="C627" s="9" t="s">
        <v>20</v>
      </c>
      <c r="D627" s="9">
        <v>78000</v>
      </c>
      <c r="E627" s="9" t="s">
        <v>2418</v>
      </c>
      <c r="F627" s="9" t="s">
        <v>65</v>
      </c>
      <c r="G627" s="9" t="s">
        <v>49</v>
      </c>
      <c r="H627" s="9" t="str">
        <f>_xlfn.XLOOKUP(G627,Employees!C:C,Employees!B:B,FALSE)</f>
        <v>T004</v>
      </c>
    </row>
    <row r="628" spans="2:8" x14ac:dyDescent="0.25">
      <c r="B628" s="9" t="s">
        <v>1353</v>
      </c>
      <c r="C628" s="9" t="s">
        <v>14</v>
      </c>
      <c r="D628" s="9">
        <v>232000</v>
      </c>
      <c r="E628" s="9" t="s">
        <v>2418</v>
      </c>
      <c r="F628" s="9" t="s">
        <v>62</v>
      </c>
      <c r="G628" s="9" t="s">
        <v>55</v>
      </c>
      <c r="H628" s="9" t="str">
        <f>_xlfn.XLOOKUP(G628,Employees!C:C,Employees!B:B,FALSE)</f>
        <v>T007</v>
      </c>
    </row>
    <row r="629" spans="2:8" x14ac:dyDescent="0.25">
      <c r="B629" s="9" t="s">
        <v>1354</v>
      </c>
      <c r="C629" s="9" t="s">
        <v>18</v>
      </c>
      <c r="D629" s="9">
        <v>288000</v>
      </c>
      <c r="E629" s="9" t="s">
        <v>2419</v>
      </c>
      <c r="F629" s="9" t="s">
        <v>67</v>
      </c>
      <c r="G629" s="9" t="s">
        <v>53</v>
      </c>
      <c r="H629" s="9" t="str">
        <f>_xlfn.XLOOKUP(G629,Employees!C:C,Employees!B:B,FALSE)</f>
        <v>T006</v>
      </c>
    </row>
    <row r="630" spans="2:8" x14ac:dyDescent="0.25">
      <c r="B630" s="9" t="s">
        <v>1356</v>
      </c>
      <c r="C630" s="9" t="s">
        <v>24</v>
      </c>
      <c r="D630" s="9">
        <v>58000</v>
      </c>
      <c r="E630" s="9" t="s">
        <v>2420</v>
      </c>
      <c r="F630" s="9" t="s">
        <v>67</v>
      </c>
      <c r="G630" s="9" t="s">
        <v>55</v>
      </c>
      <c r="H630" s="9" t="str">
        <f>_xlfn.XLOOKUP(G630,Employees!C:C,Employees!B:B,FALSE)</f>
        <v>T007</v>
      </c>
    </row>
    <row r="631" spans="2:8" x14ac:dyDescent="0.25">
      <c r="B631" s="9" t="s">
        <v>1358</v>
      </c>
      <c r="C631" s="9" t="s">
        <v>16</v>
      </c>
      <c r="D631" s="9">
        <v>55000</v>
      </c>
      <c r="E631" s="9" t="s">
        <v>2421</v>
      </c>
      <c r="F631" s="9" t="s">
        <v>63</v>
      </c>
      <c r="G631" s="9" t="s">
        <v>45</v>
      </c>
      <c r="H631" s="9" t="str">
        <f>_xlfn.XLOOKUP(G631,Employees!C:C,Employees!B:B,FALSE)</f>
        <v>T002</v>
      </c>
    </row>
    <row r="632" spans="2:8" x14ac:dyDescent="0.25">
      <c r="B632" s="9" t="s">
        <v>1360</v>
      </c>
      <c r="C632" s="9" t="s">
        <v>22</v>
      </c>
      <c r="D632" s="9">
        <v>61000</v>
      </c>
      <c r="E632" s="9" t="s">
        <v>2422</v>
      </c>
      <c r="F632" s="9" t="s">
        <v>66</v>
      </c>
      <c r="G632" s="9" t="s">
        <v>53</v>
      </c>
      <c r="H632" s="9" t="str">
        <f>_xlfn.XLOOKUP(G632,Employees!C:C,Employees!B:B,FALSE)</f>
        <v>T006</v>
      </c>
    </row>
    <row r="633" spans="2:8" x14ac:dyDescent="0.25">
      <c r="B633" s="9" t="s">
        <v>1362</v>
      </c>
      <c r="C633" s="9" t="s">
        <v>14</v>
      </c>
      <c r="D633" s="9">
        <v>211000</v>
      </c>
      <c r="E633" s="9" t="s">
        <v>2423</v>
      </c>
      <c r="F633" s="9" t="s">
        <v>62</v>
      </c>
      <c r="G633" s="9" t="s">
        <v>47</v>
      </c>
      <c r="H633" s="9" t="str">
        <f>_xlfn.XLOOKUP(G633,Employees!C:C,Employees!B:B,FALSE)</f>
        <v>T003</v>
      </c>
    </row>
    <row r="634" spans="2:8" x14ac:dyDescent="0.25">
      <c r="B634" s="9" t="s">
        <v>1364</v>
      </c>
      <c r="C634" s="9" t="s">
        <v>22</v>
      </c>
      <c r="D634" s="9">
        <v>197000</v>
      </c>
      <c r="E634" s="9" t="s">
        <v>2424</v>
      </c>
      <c r="F634" s="9" t="s">
        <v>65</v>
      </c>
      <c r="G634" s="9" t="s">
        <v>58</v>
      </c>
      <c r="H634" s="9" t="str">
        <f>_xlfn.XLOOKUP(G634,Employees!C:C,Employees!B:B,FALSE)</f>
        <v>T008</v>
      </c>
    </row>
    <row r="635" spans="2:8" x14ac:dyDescent="0.25">
      <c r="B635" s="9" t="s">
        <v>1366</v>
      </c>
      <c r="C635" s="9" t="s">
        <v>14</v>
      </c>
      <c r="D635" s="9">
        <v>69000</v>
      </c>
      <c r="E635" s="9" t="s">
        <v>2425</v>
      </c>
      <c r="F635" s="9" t="s">
        <v>66</v>
      </c>
      <c r="G635" s="9" t="s">
        <v>55</v>
      </c>
      <c r="H635" s="9" t="str">
        <f>_xlfn.XLOOKUP(G635,Employees!C:C,Employees!B:B,FALSE)</f>
        <v>T007</v>
      </c>
    </row>
    <row r="636" spans="2:8" x14ac:dyDescent="0.25">
      <c r="B636" s="9" t="s">
        <v>1368</v>
      </c>
      <c r="C636" s="9" t="s">
        <v>22</v>
      </c>
      <c r="D636" s="9">
        <v>123000</v>
      </c>
      <c r="E636" s="9" t="s">
        <v>2426</v>
      </c>
      <c r="F636" s="9" t="s">
        <v>63</v>
      </c>
      <c r="G636" s="9" t="s">
        <v>55</v>
      </c>
      <c r="H636" s="9" t="str">
        <f>_xlfn.XLOOKUP(G636,Employees!C:C,Employees!B:B,FALSE)</f>
        <v>T007</v>
      </c>
    </row>
    <row r="637" spans="2:8" x14ac:dyDescent="0.25">
      <c r="B637" s="9" t="s">
        <v>1370</v>
      </c>
      <c r="C637" s="9" t="s">
        <v>12</v>
      </c>
      <c r="D637" s="9">
        <v>157000</v>
      </c>
      <c r="E637" s="9" t="s">
        <v>2427</v>
      </c>
      <c r="F637" s="9" t="s">
        <v>63</v>
      </c>
      <c r="G637" s="9" t="s">
        <v>49</v>
      </c>
      <c r="H637" s="9" t="str">
        <f>_xlfn.XLOOKUP(G637,Employees!C:C,Employees!B:B,FALSE)</f>
        <v>T004</v>
      </c>
    </row>
    <row r="638" spans="2:8" x14ac:dyDescent="0.25">
      <c r="B638" s="9" t="s">
        <v>1372</v>
      </c>
      <c r="C638" s="9" t="s">
        <v>24</v>
      </c>
      <c r="D638" s="9">
        <v>110000</v>
      </c>
      <c r="E638" s="9" t="s">
        <v>2428</v>
      </c>
      <c r="F638" s="9" t="s">
        <v>64</v>
      </c>
      <c r="G638" s="9" t="s">
        <v>53</v>
      </c>
      <c r="H638" s="9" t="str">
        <f>_xlfn.XLOOKUP(G638,Employees!C:C,Employees!B:B,FALSE)</f>
        <v>T006</v>
      </c>
    </row>
    <row r="639" spans="2:8" x14ac:dyDescent="0.25">
      <c r="B639" s="9" t="s">
        <v>1374</v>
      </c>
      <c r="C639" s="9" t="s">
        <v>22</v>
      </c>
      <c r="D639" s="9">
        <v>167000</v>
      </c>
      <c r="E639" s="9" t="s">
        <v>2429</v>
      </c>
      <c r="F639" s="9" t="s">
        <v>64</v>
      </c>
      <c r="G639" s="9" t="s">
        <v>55</v>
      </c>
      <c r="H639" s="9" t="str">
        <f>_xlfn.XLOOKUP(G639,Employees!C:C,Employees!B:B,FALSE)</f>
        <v>T007</v>
      </c>
    </row>
    <row r="640" spans="2:8" x14ac:dyDescent="0.25">
      <c r="B640" s="9" t="s">
        <v>1376</v>
      </c>
      <c r="C640" s="9" t="s">
        <v>24</v>
      </c>
      <c r="D640" s="9">
        <v>161000</v>
      </c>
      <c r="E640" s="9" t="s">
        <v>2429</v>
      </c>
      <c r="F640" s="9" t="s">
        <v>67</v>
      </c>
      <c r="G640" s="9" t="s">
        <v>51</v>
      </c>
      <c r="H640" s="9" t="str">
        <f>_xlfn.XLOOKUP(G640,Employees!C:C,Employees!B:B,FALSE)</f>
        <v>T005</v>
      </c>
    </row>
    <row r="641" spans="2:8" x14ac:dyDescent="0.25">
      <c r="B641" s="9" t="s">
        <v>1377</v>
      </c>
      <c r="C641" s="9" t="s">
        <v>12</v>
      </c>
      <c r="D641" s="9">
        <v>241000</v>
      </c>
      <c r="E641" s="9" t="s">
        <v>2430</v>
      </c>
      <c r="F641" s="9" t="s">
        <v>67</v>
      </c>
      <c r="G641" s="9" t="s">
        <v>47</v>
      </c>
      <c r="H641" s="9" t="str">
        <f>_xlfn.XLOOKUP(G641,Employees!C:C,Employees!B:B,FALSE)</f>
        <v>T003</v>
      </c>
    </row>
    <row r="642" spans="2:8" x14ac:dyDescent="0.25">
      <c r="B642" s="9" t="s">
        <v>1379</v>
      </c>
      <c r="C642" s="9" t="s">
        <v>16</v>
      </c>
      <c r="D642" s="9">
        <v>216000</v>
      </c>
      <c r="E642" s="9" t="s">
        <v>2430</v>
      </c>
      <c r="F642" s="9" t="s">
        <v>67</v>
      </c>
      <c r="G642" s="9" t="s">
        <v>51</v>
      </c>
      <c r="H642" s="9" t="str">
        <f>_xlfn.XLOOKUP(G642,Employees!C:C,Employees!B:B,FALSE)</f>
        <v>T005</v>
      </c>
    </row>
    <row r="643" spans="2:8" x14ac:dyDescent="0.25">
      <c r="B643" s="9" t="s">
        <v>1380</v>
      </c>
      <c r="C643" s="9" t="s">
        <v>14</v>
      </c>
      <c r="D643" s="9">
        <v>39000</v>
      </c>
      <c r="E643" s="9" t="s">
        <v>2431</v>
      </c>
      <c r="F643" s="9" t="s">
        <v>62</v>
      </c>
      <c r="G643" s="9" t="s">
        <v>53</v>
      </c>
      <c r="H643" s="9" t="str">
        <f>_xlfn.XLOOKUP(G643,Employees!C:C,Employees!B:B,FALSE)</f>
        <v>T006</v>
      </c>
    </row>
    <row r="644" spans="2:8" x14ac:dyDescent="0.25">
      <c r="B644" s="9" t="s">
        <v>1383</v>
      </c>
      <c r="C644" s="9" t="s">
        <v>18</v>
      </c>
      <c r="D644" s="9">
        <v>152000</v>
      </c>
      <c r="E644" s="9" t="s">
        <v>2432</v>
      </c>
      <c r="F644" s="9" t="s">
        <v>63</v>
      </c>
      <c r="G644" s="9" t="s">
        <v>55</v>
      </c>
      <c r="H644" s="9" t="str">
        <f>_xlfn.XLOOKUP(G644,Employees!C:C,Employees!B:B,FALSE)</f>
        <v>T007</v>
      </c>
    </row>
    <row r="645" spans="2:8" x14ac:dyDescent="0.25">
      <c r="B645" s="9" t="s">
        <v>1385</v>
      </c>
      <c r="C645" s="9" t="s">
        <v>22</v>
      </c>
      <c r="D645" s="9">
        <v>61000</v>
      </c>
      <c r="E645" s="9" t="s">
        <v>2433</v>
      </c>
      <c r="F645" s="9" t="s">
        <v>67</v>
      </c>
      <c r="G645" s="9" t="s">
        <v>47</v>
      </c>
      <c r="H645" s="9" t="str">
        <f>_xlfn.XLOOKUP(G645,Employees!C:C,Employees!B:B,FALSE)</f>
        <v>T003</v>
      </c>
    </row>
    <row r="646" spans="2:8" x14ac:dyDescent="0.25">
      <c r="B646" s="9" t="s">
        <v>1387</v>
      </c>
      <c r="C646" s="9" t="s">
        <v>12</v>
      </c>
      <c r="D646" s="9">
        <v>41000</v>
      </c>
      <c r="E646" s="9" t="s">
        <v>2433</v>
      </c>
      <c r="F646" s="9" t="s">
        <v>64</v>
      </c>
      <c r="G646" s="9" t="s">
        <v>58</v>
      </c>
      <c r="H646" s="9" t="str">
        <f>_xlfn.XLOOKUP(G646,Employees!C:C,Employees!B:B,FALSE)</f>
        <v>T008</v>
      </c>
    </row>
    <row r="647" spans="2:8" x14ac:dyDescent="0.25">
      <c r="B647" s="9" t="s">
        <v>1388</v>
      </c>
      <c r="C647" s="9" t="s">
        <v>16</v>
      </c>
      <c r="D647" s="9">
        <v>102000</v>
      </c>
      <c r="E647" s="9" t="s">
        <v>2434</v>
      </c>
      <c r="F647" s="9" t="s">
        <v>66</v>
      </c>
      <c r="G647" s="9" t="s">
        <v>49</v>
      </c>
      <c r="H647" s="9" t="str">
        <f>_xlfn.XLOOKUP(G647,Employees!C:C,Employees!B:B,FALSE)</f>
        <v>T004</v>
      </c>
    </row>
    <row r="648" spans="2:8" x14ac:dyDescent="0.25">
      <c r="B648" s="9" t="s">
        <v>1390</v>
      </c>
      <c r="C648" s="9" t="s">
        <v>14</v>
      </c>
      <c r="D648" s="9">
        <v>79000</v>
      </c>
      <c r="E648" s="9" t="s">
        <v>2435</v>
      </c>
      <c r="F648" s="9" t="s">
        <v>65</v>
      </c>
      <c r="G648" s="9" t="s">
        <v>45</v>
      </c>
      <c r="H648" s="9" t="str">
        <f>_xlfn.XLOOKUP(G648,Employees!C:C,Employees!B:B,FALSE)</f>
        <v>T002</v>
      </c>
    </row>
    <row r="649" spans="2:8" x14ac:dyDescent="0.25">
      <c r="B649" s="9" t="s">
        <v>1392</v>
      </c>
      <c r="C649" s="9" t="s">
        <v>12</v>
      </c>
      <c r="D649" s="9">
        <v>47000</v>
      </c>
      <c r="E649" s="9" t="s">
        <v>2435</v>
      </c>
      <c r="F649" s="9" t="s">
        <v>62</v>
      </c>
      <c r="G649" s="9" t="s">
        <v>58</v>
      </c>
      <c r="H649" s="9" t="str">
        <f>_xlfn.XLOOKUP(G649,Employees!C:C,Employees!B:B,FALSE)</f>
        <v>T008</v>
      </c>
    </row>
    <row r="650" spans="2:8" x14ac:dyDescent="0.25">
      <c r="B650" s="9" t="s">
        <v>1393</v>
      </c>
      <c r="C650" s="9" t="s">
        <v>18</v>
      </c>
      <c r="D650" s="9">
        <v>91000</v>
      </c>
      <c r="E650" s="9" t="s">
        <v>2436</v>
      </c>
      <c r="F650" s="9" t="s">
        <v>66</v>
      </c>
      <c r="G650" s="9" t="s">
        <v>51</v>
      </c>
      <c r="H650" s="9" t="str">
        <f>_xlfn.XLOOKUP(G650,Employees!C:C,Employees!B:B,FALSE)</f>
        <v>T005</v>
      </c>
    </row>
    <row r="651" spans="2:8" x14ac:dyDescent="0.25">
      <c r="B651" s="9" t="s">
        <v>1395</v>
      </c>
      <c r="C651" s="9" t="s">
        <v>22</v>
      </c>
      <c r="D651" s="9">
        <v>65000</v>
      </c>
      <c r="E651" s="9" t="s">
        <v>2437</v>
      </c>
      <c r="F651" s="9" t="s">
        <v>66</v>
      </c>
      <c r="G651" s="9" t="s">
        <v>55</v>
      </c>
      <c r="H651" s="9" t="str">
        <f>_xlfn.XLOOKUP(G651,Employees!C:C,Employees!B:B,FALSE)</f>
        <v>T007</v>
      </c>
    </row>
    <row r="652" spans="2:8" x14ac:dyDescent="0.25">
      <c r="B652" s="9" t="s">
        <v>1397</v>
      </c>
      <c r="C652" s="9" t="s">
        <v>20</v>
      </c>
      <c r="D652" s="9">
        <v>125000</v>
      </c>
      <c r="E652" s="9" t="s">
        <v>2438</v>
      </c>
      <c r="F652" s="9" t="s">
        <v>64</v>
      </c>
      <c r="G652" s="9" t="s">
        <v>55</v>
      </c>
      <c r="H652" s="9" t="str">
        <f>_xlfn.XLOOKUP(G652,Employees!C:C,Employees!B:B,FALSE)</f>
        <v>T007</v>
      </c>
    </row>
    <row r="653" spans="2:8" x14ac:dyDescent="0.25">
      <c r="B653" s="9" t="s">
        <v>1399</v>
      </c>
      <c r="C653" s="9" t="s">
        <v>20</v>
      </c>
      <c r="D653" s="9">
        <v>198000</v>
      </c>
      <c r="E653" s="9" t="s">
        <v>2439</v>
      </c>
      <c r="F653" s="9" t="s">
        <v>64</v>
      </c>
      <c r="G653" s="9" t="s">
        <v>47</v>
      </c>
      <c r="H653" s="9" t="str">
        <f>_xlfn.XLOOKUP(G653,Employees!C:C,Employees!B:B,FALSE)</f>
        <v>T003</v>
      </c>
    </row>
    <row r="654" spans="2:8" x14ac:dyDescent="0.25">
      <c r="B654" s="9" t="s">
        <v>1401</v>
      </c>
      <c r="C654" s="9" t="s">
        <v>22</v>
      </c>
      <c r="D654" s="9">
        <v>116000</v>
      </c>
      <c r="E654" s="9" t="s">
        <v>2440</v>
      </c>
      <c r="F654" s="9" t="s">
        <v>67</v>
      </c>
      <c r="G654" s="9" t="s">
        <v>49</v>
      </c>
      <c r="H654" s="9" t="str">
        <f>_xlfn.XLOOKUP(G654,Employees!C:C,Employees!B:B,FALSE)</f>
        <v>T004</v>
      </c>
    </row>
    <row r="655" spans="2:8" x14ac:dyDescent="0.25">
      <c r="B655" s="9" t="s">
        <v>1403</v>
      </c>
      <c r="C655" s="9" t="s">
        <v>16</v>
      </c>
      <c r="D655" s="9">
        <v>255000</v>
      </c>
      <c r="E655" s="9" t="s">
        <v>2440</v>
      </c>
      <c r="F655" s="9" t="s">
        <v>65</v>
      </c>
      <c r="G655" s="9" t="s">
        <v>49</v>
      </c>
      <c r="H655" s="9" t="str">
        <f>_xlfn.XLOOKUP(G655,Employees!C:C,Employees!B:B,FALSE)</f>
        <v>T004</v>
      </c>
    </row>
    <row r="656" spans="2:8" x14ac:dyDescent="0.25">
      <c r="B656" s="9" t="s">
        <v>1404</v>
      </c>
      <c r="C656" s="9" t="s">
        <v>24</v>
      </c>
      <c r="D656" s="9">
        <v>120000</v>
      </c>
      <c r="E656" s="9" t="s">
        <v>2441</v>
      </c>
      <c r="F656" s="9" t="s">
        <v>66</v>
      </c>
      <c r="G656" s="9" t="s">
        <v>55</v>
      </c>
      <c r="H656" s="9" t="str">
        <f>_xlfn.XLOOKUP(G656,Employees!C:C,Employees!B:B,FALSE)</f>
        <v>T007</v>
      </c>
    </row>
    <row r="657" spans="2:8" x14ac:dyDescent="0.25">
      <c r="B657" s="9" t="s">
        <v>1406</v>
      </c>
      <c r="C657" s="9" t="s">
        <v>12</v>
      </c>
      <c r="D657" s="9">
        <v>68000</v>
      </c>
      <c r="E657" s="9" t="s">
        <v>2442</v>
      </c>
      <c r="F657" s="9" t="s">
        <v>63</v>
      </c>
      <c r="G657" s="9" t="s">
        <v>47</v>
      </c>
      <c r="H657" s="9" t="str">
        <f>_xlfn.XLOOKUP(G657,Employees!C:C,Employees!B:B,FALSE)</f>
        <v>T003</v>
      </c>
    </row>
    <row r="658" spans="2:8" x14ac:dyDescent="0.25">
      <c r="B658" s="9" t="s">
        <v>1408</v>
      </c>
      <c r="C658" s="9" t="s">
        <v>18</v>
      </c>
      <c r="D658" s="9">
        <v>67000</v>
      </c>
      <c r="E658" s="9" t="s">
        <v>2442</v>
      </c>
      <c r="F658" s="9" t="s">
        <v>65</v>
      </c>
      <c r="G658" s="9" t="s">
        <v>53</v>
      </c>
      <c r="H658" s="9" t="str">
        <f>_xlfn.XLOOKUP(G658,Employees!C:C,Employees!B:B,FALSE)</f>
        <v>T006</v>
      </c>
    </row>
    <row r="659" spans="2:8" x14ac:dyDescent="0.25">
      <c r="B659" s="9" t="s">
        <v>1410</v>
      </c>
      <c r="C659" s="9" t="s">
        <v>12</v>
      </c>
      <c r="D659" s="9">
        <v>173000</v>
      </c>
      <c r="E659" s="9" t="s">
        <v>2443</v>
      </c>
      <c r="F659" s="9" t="s">
        <v>67</v>
      </c>
      <c r="G659" s="9" t="s">
        <v>47</v>
      </c>
      <c r="H659" s="9" t="str">
        <f>_xlfn.XLOOKUP(G659,Employees!C:C,Employees!B:B,FALSE)</f>
        <v>T003</v>
      </c>
    </row>
    <row r="660" spans="2:8" x14ac:dyDescent="0.25">
      <c r="B660" s="9" t="s">
        <v>1412</v>
      </c>
      <c r="C660" s="9" t="s">
        <v>20</v>
      </c>
      <c r="D660" s="9">
        <v>178000</v>
      </c>
      <c r="E660" s="9" t="s">
        <v>2443</v>
      </c>
      <c r="F660" s="9" t="s">
        <v>66</v>
      </c>
      <c r="G660" s="9" t="s">
        <v>45</v>
      </c>
      <c r="H660" s="9" t="str">
        <f>_xlfn.XLOOKUP(G660,Employees!C:C,Employees!B:B,FALSE)</f>
        <v>T002</v>
      </c>
    </row>
    <row r="661" spans="2:8" x14ac:dyDescent="0.25">
      <c r="B661" s="9" t="s">
        <v>1413</v>
      </c>
      <c r="C661" s="9" t="s">
        <v>22</v>
      </c>
      <c r="D661" s="9">
        <v>252000</v>
      </c>
      <c r="E661" s="9" t="s">
        <v>2444</v>
      </c>
      <c r="F661" s="9" t="s">
        <v>66</v>
      </c>
      <c r="G661" s="9" t="s">
        <v>61</v>
      </c>
      <c r="H661" s="9" t="str">
        <f>_xlfn.XLOOKUP(G661,Employees!C:C,Employees!B:B,FALSE)</f>
        <v>T009</v>
      </c>
    </row>
    <row r="662" spans="2:8" x14ac:dyDescent="0.25">
      <c r="B662" s="9" t="s">
        <v>1415</v>
      </c>
      <c r="C662" s="9" t="s">
        <v>14</v>
      </c>
      <c r="D662" s="9">
        <v>217000</v>
      </c>
      <c r="E662" s="9" t="s">
        <v>2445</v>
      </c>
      <c r="F662" s="9" t="s">
        <v>62</v>
      </c>
      <c r="G662" s="9" t="s">
        <v>55</v>
      </c>
      <c r="H662" s="9" t="str">
        <f>_xlfn.XLOOKUP(G662,Employees!C:C,Employees!B:B,FALSE)</f>
        <v>T007</v>
      </c>
    </row>
    <row r="663" spans="2:8" x14ac:dyDescent="0.25">
      <c r="B663" s="9" t="s">
        <v>1417</v>
      </c>
      <c r="C663" s="9" t="s">
        <v>12</v>
      </c>
      <c r="D663" s="9">
        <v>224000</v>
      </c>
      <c r="E663" s="9" t="s">
        <v>2446</v>
      </c>
      <c r="F663" s="9" t="s">
        <v>67</v>
      </c>
      <c r="G663" s="9" t="s">
        <v>47</v>
      </c>
      <c r="H663" s="9" t="str">
        <f>_xlfn.XLOOKUP(G663,Employees!C:C,Employees!B:B,FALSE)</f>
        <v>T003</v>
      </c>
    </row>
    <row r="664" spans="2:8" x14ac:dyDescent="0.25">
      <c r="B664" s="9" t="s">
        <v>1419</v>
      </c>
      <c r="C664" s="9" t="s">
        <v>12</v>
      </c>
      <c r="D664" s="9">
        <v>252000</v>
      </c>
      <c r="E664" s="9" t="s">
        <v>2447</v>
      </c>
      <c r="F664" s="9" t="s">
        <v>67</v>
      </c>
      <c r="G664" s="9" t="s">
        <v>51</v>
      </c>
      <c r="H664" s="9" t="str">
        <f>_xlfn.XLOOKUP(G664,Employees!C:C,Employees!B:B,FALSE)</f>
        <v>T005</v>
      </c>
    </row>
    <row r="665" spans="2:8" x14ac:dyDescent="0.25">
      <c r="B665" s="9" t="s">
        <v>1421</v>
      </c>
      <c r="C665" s="9" t="s">
        <v>14</v>
      </c>
      <c r="D665" s="9">
        <v>130000</v>
      </c>
      <c r="E665" s="9" t="s">
        <v>2447</v>
      </c>
      <c r="F665" s="9" t="s">
        <v>63</v>
      </c>
      <c r="G665" s="9" t="s">
        <v>53</v>
      </c>
      <c r="H665" s="9" t="str">
        <f>_xlfn.XLOOKUP(G665,Employees!C:C,Employees!B:B,FALSE)</f>
        <v>T006</v>
      </c>
    </row>
    <row r="666" spans="2:8" x14ac:dyDescent="0.25">
      <c r="B666" s="9" t="s">
        <v>1422</v>
      </c>
      <c r="C666" s="9" t="s">
        <v>22</v>
      </c>
      <c r="D666" s="9">
        <v>297000</v>
      </c>
      <c r="E666" s="9" t="s">
        <v>2448</v>
      </c>
      <c r="F666" s="9" t="s">
        <v>63</v>
      </c>
      <c r="G666" s="9" t="s">
        <v>45</v>
      </c>
      <c r="H666" s="9" t="str">
        <f>_xlfn.XLOOKUP(G666,Employees!C:C,Employees!B:B,FALSE)</f>
        <v>T002</v>
      </c>
    </row>
    <row r="667" spans="2:8" x14ac:dyDescent="0.25">
      <c r="B667" s="9" t="s">
        <v>1424</v>
      </c>
      <c r="C667" s="9" t="s">
        <v>18</v>
      </c>
      <c r="D667" s="9">
        <v>179000</v>
      </c>
      <c r="E667" s="9" t="s">
        <v>2449</v>
      </c>
      <c r="F667" s="9" t="s">
        <v>63</v>
      </c>
      <c r="G667" s="9" t="s">
        <v>51</v>
      </c>
      <c r="H667" s="9" t="str">
        <f>_xlfn.XLOOKUP(G667,Employees!C:C,Employees!B:B,FALSE)</f>
        <v>T005</v>
      </c>
    </row>
    <row r="668" spans="2:8" x14ac:dyDescent="0.25">
      <c r="B668" s="9" t="s">
        <v>1426</v>
      </c>
      <c r="C668" s="9" t="s">
        <v>20</v>
      </c>
      <c r="D668" s="9">
        <v>264000</v>
      </c>
      <c r="E668" s="9" t="s">
        <v>2449</v>
      </c>
      <c r="F668" s="9" t="s">
        <v>67</v>
      </c>
      <c r="G668" s="9" t="s">
        <v>61</v>
      </c>
      <c r="H668" s="9" t="str">
        <f>_xlfn.XLOOKUP(G668,Employees!C:C,Employees!B:B,FALSE)</f>
        <v>T009</v>
      </c>
    </row>
    <row r="669" spans="2:8" x14ac:dyDescent="0.25">
      <c r="B669" s="9" t="s">
        <v>1427</v>
      </c>
      <c r="C669" s="9" t="s">
        <v>18</v>
      </c>
      <c r="D669" s="9">
        <v>212000</v>
      </c>
      <c r="E669" s="9" t="s">
        <v>2450</v>
      </c>
      <c r="F669" s="9" t="s">
        <v>67</v>
      </c>
      <c r="G669" s="9" t="s">
        <v>51</v>
      </c>
      <c r="H669" s="9" t="str">
        <f>_xlfn.XLOOKUP(G669,Employees!C:C,Employees!B:B,FALSE)</f>
        <v>T005</v>
      </c>
    </row>
    <row r="670" spans="2:8" x14ac:dyDescent="0.25">
      <c r="B670" s="9" t="s">
        <v>1429</v>
      </c>
      <c r="C670" s="9" t="s">
        <v>16</v>
      </c>
      <c r="D670" s="9">
        <v>153000</v>
      </c>
      <c r="E670" s="9" t="s">
        <v>2451</v>
      </c>
      <c r="F670" s="9" t="s">
        <v>65</v>
      </c>
      <c r="G670" s="9" t="s">
        <v>49</v>
      </c>
      <c r="H670" s="9" t="str">
        <f>_xlfn.XLOOKUP(G670,Employees!C:C,Employees!B:B,FALSE)</f>
        <v>T004</v>
      </c>
    </row>
    <row r="671" spans="2:8" x14ac:dyDescent="0.25">
      <c r="B671" s="9" t="s">
        <v>1431</v>
      </c>
      <c r="C671" s="9" t="s">
        <v>12</v>
      </c>
      <c r="D671" s="9">
        <v>176000</v>
      </c>
      <c r="E671" s="9" t="s">
        <v>2451</v>
      </c>
      <c r="F671" s="9" t="s">
        <v>67</v>
      </c>
      <c r="G671" s="9" t="s">
        <v>61</v>
      </c>
      <c r="H671" s="9" t="str">
        <f>_xlfn.XLOOKUP(G671,Employees!C:C,Employees!B:B,FALSE)</f>
        <v>T009</v>
      </c>
    </row>
    <row r="672" spans="2:8" x14ac:dyDescent="0.25">
      <c r="B672" s="9" t="s">
        <v>1432</v>
      </c>
      <c r="C672" s="9" t="s">
        <v>20</v>
      </c>
      <c r="D672" s="9">
        <v>38000</v>
      </c>
      <c r="E672" s="9" t="s">
        <v>2452</v>
      </c>
      <c r="F672" s="9" t="s">
        <v>67</v>
      </c>
      <c r="G672" s="9" t="s">
        <v>43</v>
      </c>
      <c r="H672" s="9" t="str">
        <f>_xlfn.XLOOKUP(G672,Employees!C:C,Employees!B:B,FALSE)</f>
        <v>T001</v>
      </c>
    </row>
    <row r="673" spans="2:8" x14ac:dyDescent="0.25">
      <c r="B673" s="9" t="s">
        <v>1434</v>
      </c>
      <c r="C673" s="9" t="s">
        <v>20</v>
      </c>
      <c r="D673" s="9">
        <v>153000</v>
      </c>
      <c r="E673" s="9" t="s">
        <v>2452</v>
      </c>
      <c r="F673" s="9" t="s">
        <v>63</v>
      </c>
      <c r="G673" s="9" t="s">
        <v>61</v>
      </c>
      <c r="H673" s="9" t="str">
        <f>_xlfn.XLOOKUP(G673,Employees!C:C,Employees!B:B,FALSE)</f>
        <v>T009</v>
      </c>
    </row>
    <row r="674" spans="2:8" x14ac:dyDescent="0.25">
      <c r="B674" s="9" t="s">
        <v>1435</v>
      </c>
      <c r="C674" s="9" t="s">
        <v>16</v>
      </c>
      <c r="D674" s="9">
        <v>166000</v>
      </c>
      <c r="E674" s="9" t="s">
        <v>2453</v>
      </c>
      <c r="F674" s="9" t="s">
        <v>63</v>
      </c>
      <c r="G674" s="9" t="s">
        <v>53</v>
      </c>
      <c r="H674" s="9" t="str">
        <f>_xlfn.XLOOKUP(G674,Employees!C:C,Employees!B:B,FALSE)</f>
        <v>T006</v>
      </c>
    </row>
    <row r="675" spans="2:8" x14ac:dyDescent="0.25">
      <c r="B675" s="9" t="s">
        <v>1437</v>
      </c>
      <c r="C675" s="9" t="s">
        <v>18</v>
      </c>
      <c r="D675" s="9">
        <v>269000</v>
      </c>
      <c r="E675" s="9" t="s">
        <v>2454</v>
      </c>
      <c r="F675" s="9" t="s">
        <v>67</v>
      </c>
      <c r="G675" s="9" t="s">
        <v>47</v>
      </c>
      <c r="H675" s="9" t="str">
        <f>_xlfn.XLOOKUP(G675,Employees!C:C,Employees!B:B,FALSE)</f>
        <v>T003</v>
      </c>
    </row>
    <row r="676" spans="2:8" x14ac:dyDescent="0.25">
      <c r="B676" s="9" t="s">
        <v>1439</v>
      </c>
      <c r="C676" s="9" t="s">
        <v>14</v>
      </c>
      <c r="D676" s="9">
        <v>69000</v>
      </c>
      <c r="E676" s="9" t="s">
        <v>2454</v>
      </c>
      <c r="F676" s="9" t="s">
        <v>64</v>
      </c>
      <c r="G676" s="9" t="s">
        <v>55</v>
      </c>
      <c r="H676" s="9" t="str">
        <f>_xlfn.XLOOKUP(G676,Employees!C:C,Employees!B:B,FALSE)</f>
        <v>T007</v>
      </c>
    </row>
    <row r="677" spans="2:8" x14ac:dyDescent="0.25">
      <c r="B677" s="9" t="s">
        <v>1440</v>
      </c>
      <c r="C677" s="9" t="s">
        <v>16</v>
      </c>
      <c r="D677" s="9">
        <v>276000</v>
      </c>
      <c r="E677" s="9" t="s">
        <v>2455</v>
      </c>
      <c r="F677" s="9" t="s">
        <v>65</v>
      </c>
      <c r="G677" s="9" t="s">
        <v>47</v>
      </c>
      <c r="H677" s="9" t="str">
        <f>_xlfn.XLOOKUP(G677,Employees!C:C,Employees!B:B,FALSE)</f>
        <v>T003</v>
      </c>
    </row>
    <row r="678" spans="2:8" x14ac:dyDescent="0.25">
      <c r="B678" s="9" t="s">
        <v>1442</v>
      </c>
      <c r="C678" s="9" t="s">
        <v>16</v>
      </c>
      <c r="D678" s="9">
        <v>50000</v>
      </c>
      <c r="E678" s="9" t="s">
        <v>2455</v>
      </c>
      <c r="F678" s="9" t="s">
        <v>66</v>
      </c>
      <c r="G678" s="9" t="s">
        <v>45</v>
      </c>
      <c r="H678" s="9" t="str">
        <f>_xlfn.XLOOKUP(G678,Employees!C:C,Employees!B:B,FALSE)</f>
        <v>T002</v>
      </c>
    </row>
    <row r="679" spans="2:8" x14ac:dyDescent="0.25">
      <c r="B679" s="9" t="s">
        <v>1444</v>
      </c>
      <c r="C679" s="9" t="s">
        <v>18</v>
      </c>
      <c r="D679" s="9">
        <v>79000</v>
      </c>
      <c r="E679" s="9" t="s">
        <v>2456</v>
      </c>
      <c r="F679" s="9" t="s">
        <v>65</v>
      </c>
      <c r="G679" s="9" t="s">
        <v>47</v>
      </c>
      <c r="H679" s="9" t="str">
        <f>_xlfn.XLOOKUP(G679,Employees!C:C,Employees!B:B,FALSE)</f>
        <v>T003</v>
      </c>
    </row>
    <row r="680" spans="2:8" x14ac:dyDescent="0.25">
      <c r="B680" s="9" t="s">
        <v>1446</v>
      </c>
      <c r="C680" s="9" t="s">
        <v>16</v>
      </c>
      <c r="D680" s="9">
        <v>266000</v>
      </c>
      <c r="E680" s="9" t="s">
        <v>2457</v>
      </c>
      <c r="F680" s="9" t="s">
        <v>67</v>
      </c>
      <c r="G680" s="9" t="s">
        <v>53</v>
      </c>
      <c r="H680" s="9" t="str">
        <f>_xlfn.XLOOKUP(G680,Employees!C:C,Employees!B:B,FALSE)</f>
        <v>T006</v>
      </c>
    </row>
    <row r="681" spans="2:8" x14ac:dyDescent="0.25">
      <c r="B681" s="9" t="s">
        <v>1448</v>
      </c>
      <c r="C681" s="9" t="s">
        <v>16</v>
      </c>
      <c r="D681" s="9">
        <v>249000</v>
      </c>
      <c r="E681" s="9" t="s">
        <v>2457</v>
      </c>
      <c r="F681" s="9" t="s">
        <v>63</v>
      </c>
      <c r="G681" s="9" t="s">
        <v>55</v>
      </c>
      <c r="H681" s="9" t="str">
        <f>_xlfn.XLOOKUP(G681,Employees!C:C,Employees!B:B,FALSE)</f>
        <v>T007</v>
      </c>
    </row>
    <row r="682" spans="2:8" x14ac:dyDescent="0.25">
      <c r="B682" s="9" t="s">
        <v>1449</v>
      </c>
      <c r="C682" s="9" t="s">
        <v>16</v>
      </c>
      <c r="D682" s="9">
        <v>98000</v>
      </c>
      <c r="E682" s="9" t="s">
        <v>2457</v>
      </c>
      <c r="F682" s="9" t="s">
        <v>67</v>
      </c>
      <c r="G682" s="9" t="s">
        <v>53</v>
      </c>
      <c r="H682" s="9" t="str">
        <f>_xlfn.XLOOKUP(G682,Employees!C:C,Employees!B:B,FALSE)</f>
        <v>T006</v>
      </c>
    </row>
    <row r="683" spans="2:8" x14ac:dyDescent="0.25">
      <c r="B683" s="9" t="s">
        <v>1450</v>
      </c>
      <c r="C683" s="9" t="s">
        <v>16</v>
      </c>
      <c r="D683" s="9">
        <v>161000</v>
      </c>
      <c r="E683" s="9" t="s">
        <v>2457</v>
      </c>
      <c r="F683" s="9" t="s">
        <v>67</v>
      </c>
      <c r="G683" s="9" t="s">
        <v>47</v>
      </c>
      <c r="H683" s="9" t="str">
        <f>_xlfn.XLOOKUP(G683,Employees!C:C,Employees!B:B,FALSE)</f>
        <v>T003</v>
      </c>
    </row>
    <row r="684" spans="2:8" x14ac:dyDescent="0.25">
      <c r="B684" s="9" t="s">
        <v>1451</v>
      </c>
      <c r="C684" s="9" t="s">
        <v>12</v>
      </c>
      <c r="D684" s="9">
        <v>175000</v>
      </c>
      <c r="E684" s="9" t="s">
        <v>2458</v>
      </c>
      <c r="F684" s="9" t="s">
        <v>62</v>
      </c>
      <c r="G684" s="9" t="s">
        <v>47</v>
      </c>
      <c r="H684" s="9" t="str">
        <f>_xlfn.XLOOKUP(G684,Employees!C:C,Employees!B:B,FALSE)</f>
        <v>T003</v>
      </c>
    </row>
    <row r="685" spans="2:8" x14ac:dyDescent="0.25">
      <c r="B685" s="9" t="s">
        <v>1453</v>
      </c>
      <c r="C685" s="9" t="s">
        <v>12</v>
      </c>
      <c r="D685" s="9">
        <v>249000</v>
      </c>
      <c r="E685" s="9" t="s">
        <v>2458</v>
      </c>
      <c r="F685" s="9" t="s">
        <v>66</v>
      </c>
      <c r="G685" s="9" t="s">
        <v>45</v>
      </c>
      <c r="H685" s="9" t="str">
        <f>_xlfn.XLOOKUP(G685,Employees!C:C,Employees!B:B,FALSE)</f>
        <v>T002</v>
      </c>
    </row>
    <row r="686" spans="2:8" x14ac:dyDescent="0.25">
      <c r="B686" s="9" t="s">
        <v>1454</v>
      </c>
      <c r="C686" s="9" t="s">
        <v>14</v>
      </c>
      <c r="D686" s="9">
        <v>182000</v>
      </c>
      <c r="E686" s="9" t="s">
        <v>2459</v>
      </c>
      <c r="F686" s="9" t="s">
        <v>63</v>
      </c>
      <c r="G686" s="9" t="s">
        <v>47</v>
      </c>
      <c r="H686" s="9" t="str">
        <f>_xlfn.XLOOKUP(G686,Employees!C:C,Employees!B:B,FALSE)</f>
        <v>T003</v>
      </c>
    </row>
    <row r="687" spans="2:8" x14ac:dyDescent="0.25">
      <c r="B687" s="9" t="s">
        <v>1456</v>
      </c>
      <c r="C687" s="9" t="s">
        <v>12</v>
      </c>
      <c r="D687" s="9">
        <v>251000</v>
      </c>
      <c r="E687" s="9" t="s">
        <v>2459</v>
      </c>
      <c r="F687" s="9" t="s">
        <v>63</v>
      </c>
      <c r="G687" s="9" t="s">
        <v>58</v>
      </c>
      <c r="H687" s="9" t="str">
        <f>_xlfn.XLOOKUP(G687,Employees!C:C,Employees!B:B,FALSE)</f>
        <v>T008</v>
      </c>
    </row>
    <row r="688" spans="2:8" x14ac:dyDescent="0.25">
      <c r="B688" s="9" t="s">
        <v>1457</v>
      </c>
      <c r="C688" s="9" t="s">
        <v>14</v>
      </c>
      <c r="D688" s="9">
        <v>133000</v>
      </c>
      <c r="E688" s="9" t="s">
        <v>2460</v>
      </c>
      <c r="F688" s="9" t="s">
        <v>66</v>
      </c>
      <c r="G688" s="9" t="s">
        <v>61</v>
      </c>
      <c r="H688" s="9" t="str">
        <f>_xlfn.XLOOKUP(G688,Employees!C:C,Employees!B:B,FALSE)</f>
        <v>T009</v>
      </c>
    </row>
    <row r="689" spans="2:8" x14ac:dyDescent="0.25">
      <c r="B689" s="9" t="s">
        <v>1459</v>
      </c>
      <c r="C689" s="9" t="s">
        <v>14</v>
      </c>
      <c r="D689" s="9">
        <v>179000</v>
      </c>
      <c r="E689" s="9" t="s">
        <v>2461</v>
      </c>
      <c r="F689" s="9" t="s">
        <v>62</v>
      </c>
      <c r="G689" s="9" t="s">
        <v>47</v>
      </c>
      <c r="H689" s="9" t="str">
        <f>_xlfn.XLOOKUP(G689,Employees!C:C,Employees!B:B,FALSE)</f>
        <v>T003</v>
      </c>
    </row>
    <row r="690" spans="2:8" x14ac:dyDescent="0.25">
      <c r="B690" s="9" t="s">
        <v>1461</v>
      </c>
      <c r="C690" s="9" t="s">
        <v>24</v>
      </c>
      <c r="D690" s="9">
        <v>149000</v>
      </c>
      <c r="E690" s="9" t="s">
        <v>2461</v>
      </c>
      <c r="F690" s="9" t="s">
        <v>62</v>
      </c>
      <c r="G690" s="9" t="s">
        <v>55</v>
      </c>
      <c r="H690" s="9" t="str">
        <f>_xlfn.XLOOKUP(G690,Employees!C:C,Employees!B:B,FALSE)</f>
        <v>T007</v>
      </c>
    </row>
    <row r="691" spans="2:8" x14ac:dyDescent="0.25">
      <c r="B691" s="9" t="s">
        <v>1462</v>
      </c>
      <c r="C691" s="9" t="s">
        <v>18</v>
      </c>
      <c r="D691" s="9">
        <v>247000</v>
      </c>
      <c r="E691" s="9" t="s">
        <v>2462</v>
      </c>
      <c r="F691" s="9" t="s">
        <v>64</v>
      </c>
      <c r="G691" s="9" t="s">
        <v>58</v>
      </c>
      <c r="H691" s="9" t="str">
        <f>_xlfn.XLOOKUP(G691,Employees!C:C,Employees!B:B,FALSE)</f>
        <v>T008</v>
      </c>
    </row>
    <row r="692" spans="2:8" x14ac:dyDescent="0.25">
      <c r="B692" s="9" t="s">
        <v>1464</v>
      </c>
      <c r="C692" s="9" t="s">
        <v>22</v>
      </c>
      <c r="D692" s="9">
        <v>272000</v>
      </c>
      <c r="E692" s="9" t="s">
        <v>2463</v>
      </c>
      <c r="F692" s="9" t="s">
        <v>67</v>
      </c>
      <c r="G692" s="9" t="s">
        <v>47</v>
      </c>
      <c r="H692" s="9" t="str">
        <f>_xlfn.XLOOKUP(G692,Employees!C:C,Employees!B:B,FALSE)</f>
        <v>T003</v>
      </c>
    </row>
    <row r="693" spans="2:8" x14ac:dyDescent="0.25">
      <c r="B693" s="9" t="s">
        <v>1466</v>
      </c>
      <c r="C693" s="9" t="s">
        <v>20</v>
      </c>
      <c r="D693" s="9">
        <v>107000</v>
      </c>
      <c r="E693" s="9" t="s">
        <v>2464</v>
      </c>
      <c r="F693" s="9" t="s">
        <v>64</v>
      </c>
      <c r="G693" s="9" t="s">
        <v>51</v>
      </c>
      <c r="H693" s="9" t="str">
        <f>_xlfn.XLOOKUP(G693,Employees!C:C,Employees!B:B,FALSE)</f>
        <v>T005</v>
      </c>
    </row>
    <row r="694" spans="2:8" x14ac:dyDescent="0.25">
      <c r="B694" s="9" t="s">
        <v>1468</v>
      </c>
      <c r="C694" s="9" t="s">
        <v>24</v>
      </c>
      <c r="D694" s="9">
        <v>289000</v>
      </c>
      <c r="E694" s="9" t="s">
        <v>2465</v>
      </c>
      <c r="F694" s="9" t="s">
        <v>62</v>
      </c>
      <c r="G694" s="9" t="s">
        <v>61</v>
      </c>
      <c r="H694" s="9" t="str">
        <f>_xlfn.XLOOKUP(G694,Employees!C:C,Employees!B:B,FALSE)</f>
        <v>T009</v>
      </c>
    </row>
    <row r="695" spans="2:8" x14ac:dyDescent="0.25">
      <c r="B695" s="9" t="s">
        <v>1470</v>
      </c>
      <c r="C695" s="9" t="s">
        <v>22</v>
      </c>
      <c r="D695" s="9">
        <v>214000</v>
      </c>
      <c r="E695" s="9" t="s">
        <v>2466</v>
      </c>
      <c r="F695" s="9" t="s">
        <v>63</v>
      </c>
      <c r="G695" s="9" t="s">
        <v>58</v>
      </c>
      <c r="H695" s="9" t="str">
        <f>_xlfn.XLOOKUP(G695,Employees!C:C,Employees!B:B,FALSE)</f>
        <v>T008</v>
      </c>
    </row>
    <row r="696" spans="2:8" x14ac:dyDescent="0.25">
      <c r="B696" s="9" t="s">
        <v>1472</v>
      </c>
      <c r="C696" s="9" t="s">
        <v>14</v>
      </c>
      <c r="D696" s="9">
        <v>195000</v>
      </c>
      <c r="E696" s="9" t="s">
        <v>2467</v>
      </c>
      <c r="F696" s="9" t="s">
        <v>66</v>
      </c>
      <c r="G696" s="9" t="s">
        <v>49</v>
      </c>
      <c r="H696" s="9" t="str">
        <f>_xlfn.XLOOKUP(G696,Employees!C:C,Employees!B:B,FALSE)</f>
        <v>T004</v>
      </c>
    </row>
    <row r="697" spans="2:8" x14ac:dyDescent="0.25">
      <c r="B697" s="9" t="s">
        <v>1474</v>
      </c>
      <c r="C697" s="9" t="s">
        <v>16</v>
      </c>
      <c r="D697" s="9">
        <v>264000</v>
      </c>
      <c r="E697" s="9" t="s">
        <v>2467</v>
      </c>
      <c r="F697" s="9" t="s">
        <v>65</v>
      </c>
      <c r="G697" s="9" t="s">
        <v>47</v>
      </c>
      <c r="H697" s="9" t="str">
        <f>_xlfn.XLOOKUP(G697,Employees!C:C,Employees!B:B,FALSE)</f>
        <v>T003</v>
      </c>
    </row>
    <row r="698" spans="2:8" x14ac:dyDescent="0.25">
      <c r="B698" s="9" t="s">
        <v>1475</v>
      </c>
      <c r="C698" s="9" t="s">
        <v>12</v>
      </c>
      <c r="D698" s="9">
        <v>242000</v>
      </c>
      <c r="E698" s="9" t="s">
        <v>2468</v>
      </c>
      <c r="F698" s="9" t="s">
        <v>64</v>
      </c>
      <c r="G698" s="9" t="s">
        <v>43</v>
      </c>
      <c r="H698" s="9" t="str">
        <f>_xlfn.XLOOKUP(G698,Employees!C:C,Employees!B:B,FALSE)</f>
        <v>T001</v>
      </c>
    </row>
    <row r="699" spans="2:8" x14ac:dyDescent="0.25">
      <c r="B699" s="9" t="s">
        <v>1477</v>
      </c>
      <c r="C699" s="9" t="s">
        <v>18</v>
      </c>
      <c r="D699" s="9">
        <v>252000</v>
      </c>
      <c r="E699" s="9" t="s">
        <v>2468</v>
      </c>
      <c r="F699" s="9" t="s">
        <v>64</v>
      </c>
      <c r="G699" s="9" t="s">
        <v>43</v>
      </c>
      <c r="H699" s="9" t="str">
        <f>_xlfn.XLOOKUP(G699,Employees!C:C,Employees!B:B,FALSE)</f>
        <v>T001</v>
      </c>
    </row>
    <row r="700" spans="2:8" x14ac:dyDescent="0.25">
      <c r="B700" s="9" t="s">
        <v>1478</v>
      </c>
      <c r="C700" s="9" t="s">
        <v>24</v>
      </c>
      <c r="D700" s="9">
        <v>200000</v>
      </c>
      <c r="E700" s="9" t="s">
        <v>2469</v>
      </c>
      <c r="F700" s="9" t="s">
        <v>62</v>
      </c>
      <c r="G700" s="9" t="s">
        <v>53</v>
      </c>
      <c r="H700" s="9" t="str">
        <f>_xlfn.XLOOKUP(G700,Employees!C:C,Employees!B:B,FALSE)</f>
        <v>T006</v>
      </c>
    </row>
    <row r="701" spans="2:8" x14ac:dyDescent="0.25">
      <c r="B701" s="9" t="s">
        <v>1480</v>
      </c>
      <c r="C701" s="9" t="s">
        <v>12</v>
      </c>
      <c r="D701" s="9">
        <v>90000</v>
      </c>
      <c r="E701" s="9" t="s">
        <v>2470</v>
      </c>
      <c r="F701" s="9" t="s">
        <v>63</v>
      </c>
      <c r="G701" s="9" t="s">
        <v>47</v>
      </c>
      <c r="H701" s="9" t="str">
        <f>_xlfn.XLOOKUP(G701,Employees!C:C,Employees!B:B,FALSE)</f>
        <v>T003</v>
      </c>
    </row>
    <row r="702" spans="2:8" x14ac:dyDescent="0.25">
      <c r="B702" s="9" t="s">
        <v>1482</v>
      </c>
      <c r="C702" s="9" t="s">
        <v>24</v>
      </c>
      <c r="D702" s="9">
        <v>266000</v>
      </c>
      <c r="E702" s="9" t="s">
        <v>2470</v>
      </c>
      <c r="F702" s="9" t="s">
        <v>64</v>
      </c>
      <c r="G702" s="9" t="s">
        <v>61</v>
      </c>
      <c r="H702" s="9" t="str">
        <f>_xlfn.XLOOKUP(G702,Employees!C:C,Employees!B:B,FALSE)</f>
        <v>T009</v>
      </c>
    </row>
    <row r="703" spans="2:8" x14ac:dyDescent="0.25">
      <c r="B703" s="9" t="s">
        <v>1483</v>
      </c>
      <c r="C703" s="9" t="s">
        <v>18</v>
      </c>
      <c r="D703" s="9">
        <v>73000</v>
      </c>
      <c r="E703" s="9" t="s">
        <v>2471</v>
      </c>
      <c r="F703" s="9" t="s">
        <v>64</v>
      </c>
      <c r="G703" s="9" t="s">
        <v>53</v>
      </c>
      <c r="H703" s="9" t="str">
        <f>_xlfn.XLOOKUP(G703,Employees!C:C,Employees!B:B,FALSE)</f>
        <v>T006</v>
      </c>
    </row>
    <row r="704" spans="2:8" x14ac:dyDescent="0.25">
      <c r="B704" s="9" t="s">
        <v>1486</v>
      </c>
      <c r="C704" s="9" t="s">
        <v>16</v>
      </c>
      <c r="D704" s="9">
        <v>84000</v>
      </c>
      <c r="E704" s="9" t="s">
        <v>2472</v>
      </c>
      <c r="F704" s="9" t="s">
        <v>63</v>
      </c>
      <c r="G704" s="9" t="s">
        <v>49</v>
      </c>
      <c r="H704" s="9" t="str">
        <f>_xlfn.XLOOKUP(G704,Employees!C:C,Employees!B:B,FALSE)</f>
        <v>T004</v>
      </c>
    </row>
    <row r="705" spans="2:8" x14ac:dyDescent="0.25">
      <c r="B705" s="9" t="s">
        <v>1488</v>
      </c>
      <c r="C705" s="9" t="s">
        <v>22</v>
      </c>
      <c r="D705" s="9">
        <v>261000</v>
      </c>
      <c r="E705" s="9" t="s">
        <v>2472</v>
      </c>
      <c r="F705" s="9" t="s">
        <v>64</v>
      </c>
      <c r="G705" s="9" t="s">
        <v>53</v>
      </c>
      <c r="H705" s="9" t="str">
        <f>_xlfn.XLOOKUP(G705,Employees!C:C,Employees!B:B,FALSE)</f>
        <v>T006</v>
      </c>
    </row>
    <row r="706" spans="2:8" x14ac:dyDescent="0.25">
      <c r="B706" s="9" t="s">
        <v>1489</v>
      </c>
      <c r="C706" s="9" t="s">
        <v>12</v>
      </c>
      <c r="D706" s="9">
        <v>69000</v>
      </c>
      <c r="E706" s="9" t="s">
        <v>2473</v>
      </c>
      <c r="F706" s="9" t="s">
        <v>63</v>
      </c>
      <c r="G706" s="9" t="s">
        <v>47</v>
      </c>
      <c r="H706" s="9" t="str">
        <f>_xlfn.XLOOKUP(G706,Employees!C:C,Employees!B:B,FALSE)</f>
        <v>T003</v>
      </c>
    </row>
    <row r="707" spans="2:8" x14ac:dyDescent="0.25">
      <c r="B707" s="9" t="s">
        <v>1491</v>
      </c>
      <c r="C707" s="9" t="s">
        <v>14</v>
      </c>
      <c r="D707" s="9">
        <v>175000</v>
      </c>
      <c r="E707" s="9" t="s">
        <v>2474</v>
      </c>
      <c r="F707" s="9" t="s">
        <v>67</v>
      </c>
      <c r="G707" s="9" t="s">
        <v>61</v>
      </c>
      <c r="H707" s="9" t="str">
        <f>_xlfn.XLOOKUP(G707,Employees!C:C,Employees!B:B,FALSE)</f>
        <v>T009</v>
      </c>
    </row>
    <row r="708" spans="2:8" x14ac:dyDescent="0.25">
      <c r="B708" s="9" t="s">
        <v>1493</v>
      </c>
      <c r="C708" s="9" t="s">
        <v>14</v>
      </c>
      <c r="D708" s="9">
        <v>39000</v>
      </c>
      <c r="E708" s="9" t="s">
        <v>2475</v>
      </c>
      <c r="F708" s="9" t="s">
        <v>63</v>
      </c>
      <c r="G708" s="9" t="s">
        <v>49</v>
      </c>
      <c r="H708" s="9" t="str">
        <f>_xlfn.XLOOKUP(G708,Employees!C:C,Employees!B:B,FALSE)</f>
        <v>T004</v>
      </c>
    </row>
    <row r="709" spans="2:8" x14ac:dyDescent="0.25">
      <c r="B709" s="9" t="s">
        <v>1495</v>
      </c>
      <c r="C709" s="9" t="s">
        <v>18</v>
      </c>
      <c r="D709" s="9">
        <v>185000</v>
      </c>
      <c r="E709" s="9" t="s">
        <v>2476</v>
      </c>
      <c r="F709" s="9" t="s">
        <v>65</v>
      </c>
      <c r="G709" s="9" t="s">
        <v>51</v>
      </c>
      <c r="H709" s="9" t="str">
        <f>_xlfn.XLOOKUP(G709,Employees!C:C,Employees!B:B,FALSE)</f>
        <v>T005</v>
      </c>
    </row>
    <row r="710" spans="2:8" x14ac:dyDescent="0.25">
      <c r="B710" s="9" t="s">
        <v>1497</v>
      </c>
      <c r="C710" s="9" t="s">
        <v>24</v>
      </c>
      <c r="D710" s="9">
        <v>240000</v>
      </c>
      <c r="E710" s="9" t="s">
        <v>2476</v>
      </c>
      <c r="F710" s="9" t="s">
        <v>65</v>
      </c>
      <c r="G710" s="9" t="s">
        <v>58</v>
      </c>
      <c r="H710" s="9" t="str">
        <f>_xlfn.XLOOKUP(G710,Employees!C:C,Employees!B:B,FALSE)</f>
        <v>T008</v>
      </c>
    </row>
    <row r="711" spans="2:8" x14ac:dyDescent="0.25">
      <c r="B711" s="9" t="s">
        <v>1498</v>
      </c>
      <c r="C711" s="9" t="s">
        <v>24</v>
      </c>
      <c r="D711" s="9">
        <v>211000</v>
      </c>
      <c r="E711" s="9" t="s">
        <v>2477</v>
      </c>
      <c r="F711" s="9" t="s">
        <v>66</v>
      </c>
      <c r="G711" s="9" t="s">
        <v>49</v>
      </c>
      <c r="H711" s="9" t="str">
        <f>_xlfn.XLOOKUP(G711,Employees!C:C,Employees!B:B,FALSE)</f>
        <v>T004</v>
      </c>
    </row>
    <row r="712" spans="2:8" x14ac:dyDescent="0.25">
      <c r="B712" s="9" t="s">
        <v>1500</v>
      </c>
      <c r="C712" s="9" t="s">
        <v>12</v>
      </c>
      <c r="D712" s="9">
        <v>291000</v>
      </c>
      <c r="E712" s="9" t="s">
        <v>2478</v>
      </c>
      <c r="F712" s="9" t="s">
        <v>65</v>
      </c>
      <c r="G712" s="9" t="s">
        <v>51</v>
      </c>
      <c r="H712" s="9" t="str">
        <f>_xlfn.XLOOKUP(G712,Employees!C:C,Employees!B:B,FALSE)</f>
        <v>T005</v>
      </c>
    </row>
    <row r="713" spans="2:8" x14ac:dyDescent="0.25">
      <c r="B713" s="9" t="s">
        <v>1502</v>
      </c>
      <c r="C713" s="9" t="s">
        <v>16</v>
      </c>
      <c r="D713" s="9">
        <v>201000</v>
      </c>
      <c r="E713" s="9" t="s">
        <v>2478</v>
      </c>
      <c r="F713" s="9" t="s">
        <v>64</v>
      </c>
      <c r="G713" s="9" t="s">
        <v>45</v>
      </c>
      <c r="H713" s="9" t="str">
        <f>_xlfn.XLOOKUP(G713,Employees!C:C,Employees!B:B,FALSE)</f>
        <v>T002</v>
      </c>
    </row>
    <row r="714" spans="2:8" x14ac:dyDescent="0.25">
      <c r="B714" s="9" t="s">
        <v>1504</v>
      </c>
      <c r="C714" s="9" t="s">
        <v>22</v>
      </c>
      <c r="D714" s="9">
        <v>120000</v>
      </c>
      <c r="E714" s="9" t="s">
        <v>2479</v>
      </c>
      <c r="F714" s="9" t="s">
        <v>63</v>
      </c>
      <c r="G714" s="9" t="s">
        <v>49</v>
      </c>
      <c r="H714" s="9" t="str">
        <f>_xlfn.XLOOKUP(G714,Employees!C:C,Employees!B:B,FALSE)</f>
        <v>T004</v>
      </c>
    </row>
    <row r="715" spans="2:8" x14ac:dyDescent="0.25">
      <c r="B715" s="9" t="s">
        <v>1506</v>
      </c>
      <c r="C715" s="9" t="s">
        <v>14</v>
      </c>
      <c r="D715" s="9">
        <v>45000</v>
      </c>
      <c r="E715" s="9" t="s">
        <v>2479</v>
      </c>
      <c r="F715" s="9" t="s">
        <v>65</v>
      </c>
      <c r="G715" s="9" t="s">
        <v>53</v>
      </c>
      <c r="H715" s="9" t="str">
        <f>_xlfn.XLOOKUP(G715,Employees!C:C,Employees!B:B,FALSE)</f>
        <v>T006</v>
      </c>
    </row>
    <row r="716" spans="2:8" x14ac:dyDescent="0.25">
      <c r="B716" s="9" t="s">
        <v>1508</v>
      </c>
      <c r="C716" s="9" t="s">
        <v>12</v>
      </c>
      <c r="D716" s="9">
        <v>135000</v>
      </c>
      <c r="E716" s="9" t="s">
        <v>2480</v>
      </c>
      <c r="F716" s="9" t="s">
        <v>63</v>
      </c>
      <c r="G716" s="9" t="s">
        <v>47</v>
      </c>
      <c r="H716" s="9" t="str">
        <f>_xlfn.XLOOKUP(G716,Employees!C:C,Employees!B:B,FALSE)</f>
        <v>T003</v>
      </c>
    </row>
    <row r="717" spans="2:8" x14ac:dyDescent="0.25">
      <c r="B717" s="9" t="s">
        <v>1510</v>
      </c>
      <c r="C717" s="9" t="s">
        <v>24</v>
      </c>
      <c r="D717" s="9">
        <v>211000</v>
      </c>
      <c r="E717" s="9" t="s">
        <v>2481</v>
      </c>
      <c r="F717" s="9" t="s">
        <v>63</v>
      </c>
      <c r="G717" s="9" t="s">
        <v>45</v>
      </c>
      <c r="H717" s="9" t="str">
        <f>_xlfn.XLOOKUP(G717,Employees!C:C,Employees!B:B,FALSE)</f>
        <v>T002</v>
      </c>
    </row>
    <row r="718" spans="2:8" x14ac:dyDescent="0.25">
      <c r="B718" s="9" t="s">
        <v>1512</v>
      </c>
      <c r="C718" s="9" t="s">
        <v>16</v>
      </c>
      <c r="D718" s="9">
        <v>230000</v>
      </c>
      <c r="E718" s="9" t="s">
        <v>2482</v>
      </c>
      <c r="F718" s="9" t="s">
        <v>63</v>
      </c>
      <c r="G718" s="9" t="s">
        <v>51</v>
      </c>
      <c r="H718" s="9" t="str">
        <f>_xlfn.XLOOKUP(G718,Employees!C:C,Employees!B:B,FALSE)</f>
        <v>T005</v>
      </c>
    </row>
    <row r="719" spans="2:8" x14ac:dyDescent="0.25">
      <c r="B719" s="9" t="s">
        <v>1514</v>
      </c>
      <c r="C719" s="9" t="s">
        <v>22</v>
      </c>
      <c r="D719" s="9">
        <v>249000</v>
      </c>
      <c r="E719" s="9" t="s">
        <v>2482</v>
      </c>
      <c r="F719" s="9" t="s">
        <v>65</v>
      </c>
      <c r="G719" s="9" t="s">
        <v>51</v>
      </c>
      <c r="H719" s="9" t="str">
        <f>_xlfn.XLOOKUP(G719,Employees!C:C,Employees!B:B,FALSE)</f>
        <v>T005</v>
      </c>
    </row>
    <row r="720" spans="2:8" x14ac:dyDescent="0.25">
      <c r="B720" s="9" t="s">
        <v>1515</v>
      </c>
      <c r="C720" s="9" t="s">
        <v>12</v>
      </c>
      <c r="D720" s="9">
        <v>200000</v>
      </c>
      <c r="E720" s="9" t="s">
        <v>2482</v>
      </c>
      <c r="F720" s="9" t="s">
        <v>67</v>
      </c>
      <c r="G720" s="9" t="s">
        <v>45</v>
      </c>
      <c r="H720" s="9" t="str">
        <f>_xlfn.XLOOKUP(G720,Employees!C:C,Employees!B:B,FALSE)</f>
        <v>T002</v>
      </c>
    </row>
    <row r="721" spans="2:8" x14ac:dyDescent="0.25">
      <c r="B721" s="9" t="s">
        <v>1516</v>
      </c>
      <c r="C721" s="9" t="s">
        <v>16</v>
      </c>
      <c r="D721" s="9">
        <v>270000</v>
      </c>
      <c r="E721" s="9" t="s">
        <v>2483</v>
      </c>
      <c r="F721" s="9" t="s">
        <v>67</v>
      </c>
      <c r="G721" s="9" t="s">
        <v>58</v>
      </c>
      <c r="H721" s="9" t="str">
        <f>_xlfn.XLOOKUP(G721,Employees!C:C,Employees!B:B,FALSE)</f>
        <v>T008</v>
      </c>
    </row>
    <row r="722" spans="2:8" x14ac:dyDescent="0.25">
      <c r="B722" s="9" t="s">
        <v>1518</v>
      </c>
      <c r="C722" s="9" t="s">
        <v>14</v>
      </c>
      <c r="D722" s="9">
        <v>169000</v>
      </c>
      <c r="E722" s="9" t="s">
        <v>2484</v>
      </c>
      <c r="F722" s="9" t="s">
        <v>66</v>
      </c>
      <c r="G722" s="9" t="s">
        <v>61</v>
      </c>
      <c r="H722" s="9" t="str">
        <f>_xlfn.XLOOKUP(G722,Employees!C:C,Employees!B:B,FALSE)</f>
        <v>T009</v>
      </c>
    </row>
    <row r="723" spans="2:8" x14ac:dyDescent="0.25">
      <c r="B723" s="9" t="s">
        <v>1520</v>
      </c>
      <c r="C723" s="9" t="s">
        <v>18</v>
      </c>
      <c r="D723" s="9">
        <v>99000</v>
      </c>
      <c r="E723" s="9" t="s">
        <v>2485</v>
      </c>
      <c r="F723" s="9" t="s">
        <v>62</v>
      </c>
      <c r="G723" s="9" t="s">
        <v>53</v>
      </c>
      <c r="H723" s="9" t="str">
        <f>_xlfn.XLOOKUP(G723,Employees!C:C,Employees!B:B,FALSE)</f>
        <v>T006</v>
      </c>
    </row>
    <row r="724" spans="2:8" x14ac:dyDescent="0.25">
      <c r="B724" s="9" t="s">
        <v>1522</v>
      </c>
      <c r="C724" s="9" t="s">
        <v>12</v>
      </c>
      <c r="D724" s="9">
        <v>60000</v>
      </c>
      <c r="E724" s="9" t="s">
        <v>2486</v>
      </c>
      <c r="F724" s="9" t="s">
        <v>66</v>
      </c>
      <c r="G724" s="9" t="s">
        <v>47</v>
      </c>
      <c r="H724" s="9" t="str">
        <f>_xlfn.XLOOKUP(G724,Employees!C:C,Employees!B:B,FALSE)</f>
        <v>T003</v>
      </c>
    </row>
    <row r="725" spans="2:8" x14ac:dyDescent="0.25">
      <c r="B725" s="9" t="s">
        <v>1524</v>
      </c>
      <c r="C725" s="9" t="s">
        <v>24</v>
      </c>
      <c r="D725" s="9">
        <v>248000</v>
      </c>
      <c r="E725" s="9" t="s">
        <v>2486</v>
      </c>
      <c r="F725" s="9" t="s">
        <v>63</v>
      </c>
      <c r="G725" s="9" t="s">
        <v>58</v>
      </c>
      <c r="H725" s="9" t="str">
        <f>_xlfn.XLOOKUP(G725,Employees!C:C,Employees!B:B,FALSE)</f>
        <v>T008</v>
      </c>
    </row>
    <row r="726" spans="2:8" x14ac:dyDescent="0.25">
      <c r="B726" s="9" t="s">
        <v>1525</v>
      </c>
      <c r="C726" s="9" t="s">
        <v>14</v>
      </c>
      <c r="D726" s="9">
        <v>36000</v>
      </c>
      <c r="E726" s="9" t="s">
        <v>2486</v>
      </c>
      <c r="F726" s="9" t="s">
        <v>67</v>
      </c>
      <c r="G726" s="9" t="s">
        <v>47</v>
      </c>
      <c r="H726" s="9" t="str">
        <f>_xlfn.XLOOKUP(G726,Employees!C:C,Employees!B:B,FALSE)</f>
        <v>T003</v>
      </c>
    </row>
    <row r="727" spans="2:8" x14ac:dyDescent="0.25">
      <c r="B727" s="9" t="s">
        <v>1526</v>
      </c>
      <c r="C727" s="9" t="s">
        <v>14</v>
      </c>
      <c r="D727" s="9">
        <v>55000</v>
      </c>
      <c r="E727" s="9" t="s">
        <v>2486</v>
      </c>
      <c r="F727" s="9" t="s">
        <v>65</v>
      </c>
      <c r="G727" s="9" t="s">
        <v>43</v>
      </c>
      <c r="H727" s="9" t="str">
        <f>_xlfn.XLOOKUP(G727,Employees!C:C,Employees!B:B,FALSE)</f>
        <v>T001</v>
      </c>
    </row>
    <row r="728" spans="2:8" x14ac:dyDescent="0.25">
      <c r="B728" s="9" t="s">
        <v>1527</v>
      </c>
      <c r="C728" s="9" t="s">
        <v>18</v>
      </c>
      <c r="D728" s="9">
        <v>139000</v>
      </c>
      <c r="E728" s="9" t="s">
        <v>2487</v>
      </c>
      <c r="F728" s="9" t="s">
        <v>65</v>
      </c>
      <c r="G728" s="9" t="s">
        <v>55</v>
      </c>
      <c r="H728" s="9" t="str">
        <f>_xlfn.XLOOKUP(G728,Employees!C:C,Employees!B:B,FALSE)</f>
        <v>T007</v>
      </c>
    </row>
    <row r="729" spans="2:8" x14ac:dyDescent="0.25">
      <c r="B729" s="9" t="s">
        <v>1529</v>
      </c>
      <c r="C729" s="9" t="s">
        <v>16</v>
      </c>
      <c r="D729" s="9">
        <v>291000</v>
      </c>
      <c r="E729" s="9" t="s">
        <v>2488</v>
      </c>
      <c r="F729" s="9" t="s">
        <v>67</v>
      </c>
      <c r="G729" s="9" t="s">
        <v>53</v>
      </c>
      <c r="H729" s="9" t="str">
        <f>_xlfn.XLOOKUP(G729,Employees!C:C,Employees!B:B,FALSE)</f>
        <v>T006</v>
      </c>
    </row>
    <row r="730" spans="2:8" x14ac:dyDescent="0.25">
      <c r="B730" s="9" t="s">
        <v>1531</v>
      </c>
      <c r="C730" s="9" t="s">
        <v>20</v>
      </c>
      <c r="D730" s="9">
        <v>102000</v>
      </c>
      <c r="E730" s="9" t="s">
        <v>2489</v>
      </c>
      <c r="F730" s="9" t="s">
        <v>67</v>
      </c>
      <c r="G730" s="9" t="s">
        <v>47</v>
      </c>
      <c r="H730" s="9" t="str">
        <f>_xlfn.XLOOKUP(G730,Employees!C:C,Employees!B:B,FALSE)</f>
        <v>T003</v>
      </c>
    </row>
    <row r="731" spans="2:8" x14ac:dyDescent="0.25">
      <c r="B731" s="9" t="s">
        <v>1533</v>
      </c>
      <c r="C731" s="9" t="s">
        <v>16</v>
      </c>
      <c r="D731" s="9">
        <v>131000</v>
      </c>
      <c r="E731" s="9" t="s">
        <v>2490</v>
      </c>
      <c r="F731" s="9" t="s">
        <v>67</v>
      </c>
      <c r="G731" s="9" t="s">
        <v>43</v>
      </c>
      <c r="H731" s="9" t="str">
        <f>_xlfn.XLOOKUP(G731,Employees!C:C,Employees!B:B,FALSE)</f>
        <v>T001</v>
      </c>
    </row>
    <row r="732" spans="2:8" x14ac:dyDescent="0.25">
      <c r="B732" s="9" t="s">
        <v>1536</v>
      </c>
      <c r="C732" s="9" t="s">
        <v>20</v>
      </c>
      <c r="D732" s="9">
        <v>282000</v>
      </c>
      <c r="E732" s="9" t="s">
        <v>2491</v>
      </c>
      <c r="F732" s="9" t="s">
        <v>67</v>
      </c>
      <c r="G732" s="9" t="s">
        <v>61</v>
      </c>
      <c r="H732" s="9" t="str">
        <f>_xlfn.XLOOKUP(G732,Employees!C:C,Employees!B:B,FALSE)</f>
        <v>T009</v>
      </c>
    </row>
    <row r="733" spans="2:8" x14ac:dyDescent="0.25">
      <c r="B733" s="9" t="s">
        <v>1538</v>
      </c>
      <c r="C733" s="9" t="s">
        <v>20</v>
      </c>
      <c r="D733" s="9">
        <v>291000</v>
      </c>
      <c r="E733" s="9" t="s">
        <v>2492</v>
      </c>
      <c r="F733" s="9" t="s">
        <v>65</v>
      </c>
      <c r="G733" s="9" t="s">
        <v>45</v>
      </c>
      <c r="H733" s="9" t="str">
        <f>_xlfn.XLOOKUP(G733,Employees!C:C,Employees!B:B,FALSE)</f>
        <v>T002</v>
      </c>
    </row>
    <row r="734" spans="2:8" x14ac:dyDescent="0.25">
      <c r="B734" s="9" t="s">
        <v>1540</v>
      </c>
      <c r="C734" s="9" t="s">
        <v>16</v>
      </c>
      <c r="D734" s="9">
        <v>77000</v>
      </c>
      <c r="E734" s="9" t="s">
        <v>2492</v>
      </c>
      <c r="F734" s="9" t="s">
        <v>66</v>
      </c>
      <c r="G734" s="9" t="s">
        <v>49</v>
      </c>
      <c r="H734" s="9" t="str">
        <f>_xlfn.XLOOKUP(G734,Employees!C:C,Employees!B:B,FALSE)</f>
        <v>T004</v>
      </c>
    </row>
    <row r="735" spans="2:8" x14ac:dyDescent="0.25">
      <c r="B735" s="9" t="s">
        <v>1541</v>
      </c>
      <c r="C735" s="9" t="s">
        <v>12</v>
      </c>
      <c r="D735" s="9">
        <v>119000</v>
      </c>
      <c r="E735" s="9" t="s">
        <v>2493</v>
      </c>
      <c r="F735" s="9" t="s">
        <v>66</v>
      </c>
      <c r="G735" s="9" t="s">
        <v>43</v>
      </c>
      <c r="H735" s="9" t="str">
        <f>_xlfn.XLOOKUP(G735,Employees!C:C,Employees!B:B,FALSE)</f>
        <v>T001</v>
      </c>
    </row>
    <row r="736" spans="2:8" x14ac:dyDescent="0.25">
      <c r="B736" s="9" t="s">
        <v>1543</v>
      </c>
      <c r="C736" s="9" t="s">
        <v>20</v>
      </c>
      <c r="D736" s="9">
        <v>274000</v>
      </c>
      <c r="E736" s="9" t="s">
        <v>2494</v>
      </c>
      <c r="F736" s="9" t="s">
        <v>62</v>
      </c>
      <c r="G736" s="9" t="s">
        <v>61</v>
      </c>
      <c r="H736" s="9" t="str">
        <f>_xlfn.XLOOKUP(G736,Employees!C:C,Employees!B:B,FALSE)</f>
        <v>T009</v>
      </c>
    </row>
    <row r="737" spans="2:8" x14ac:dyDescent="0.25">
      <c r="B737" s="9" t="s">
        <v>1545</v>
      </c>
      <c r="C737" s="9" t="s">
        <v>16</v>
      </c>
      <c r="D737" s="9">
        <v>238000</v>
      </c>
      <c r="E737" s="9" t="s">
        <v>2495</v>
      </c>
      <c r="F737" s="9" t="s">
        <v>65</v>
      </c>
      <c r="G737" s="9" t="s">
        <v>58</v>
      </c>
      <c r="H737" s="9" t="str">
        <f>_xlfn.XLOOKUP(G737,Employees!C:C,Employees!B:B,FALSE)</f>
        <v>T008</v>
      </c>
    </row>
    <row r="738" spans="2:8" x14ac:dyDescent="0.25">
      <c r="B738" s="9" t="s">
        <v>1547</v>
      </c>
      <c r="C738" s="9" t="s">
        <v>20</v>
      </c>
      <c r="D738" s="9">
        <v>158000</v>
      </c>
      <c r="E738" s="9" t="s">
        <v>2495</v>
      </c>
      <c r="F738" s="9" t="s">
        <v>63</v>
      </c>
      <c r="G738" s="9" t="s">
        <v>55</v>
      </c>
      <c r="H738" s="9" t="str">
        <f>_xlfn.XLOOKUP(G738,Employees!C:C,Employees!B:B,FALSE)</f>
        <v>T007</v>
      </c>
    </row>
    <row r="739" spans="2:8" x14ac:dyDescent="0.25">
      <c r="B739" s="9" t="s">
        <v>1548</v>
      </c>
      <c r="C739" s="9" t="s">
        <v>18</v>
      </c>
      <c r="D739" s="9">
        <v>259000</v>
      </c>
      <c r="E739" s="9" t="s">
        <v>2496</v>
      </c>
      <c r="F739" s="9" t="s">
        <v>64</v>
      </c>
      <c r="G739" s="9" t="s">
        <v>61</v>
      </c>
      <c r="H739" s="9" t="str">
        <f>_xlfn.XLOOKUP(G739,Employees!C:C,Employees!B:B,FALSE)</f>
        <v>T009</v>
      </c>
    </row>
    <row r="740" spans="2:8" x14ac:dyDescent="0.25">
      <c r="B740" s="9" t="s">
        <v>1550</v>
      </c>
      <c r="C740" s="9" t="s">
        <v>16</v>
      </c>
      <c r="D740" s="9">
        <v>40000</v>
      </c>
      <c r="E740" s="9" t="s">
        <v>2497</v>
      </c>
      <c r="F740" s="9" t="s">
        <v>66</v>
      </c>
      <c r="G740" s="9" t="s">
        <v>55</v>
      </c>
      <c r="H740" s="9" t="str">
        <f>_xlfn.XLOOKUP(G740,Employees!C:C,Employees!B:B,FALSE)</f>
        <v>T007</v>
      </c>
    </row>
    <row r="741" spans="2:8" x14ac:dyDescent="0.25">
      <c r="B741" s="9" t="s">
        <v>1552</v>
      </c>
      <c r="C741" s="9" t="s">
        <v>12</v>
      </c>
      <c r="D741" s="9">
        <v>141000</v>
      </c>
      <c r="E741" s="9" t="s">
        <v>2498</v>
      </c>
      <c r="F741" s="9" t="s">
        <v>67</v>
      </c>
      <c r="G741" s="9" t="s">
        <v>53</v>
      </c>
      <c r="H741" s="9" t="str">
        <f>_xlfn.XLOOKUP(G741,Employees!C:C,Employees!B:B,FALSE)</f>
        <v>T006</v>
      </c>
    </row>
    <row r="742" spans="2:8" x14ac:dyDescent="0.25">
      <c r="B742" s="9" t="s">
        <v>1554</v>
      </c>
      <c r="C742" s="9" t="s">
        <v>12</v>
      </c>
      <c r="D742" s="9">
        <v>237000</v>
      </c>
      <c r="E742" s="9" t="s">
        <v>2499</v>
      </c>
      <c r="F742" s="9" t="s">
        <v>63</v>
      </c>
      <c r="G742" s="9" t="s">
        <v>53</v>
      </c>
      <c r="H742" s="9" t="str">
        <f>_xlfn.XLOOKUP(G742,Employees!C:C,Employees!B:B,FALSE)</f>
        <v>T006</v>
      </c>
    </row>
    <row r="743" spans="2:8" x14ac:dyDescent="0.25">
      <c r="B743" s="9" t="s">
        <v>1556</v>
      </c>
      <c r="C743" s="9" t="s">
        <v>18</v>
      </c>
      <c r="D743" s="9">
        <v>172000</v>
      </c>
      <c r="E743" s="9" t="s">
        <v>2500</v>
      </c>
      <c r="F743" s="9" t="s">
        <v>63</v>
      </c>
      <c r="G743" s="9" t="s">
        <v>43</v>
      </c>
      <c r="H743" s="9" t="str">
        <f>_xlfn.XLOOKUP(G743,Employees!C:C,Employees!B:B,FALSE)</f>
        <v>T001</v>
      </c>
    </row>
    <row r="744" spans="2:8" x14ac:dyDescent="0.25">
      <c r="B744" s="9" t="s">
        <v>1558</v>
      </c>
      <c r="C744" s="9" t="s">
        <v>16</v>
      </c>
      <c r="D744" s="9">
        <v>204000</v>
      </c>
      <c r="E744" s="9" t="s">
        <v>2500</v>
      </c>
      <c r="F744" s="9" t="s">
        <v>64</v>
      </c>
      <c r="G744" s="9" t="s">
        <v>49</v>
      </c>
      <c r="H744" s="9" t="str">
        <f>_xlfn.XLOOKUP(G744,Employees!C:C,Employees!B:B,FALSE)</f>
        <v>T004</v>
      </c>
    </row>
    <row r="745" spans="2:8" x14ac:dyDescent="0.25">
      <c r="B745" s="9" t="s">
        <v>1559</v>
      </c>
      <c r="C745" s="9" t="s">
        <v>24</v>
      </c>
      <c r="D745" s="9">
        <v>158000</v>
      </c>
      <c r="E745" s="9" t="s">
        <v>2500</v>
      </c>
      <c r="F745" s="9" t="s">
        <v>66</v>
      </c>
      <c r="G745" s="9" t="s">
        <v>45</v>
      </c>
      <c r="H745" s="9" t="str">
        <f>_xlfn.XLOOKUP(G745,Employees!C:C,Employees!B:B,FALSE)</f>
        <v>T002</v>
      </c>
    </row>
    <row r="746" spans="2:8" x14ac:dyDescent="0.25">
      <c r="B746" s="9" t="s">
        <v>1560</v>
      </c>
      <c r="C746" s="9" t="s">
        <v>24</v>
      </c>
      <c r="D746" s="9">
        <v>84000</v>
      </c>
      <c r="E746" s="9" t="s">
        <v>2501</v>
      </c>
      <c r="F746" s="9" t="s">
        <v>64</v>
      </c>
      <c r="G746" s="9" t="s">
        <v>51</v>
      </c>
      <c r="H746" s="9" t="str">
        <f>_xlfn.XLOOKUP(G746,Employees!C:C,Employees!B:B,FALSE)</f>
        <v>T005</v>
      </c>
    </row>
    <row r="747" spans="2:8" x14ac:dyDescent="0.25">
      <c r="B747" s="9" t="s">
        <v>1562</v>
      </c>
      <c r="C747" s="9" t="s">
        <v>20</v>
      </c>
      <c r="D747" s="9">
        <v>102000</v>
      </c>
      <c r="E747" s="9" t="s">
        <v>2502</v>
      </c>
      <c r="F747" s="9" t="s">
        <v>66</v>
      </c>
      <c r="G747" s="9" t="s">
        <v>49</v>
      </c>
      <c r="H747" s="9" t="str">
        <f>_xlfn.XLOOKUP(G747,Employees!C:C,Employees!B:B,FALSE)</f>
        <v>T004</v>
      </c>
    </row>
    <row r="748" spans="2:8" x14ac:dyDescent="0.25">
      <c r="B748" s="9" t="s">
        <v>1564</v>
      </c>
      <c r="C748" s="9" t="s">
        <v>24</v>
      </c>
      <c r="D748" s="9">
        <v>45000</v>
      </c>
      <c r="E748" s="9" t="s">
        <v>2503</v>
      </c>
      <c r="F748" s="9" t="s">
        <v>65</v>
      </c>
      <c r="G748" s="9" t="s">
        <v>51</v>
      </c>
      <c r="H748" s="9" t="str">
        <f>_xlfn.XLOOKUP(G748,Employees!C:C,Employees!B:B,FALSE)</f>
        <v>T005</v>
      </c>
    </row>
    <row r="749" spans="2:8" x14ac:dyDescent="0.25">
      <c r="B749" s="9" t="s">
        <v>1566</v>
      </c>
      <c r="C749" s="9" t="s">
        <v>16</v>
      </c>
      <c r="D749" s="9">
        <v>181000</v>
      </c>
      <c r="E749" s="9" t="s">
        <v>2503</v>
      </c>
      <c r="F749" s="9" t="s">
        <v>67</v>
      </c>
      <c r="G749" s="9" t="s">
        <v>55</v>
      </c>
      <c r="H749" s="9" t="str">
        <f>_xlfn.XLOOKUP(G749,Employees!C:C,Employees!B:B,FALSE)</f>
        <v>T007</v>
      </c>
    </row>
    <row r="750" spans="2:8" x14ac:dyDescent="0.25">
      <c r="B750" s="9" t="s">
        <v>1568</v>
      </c>
      <c r="C750" s="9" t="s">
        <v>12</v>
      </c>
      <c r="D750" s="9">
        <v>142000</v>
      </c>
      <c r="E750" s="9" t="s">
        <v>2504</v>
      </c>
      <c r="F750" s="9" t="s">
        <v>65</v>
      </c>
      <c r="G750" s="9" t="s">
        <v>47</v>
      </c>
      <c r="H750" s="9" t="str">
        <f>_xlfn.XLOOKUP(G750,Employees!C:C,Employees!B:B,FALSE)</f>
        <v>T003</v>
      </c>
    </row>
    <row r="751" spans="2:8" x14ac:dyDescent="0.25">
      <c r="B751" s="9" t="s">
        <v>1570</v>
      </c>
      <c r="C751" s="9" t="s">
        <v>14</v>
      </c>
      <c r="D751" s="9">
        <v>103000</v>
      </c>
      <c r="E751" s="9" t="s">
        <v>2504</v>
      </c>
      <c r="F751" s="9" t="s">
        <v>65</v>
      </c>
      <c r="G751" s="9" t="s">
        <v>55</v>
      </c>
      <c r="H751" s="9" t="str">
        <f>_xlfn.XLOOKUP(G751,Employees!C:C,Employees!B:B,FALSE)</f>
        <v>T007</v>
      </c>
    </row>
    <row r="752" spans="2:8" x14ac:dyDescent="0.25">
      <c r="B752" s="9" t="s">
        <v>1571</v>
      </c>
      <c r="C752" s="9" t="s">
        <v>14</v>
      </c>
      <c r="D752" s="9">
        <v>276000</v>
      </c>
      <c r="E752" s="9" t="s">
        <v>2504</v>
      </c>
      <c r="F752" s="9" t="s">
        <v>66</v>
      </c>
      <c r="G752" s="9" t="s">
        <v>61</v>
      </c>
      <c r="H752" s="9" t="str">
        <f>_xlfn.XLOOKUP(G752,Employees!C:C,Employees!B:B,FALSE)</f>
        <v>T009</v>
      </c>
    </row>
    <row r="753" spans="2:8" x14ac:dyDescent="0.25">
      <c r="B753" s="9" t="s">
        <v>1572</v>
      </c>
      <c r="C753" s="9" t="s">
        <v>22</v>
      </c>
      <c r="D753" s="9">
        <v>148000</v>
      </c>
      <c r="E753" s="9" t="s">
        <v>2505</v>
      </c>
      <c r="F753" s="9" t="s">
        <v>66</v>
      </c>
      <c r="G753" s="9" t="s">
        <v>45</v>
      </c>
      <c r="H753" s="9" t="str">
        <f>_xlfn.XLOOKUP(G753,Employees!C:C,Employees!B:B,FALSE)</f>
        <v>T002</v>
      </c>
    </row>
    <row r="754" spans="2:8" x14ac:dyDescent="0.25">
      <c r="B754" s="9" t="s">
        <v>1574</v>
      </c>
      <c r="C754" s="9" t="s">
        <v>12</v>
      </c>
      <c r="D754" s="9">
        <v>160000</v>
      </c>
      <c r="E754" s="9" t="s">
        <v>2506</v>
      </c>
      <c r="F754" s="9" t="s">
        <v>63</v>
      </c>
      <c r="G754" s="9" t="s">
        <v>47</v>
      </c>
      <c r="H754" s="9" t="str">
        <f>_xlfn.XLOOKUP(G754,Employees!C:C,Employees!B:B,FALSE)</f>
        <v>T003</v>
      </c>
    </row>
    <row r="755" spans="2:8" x14ac:dyDescent="0.25">
      <c r="B755" s="9" t="s">
        <v>1576</v>
      </c>
      <c r="C755" s="9" t="s">
        <v>12</v>
      </c>
      <c r="D755" s="9">
        <v>108000</v>
      </c>
      <c r="E755" s="9" t="s">
        <v>2507</v>
      </c>
      <c r="F755" s="9" t="s">
        <v>63</v>
      </c>
      <c r="G755" s="9" t="s">
        <v>47</v>
      </c>
      <c r="H755" s="9" t="str">
        <f>_xlfn.XLOOKUP(G755,Employees!C:C,Employees!B:B,FALSE)</f>
        <v>T003</v>
      </c>
    </row>
    <row r="756" spans="2:8" x14ac:dyDescent="0.25">
      <c r="B756" s="9" t="s">
        <v>1578</v>
      </c>
      <c r="C756" s="9" t="s">
        <v>12</v>
      </c>
      <c r="D756" s="9">
        <v>177000</v>
      </c>
      <c r="E756" s="9" t="s">
        <v>2508</v>
      </c>
      <c r="F756" s="9" t="s">
        <v>62</v>
      </c>
      <c r="G756" s="9" t="s">
        <v>53</v>
      </c>
      <c r="H756" s="9" t="str">
        <f>_xlfn.XLOOKUP(G756,Employees!C:C,Employees!B:B,FALSE)</f>
        <v>T006</v>
      </c>
    </row>
    <row r="757" spans="2:8" x14ac:dyDescent="0.25">
      <c r="B757" s="9" t="s">
        <v>1581</v>
      </c>
      <c r="C757" s="9" t="s">
        <v>24</v>
      </c>
      <c r="D757" s="9">
        <v>39000</v>
      </c>
      <c r="E757" s="9" t="s">
        <v>2508</v>
      </c>
      <c r="F757" s="9" t="s">
        <v>66</v>
      </c>
      <c r="G757" s="9" t="s">
        <v>55</v>
      </c>
      <c r="H757" s="9" t="str">
        <f>_xlfn.XLOOKUP(G757,Employees!C:C,Employees!B:B,FALSE)</f>
        <v>T007</v>
      </c>
    </row>
    <row r="758" spans="2:8" x14ac:dyDescent="0.25">
      <c r="B758" s="9" t="s">
        <v>1582</v>
      </c>
      <c r="C758" s="9" t="s">
        <v>14</v>
      </c>
      <c r="D758" s="9">
        <v>246000</v>
      </c>
      <c r="E758" s="9" t="s">
        <v>2509</v>
      </c>
      <c r="F758" s="9" t="s">
        <v>63</v>
      </c>
      <c r="G758" s="9" t="s">
        <v>47</v>
      </c>
      <c r="H758" s="9" t="str">
        <f>_xlfn.XLOOKUP(G758,Employees!C:C,Employees!B:B,FALSE)</f>
        <v>T003</v>
      </c>
    </row>
    <row r="759" spans="2:8" x14ac:dyDescent="0.25">
      <c r="B759" s="9" t="s">
        <v>1584</v>
      </c>
      <c r="C759" s="9" t="s">
        <v>14</v>
      </c>
      <c r="D759" s="9">
        <v>152000</v>
      </c>
      <c r="E759" s="9" t="s">
        <v>2510</v>
      </c>
      <c r="F759" s="9" t="s">
        <v>63</v>
      </c>
      <c r="G759" s="9" t="s">
        <v>61</v>
      </c>
      <c r="H759" s="9" t="str">
        <f>_xlfn.XLOOKUP(G759,Employees!C:C,Employees!B:B,FALSE)</f>
        <v>T009</v>
      </c>
    </row>
    <row r="760" spans="2:8" x14ac:dyDescent="0.25">
      <c r="B760" s="9" t="s">
        <v>1586</v>
      </c>
      <c r="C760" s="9" t="s">
        <v>12</v>
      </c>
      <c r="D760" s="9">
        <v>123000</v>
      </c>
      <c r="E760" s="9" t="s">
        <v>2511</v>
      </c>
      <c r="F760" s="9" t="s">
        <v>65</v>
      </c>
      <c r="G760" s="9" t="s">
        <v>49</v>
      </c>
      <c r="H760" s="9" t="str">
        <f>_xlfn.XLOOKUP(G760,Employees!C:C,Employees!B:B,FALSE)</f>
        <v>T004</v>
      </c>
    </row>
    <row r="761" spans="2:8" x14ac:dyDescent="0.25">
      <c r="B761" s="9" t="s">
        <v>1588</v>
      </c>
      <c r="C761" s="9" t="s">
        <v>20</v>
      </c>
      <c r="D761" s="9">
        <v>263000</v>
      </c>
      <c r="E761" s="9" t="s">
        <v>2511</v>
      </c>
      <c r="F761" s="9" t="s">
        <v>62</v>
      </c>
      <c r="G761" s="9" t="s">
        <v>55</v>
      </c>
      <c r="H761" s="9" t="str">
        <f>_xlfn.XLOOKUP(G761,Employees!C:C,Employees!B:B,FALSE)</f>
        <v>T007</v>
      </c>
    </row>
    <row r="762" spans="2:8" x14ac:dyDescent="0.25">
      <c r="B762" s="9" t="s">
        <v>1589</v>
      </c>
      <c r="C762" s="9" t="s">
        <v>24</v>
      </c>
      <c r="D762" s="9">
        <v>210000</v>
      </c>
      <c r="E762" s="9" t="s">
        <v>2512</v>
      </c>
      <c r="F762" s="9" t="s">
        <v>62</v>
      </c>
      <c r="G762" s="9" t="s">
        <v>61</v>
      </c>
      <c r="H762" s="9" t="str">
        <f>_xlfn.XLOOKUP(G762,Employees!C:C,Employees!B:B,FALSE)</f>
        <v>T009</v>
      </c>
    </row>
    <row r="763" spans="2:8" x14ac:dyDescent="0.25">
      <c r="B763" s="9" t="s">
        <v>1591</v>
      </c>
      <c r="C763" s="9" t="s">
        <v>16</v>
      </c>
      <c r="D763" s="9">
        <v>197000</v>
      </c>
      <c r="E763" s="9" t="s">
        <v>2513</v>
      </c>
      <c r="F763" s="9" t="s">
        <v>67</v>
      </c>
      <c r="G763" s="9" t="s">
        <v>51</v>
      </c>
      <c r="H763" s="9" t="str">
        <f>_xlfn.XLOOKUP(G763,Employees!C:C,Employees!B:B,FALSE)</f>
        <v>T005</v>
      </c>
    </row>
    <row r="764" spans="2:8" x14ac:dyDescent="0.25">
      <c r="B764" s="9" t="s">
        <v>1593</v>
      </c>
      <c r="C764" s="9" t="s">
        <v>16</v>
      </c>
      <c r="D764" s="9">
        <v>43000</v>
      </c>
      <c r="E764" s="9" t="s">
        <v>2513</v>
      </c>
      <c r="F764" s="9" t="s">
        <v>63</v>
      </c>
      <c r="G764" s="9" t="s">
        <v>47</v>
      </c>
      <c r="H764" s="9" t="str">
        <f>_xlfn.XLOOKUP(G764,Employees!C:C,Employees!B:B,FALSE)</f>
        <v>T003</v>
      </c>
    </row>
    <row r="765" spans="2:8" x14ac:dyDescent="0.25">
      <c r="B765" s="9" t="s">
        <v>1594</v>
      </c>
      <c r="C765" s="9" t="s">
        <v>22</v>
      </c>
      <c r="D765" s="9">
        <v>222000</v>
      </c>
      <c r="E765" s="9" t="s">
        <v>2514</v>
      </c>
      <c r="F765" s="9" t="s">
        <v>64</v>
      </c>
      <c r="G765" s="9" t="s">
        <v>51</v>
      </c>
      <c r="H765" s="9" t="str">
        <f>_xlfn.XLOOKUP(G765,Employees!C:C,Employees!B:B,FALSE)</f>
        <v>T005</v>
      </c>
    </row>
    <row r="766" spans="2:8" x14ac:dyDescent="0.25">
      <c r="B766" s="9" t="s">
        <v>1596</v>
      </c>
      <c r="C766" s="9" t="s">
        <v>20</v>
      </c>
      <c r="D766" s="9">
        <v>203000</v>
      </c>
      <c r="E766" s="9" t="s">
        <v>2514</v>
      </c>
      <c r="F766" s="9" t="s">
        <v>64</v>
      </c>
      <c r="G766" s="9" t="s">
        <v>43</v>
      </c>
      <c r="H766" s="9" t="str">
        <f>_xlfn.XLOOKUP(G766,Employees!C:C,Employees!B:B,FALSE)</f>
        <v>T001</v>
      </c>
    </row>
    <row r="767" spans="2:8" x14ac:dyDescent="0.25">
      <c r="B767" s="9" t="s">
        <v>1598</v>
      </c>
      <c r="C767" s="9" t="s">
        <v>20</v>
      </c>
      <c r="D767" s="9">
        <v>94000</v>
      </c>
      <c r="E767" s="9" t="s">
        <v>2514</v>
      </c>
      <c r="F767" s="9" t="s">
        <v>66</v>
      </c>
      <c r="G767" s="9" t="s">
        <v>47</v>
      </c>
      <c r="H767" s="9" t="str">
        <f>_xlfn.XLOOKUP(G767,Employees!C:C,Employees!B:B,FALSE)</f>
        <v>T003</v>
      </c>
    </row>
    <row r="768" spans="2:8" x14ac:dyDescent="0.25">
      <c r="B768" s="9" t="s">
        <v>1599</v>
      </c>
      <c r="C768" s="9" t="s">
        <v>12</v>
      </c>
      <c r="D768" s="9">
        <v>159000</v>
      </c>
      <c r="E768" s="9" t="s">
        <v>2514</v>
      </c>
      <c r="F768" s="9" t="s">
        <v>64</v>
      </c>
      <c r="G768" s="9" t="s">
        <v>43</v>
      </c>
      <c r="H768" s="9" t="str">
        <f>_xlfn.XLOOKUP(G768,Employees!C:C,Employees!B:B,FALSE)</f>
        <v>T001</v>
      </c>
    </row>
    <row r="769" spans="2:8" x14ac:dyDescent="0.25">
      <c r="B769" s="9" t="s">
        <v>1600</v>
      </c>
      <c r="C769" s="9" t="s">
        <v>18</v>
      </c>
      <c r="D769" s="9">
        <v>300000</v>
      </c>
      <c r="E769" s="9" t="s">
        <v>2514</v>
      </c>
      <c r="F769" s="9" t="s">
        <v>66</v>
      </c>
      <c r="G769" s="9" t="s">
        <v>43</v>
      </c>
      <c r="H769" s="9" t="str">
        <f>_xlfn.XLOOKUP(G769,Employees!C:C,Employees!B:B,FALSE)</f>
        <v>T001</v>
      </c>
    </row>
    <row r="770" spans="2:8" x14ac:dyDescent="0.25">
      <c r="B770" s="9" t="s">
        <v>1602</v>
      </c>
      <c r="C770" s="9" t="s">
        <v>20</v>
      </c>
      <c r="D770" s="9">
        <v>101000</v>
      </c>
      <c r="E770" s="9" t="s">
        <v>2515</v>
      </c>
      <c r="F770" s="9" t="s">
        <v>66</v>
      </c>
      <c r="G770" s="9" t="s">
        <v>47</v>
      </c>
      <c r="H770" s="9" t="str">
        <f>_xlfn.XLOOKUP(G770,Employees!C:C,Employees!B:B,FALSE)</f>
        <v>T003</v>
      </c>
    </row>
    <row r="771" spans="2:8" x14ac:dyDescent="0.25">
      <c r="B771" s="9" t="s">
        <v>1604</v>
      </c>
      <c r="C771" s="9" t="s">
        <v>22</v>
      </c>
      <c r="D771" s="9">
        <v>287000</v>
      </c>
      <c r="E771" s="9" t="s">
        <v>2516</v>
      </c>
      <c r="F771" s="9" t="s">
        <v>66</v>
      </c>
      <c r="G771" s="9" t="s">
        <v>51</v>
      </c>
      <c r="H771" s="9" t="str">
        <f>_xlfn.XLOOKUP(G771,Employees!C:C,Employees!B:B,FALSE)</f>
        <v>T005</v>
      </c>
    </row>
    <row r="772" spans="2:8" x14ac:dyDescent="0.25">
      <c r="B772" s="9" t="s">
        <v>1606</v>
      </c>
      <c r="C772" s="9" t="s">
        <v>18</v>
      </c>
      <c r="D772" s="9">
        <v>103000</v>
      </c>
      <c r="E772" s="9" t="s">
        <v>2517</v>
      </c>
      <c r="F772" s="9" t="s">
        <v>63</v>
      </c>
      <c r="G772" s="9" t="s">
        <v>55</v>
      </c>
      <c r="H772" s="9" t="str">
        <f>_xlfn.XLOOKUP(G772,Employees!C:C,Employees!B:B,FALSE)</f>
        <v>T007</v>
      </c>
    </row>
    <row r="773" spans="2:8" x14ac:dyDescent="0.25">
      <c r="B773" s="9" t="s">
        <v>1608</v>
      </c>
      <c r="C773" s="9" t="s">
        <v>22</v>
      </c>
      <c r="D773" s="9">
        <v>58000</v>
      </c>
      <c r="E773" s="9" t="s">
        <v>2518</v>
      </c>
      <c r="F773" s="9" t="s">
        <v>64</v>
      </c>
      <c r="G773" s="9" t="s">
        <v>61</v>
      </c>
      <c r="H773" s="9" t="str">
        <f>_xlfn.XLOOKUP(G773,Employees!C:C,Employees!B:B,FALSE)</f>
        <v>T009</v>
      </c>
    </row>
    <row r="774" spans="2:8" x14ac:dyDescent="0.25">
      <c r="B774" s="9" t="s">
        <v>1610</v>
      </c>
      <c r="C774" s="9" t="s">
        <v>14</v>
      </c>
      <c r="D774" s="9">
        <v>145000</v>
      </c>
      <c r="E774" s="9" t="s">
        <v>2518</v>
      </c>
      <c r="F774" s="9" t="s">
        <v>62</v>
      </c>
      <c r="G774" s="9" t="s">
        <v>43</v>
      </c>
      <c r="H774" s="9" t="str">
        <f>_xlfn.XLOOKUP(G774,Employees!C:C,Employees!B:B,FALSE)</f>
        <v>T001</v>
      </c>
    </row>
    <row r="775" spans="2:8" x14ac:dyDescent="0.25">
      <c r="B775" s="9" t="s">
        <v>1611</v>
      </c>
      <c r="C775" s="9" t="s">
        <v>24</v>
      </c>
      <c r="D775" s="9">
        <v>278000</v>
      </c>
      <c r="E775" s="9" t="s">
        <v>2518</v>
      </c>
      <c r="F775" s="9" t="s">
        <v>64</v>
      </c>
      <c r="G775" s="9" t="s">
        <v>47</v>
      </c>
      <c r="H775" s="9" t="str">
        <f>_xlfn.XLOOKUP(G775,Employees!C:C,Employees!B:B,FALSE)</f>
        <v>T003</v>
      </c>
    </row>
    <row r="776" spans="2:8" x14ac:dyDescent="0.25">
      <c r="B776" s="9" t="s">
        <v>1612</v>
      </c>
      <c r="C776" s="9" t="s">
        <v>22</v>
      </c>
      <c r="D776" s="9">
        <v>176000</v>
      </c>
      <c r="E776" s="9" t="s">
        <v>2519</v>
      </c>
      <c r="F776" s="9" t="s">
        <v>67</v>
      </c>
      <c r="G776" s="9" t="s">
        <v>49</v>
      </c>
      <c r="H776" s="9" t="str">
        <f>_xlfn.XLOOKUP(G776,Employees!C:C,Employees!B:B,FALSE)</f>
        <v>T004</v>
      </c>
    </row>
    <row r="777" spans="2:8" x14ac:dyDescent="0.25">
      <c r="B777" s="9" t="s">
        <v>1614</v>
      </c>
      <c r="C777" s="9" t="s">
        <v>18</v>
      </c>
      <c r="D777" s="9">
        <v>100000</v>
      </c>
      <c r="E777" s="9" t="s">
        <v>2519</v>
      </c>
      <c r="F777" s="9" t="s">
        <v>63</v>
      </c>
      <c r="G777" s="9" t="s">
        <v>47</v>
      </c>
      <c r="H777" s="9" t="str">
        <f>_xlfn.XLOOKUP(G777,Employees!C:C,Employees!B:B,FALSE)</f>
        <v>T003</v>
      </c>
    </row>
    <row r="778" spans="2:8" x14ac:dyDescent="0.25">
      <c r="B778" s="9" t="s">
        <v>1615</v>
      </c>
      <c r="C778" s="9" t="s">
        <v>18</v>
      </c>
      <c r="D778" s="9">
        <v>148000</v>
      </c>
      <c r="E778" s="9" t="s">
        <v>2520</v>
      </c>
      <c r="F778" s="9" t="s">
        <v>67</v>
      </c>
      <c r="G778" s="9" t="s">
        <v>49</v>
      </c>
      <c r="H778" s="9" t="str">
        <f>_xlfn.XLOOKUP(G778,Employees!C:C,Employees!B:B,FALSE)</f>
        <v>T004</v>
      </c>
    </row>
    <row r="779" spans="2:8" x14ac:dyDescent="0.25">
      <c r="B779" s="9" t="s">
        <v>1617</v>
      </c>
      <c r="C779" s="9" t="s">
        <v>24</v>
      </c>
      <c r="D779" s="9">
        <v>151000</v>
      </c>
      <c r="E779" s="9" t="s">
        <v>2520</v>
      </c>
      <c r="F779" s="9" t="s">
        <v>62</v>
      </c>
      <c r="G779" s="9" t="s">
        <v>61</v>
      </c>
      <c r="H779" s="9" t="str">
        <f>_xlfn.XLOOKUP(G779,Employees!C:C,Employees!B:B,FALSE)</f>
        <v>T009</v>
      </c>
    </row>
    <row r="780" spans="2:8" x14ac:dyDescent="0.25">
      <c r="B780" s="9" t="s">
        <v>1619</v>
      </c>
      <c r="C780" s="9" t="s">
        <v>12</v>
      </c>
      <c r="D780" s="9">
        <v>63000</v>
      </c>
      <c r="E780" s="9" t="s">
        <v>2520</v>
      </c>
      <c r="F780" s="9" t="s">
        <v>63</v>
      </c>
      <c r="G780" s="9" t="s">
        <v>45</v>
      </c>
      <c r="H780" s="9" t="str">
        <f>_xlfn.XLOOKUP(G780,Employees!C:C,Employees!B:B,FALSE)</f>
        <v>T002</v>
      </c>
    </row>
    <row r="781" spans="2:8" x14ac:dyDescent="0.25">
      <c r="B781" s="9" t="s">
        <v>1620</v>
      </c>
      <c r="C781" s="9" t="s">
        <v>18</v>
      </c>
      <c r="D781" s="9">
        <v>94000</v>
      </c>
      <c r="E781" s="9" t="s">
        <v>2520</v>
      </c>
      <c r="F781" s="9" t="s">
        <v>63</v>
      </c>
      <c r="G781" s="9" t="s">
        <v>49</v>
      </c>
      <c r="H781" s="9" t="str">
        <f>_xlfn.XLOOKUP(G781,Employees!C:C,Employees!B:B,FALSE)</f>
        <v>T004</v>
      </c>
    </row>
    <row r="782" spans="2:8" x14ac:dyDescent="0.25">
      <c r="B782" s="9" t="s">
        <v>1621</v>
      </c>
      <c r="C782" s="9" t="s">
        <v>22</v>
      </c>
      <c r="D782" s="9">
        <v>274000</v>
      </c>
      <c r="E782" s="9" t="s">
        <v>2520</v>
      </c>
      <c r="F782" s="9" t="s">
        <v>65</v>
      </c>
      <c r="G782" s="9" t="s">
        <v>43</v>
      </c>
      <c r="H782" s="9" t="str">
        <f>_xlfn.XLOOKUP(G782,Employees!C:C,Employees!B:B,FALSE)</f>
        <v>T001</v>
      </c>
    </row>
    <row r="783" spans="2:8" x14ac:dyDescent="0.25">
      <c r="B783" s="9" t="s">
        <v>1622</v>
      </c>
      <c r="C783" s="9" t="s">
        <v>12</v>
      </c>
      <c r="D783" s="9">
        <v>219000</v>
      </c>
      <c r="E783" s="9" t="s">
        <v>2521</v>
      </c>
      <c r="F783" s="9" t="s">
        <v>64</v>
      </c>
      <c r="G783" s="9" t="s">
        <v>45</v>
      </c>
      <c r="H783" s="9" t="str">
        <f>_xlfn.XLOOKUP(G783,Employees!C:C,Employees!B:B,FALSE)</f>
        <v>T002</v>
      </c>
    </row>
    <row r="784" spans="2:8" x14ac:dyDescent="0.25">
      <c r="B784" s="9" t="s">
        <v>1625</v>
      </c>
      <c r="C784" s="9" t="s">
        <v>16</v>
      </c>
      <c r="D784" s="9">
        <v>230000</v>
      </c>
      <c r="E784" s="9" t="s">
        <v>2521</v>
      </c>
      <c r="F784" s="9" t="s">
        <v>67</v>
      </c>
      <c r="G784" s="9" t="s">
        <v>45</v>
      </c>
      <c r="H784" s="9" t="str">
        <f>_xlfn.XLOOKUP(G784,Employees!C:C,Employees!B:B,FALSE)</f>
        <v>T002</v>
      </c>
    </row>
    <row r="785" spans="2:8" x14ac:dyDescent="0.25">
      <c r="B785" s="9" t="s">
        <v>1626</v>
      </c>
      <c r="C785" s="9" t="s">
        <v>18</v>
      </c>
      <c r="D785" s="9">
        <v>215000</v>
      </c>
      <c r="E785" s="9" t="s">
        <v>2522</v>
      </c>
      <c r="F785" s="9" t="s">
        <v>62</v>
      </c>
      <c r="G785" s="9" t="s">
        <v>55</v>
      </c>
      <c r="H785" s="9" t="str">
        <f>_xlfn.XLOOKUP(G785,Employees!C:C,Employees!B:B,FALSE)</f>
        <v>T007</v>
      </c>
    </row>
    <row r="786" spans="2:8" x14ac:dyDescent="0.25">
      <c r="B786" s="9" t="s">
        <v>1628</v>
      </c>
      <c r="C786" s="9" t="s">
        <v>14</v>
      </c>
      <c r="D786" s="9">
        <v>281000</v>
      </c>
      <c r="E786" s="9" t="s">
        <v>2522</v>
      </c>
      <c r="F786" s="9" t="s">
        <v>64</v>
      </c>
      <c r="G786" s="9" t="s">
        <v>58</v>
      </c>
      <c r="H786" s="9" t="str">
        <f>_xlfn.XLOOKUP(G786,Employees!C:C,Employees!B:B,FALSE)</f>
        <v>T008</v>
      </c>
    </row>
    <row r="787" spans="2:8" x14ac:dyDescent="0.25">
      <c r="B787" s="9" t="s">
        <v>1629</v>
      </c>
      <c r="C787" s="9" t="s">
        <v>12</v>
      </c>
      <c r="D787" s="9">
        <v>281000</v>
      </c>
      <c r="E787" s="9" t="s">
        <v>2522</v>
      </c>
      <c r="F787" s="9" t="s">
        <v>65</v>
      </c>
      <c r="G787" s="9" t="s">
        <v>58</v>
      </c>
      <c r="H787" s="9" t="str">
        <f>_xlfn.XLOOKUP(G787,Employees!C:C,Employees!B:B,FALSE)</f>
        <v>T008</v>
      </c>
    </row>
    <row r="788" spans="2:8" x14ac:dyDescent="0.25">
      <c r="B788" s="9" t="s">
        <v>1630</v>
      </c>
      <c r="C788" s="9" t="s">
        <v>12</v>
      </c>
      <c r="D788" s="9">
        <v>173000</v>
      </c>
      <c r="E788" s="9" t="s">
        <v>2523</v>
      </c>
      <c r="F788" s="9" t="s">
        <v>64</v>
      </c>
      <c r="G788" s="9" t="s">
        <v>43</v>
      </c>
      <c r="H788" s="9" t="str">
        <f>_xlfn.XLOOKUP(G788,Employees!C:C,Employees!B:B,FALSE)</f>
        <v>T001</v>
      </c>
    </row>
    <row r="789" spans="2:8" x14ac:dyDescent="0.25">
      <c r="B789" s="9" t="s">
        <v>1632</v>
      </c>
      <c r="C789" s="9" t="s">
        <v>12</v>
      </c>
      <c r="D789" s="9">
        <v>35000</v>
      </c>
      <c r="E789" s="9" t="s">
        <v>2524</v>
      </c>
      <c r="F789" s="9" t="s">
        <v>64</v>
      </c>
      <c r="G789" s="9" t="s">
        <v>61</v>
      </c>
      <c r="H789" s="9" t="str">
        <f>_xlfn.XLOOKUP(G789,Employees!C:C,Employees!B:B,FALSE)</f>
        <v>T009</v>
      </c>
    </row>
    <row r="790" spans="2:8" x14ac:dyDescent="0.25">
      <c r="B790" s="9" t="s">
        <v>1634</v>
      </c>
      <c r="C790" s="9" t="s">
        <v>14</v>
      </c>
      <c r="D790" s="9">
        <v>76000</v>
      </c>
      <c r="E790" s="9" t="s">
        <v>2525</v>
      </c>
      <c r="F790" s="9" t="s">
        <v>64</v>
      </c>
      <c r="G790" s="9" t="s">
        <v>61</v>
      </c>
      <c r="H790" s="9" t="str">
        <f>_xlfn.XLOOKUP(G790,Employees!C:C,Employees!B:B,FALSE)</f>
        <v>T009</v>
      </c>
    </row>
    <row r="791" spans="2:8" x14ac:dyDescent="0.25">
      <c r="B791" s="9" t="s">
        <v>1636</v>
      </c>
      <c r="C791" s="9" t="s">
        <v>24</v>
      </c>
      <c r="D791" s="9">
        <v>260000</v>
      </c>
      <c r="E791" s="9" t="s">
        <v>2526</v>
      </c>
      <c r="F791" s="9" t="s">
        <v>64</v>
      </c>
      <c r="G791" s="9" t="s">
        <v>47</v>
      </c>
      <c r="H791" s="9" t="str">
        <f>_xlfn.XLOOKUP(G791,Employees!C:C,Employees!B:B,FALSE)</f>
        <v>T003</v>
      </c>
    </row>
    <row r="792" spans="2:8" x14ac:dyDescent="0.25">
      <c r="B792" s="9" t="s">
        <v>1638</v>
      </c>
      <c r="C792" s="9" t="s">
        <v>18</v>
      </c>
      <c r="D792" s="9">
        <v>108000</v>
      </c>
      <c r="E792" s="9" t="s">
        <v>2526</v>
      </c>
      <c r="F792" s="9" t="s">
        <v>62</v>
      </c>
      <c r="G792" s="9" t="s">
        <v>53</v>
      </c>
      <c r="H792" s="9" t="str">
        <f>_xlfn.XLOOKUP(G792,Employees!C:C,Employees!B:B,FALSE)</f>
        <v>T006</v>
      </c>
    </row>
    <row r="793" spans="2:8" x14ac:dyDescent="0.25">
      <c r="B793" s="9" t="s">
        <v>1639</v>
      </c>
      <c r="C793" s="9" t="s">
        <v>16</v>
      </c>
      <c r="D793" s="9">
        <v>71000</v>
      </c>
      <c r="E793" s="9" t="s">
        <v>2527</v>
      </c>
      <c r="F793" s="9" t="s">
        <v>63</v>
      </c>
      <c r="G793" s="9" t="s">
        <v>58</v>
      </c>
      <c r="H793" s="9" t="str">
        <f>_xlfn.XLOOKUP(G793,Employees!C:C,Employees!B:B,FALSE)</f>
        <v>T008</v>
      </c>
    </row>
    <row r="794" spans="2:8" x14ac:dyDescent="0.25">
      <c r="B794" s="9" t="s">
        <v>1641</v>
      </c>
      <c r="C794" s="9" t="s">
        <v>24</v>
      </c>
      <c r="D794" s="9">
        <v>187000</v>
      </c>
      <c r="E794" s="9" t="s">
        <v>2528</v>
      </c>
      <c r="F794" s="9" t="s">
        <v>66</v>
      </c>
      <c r="G794" s="9" t="s">
        <v>55</v>
      </c>
      <c r="H794" s="9" t="str">
        <f>_xlfn.XLOOKUP(G794,Employees!C:C,Employees!B:B,FALSE)</f>
        <v>T007</v>
      </c>
    </row>
    <row r="795" spans="2:8" x14ac:dyDescent="0.25">
      <c r="B795" s="9" t="s">
        <v>1643</v>
      </c>
      <c r="C795" s="9" t="s">
        <v>12</v>
      </c>
      <c r="D795" s="9">
        <v>178000</v>
      </c>
      <c r="E795" s="9" t="s">
        <v>2529</v>
      </c>
      <c r="F795" s="9" t="s">
        <v>62</v>
      </c>
      <c r="G795" s="9" t="s">
        <v>49</v>
      </c>
      <c r="H795" s="9" t="str">
        <f>_xlfn.XLOOKUP(G795,Employees!C:C,Employees!B:B,FALSE)</f>
        <v>T004</v>
      </c>
    </row>
    <row r="796" spans="2:8" x14ac:dyDescent="0.25">
      <c r="B796" s="9" t="s">
        <v>1645</v>
      </c>
      <c r="C796" s="9" t="s">
        <v>20</v>
      </c>
      <c r="D796" s="9">
        <v>205000</v>
      </c>
      <c r="E796" s="9" t="s">
        <v>2530</v>
      </c>
      <c r="F796" s="9" t="s">
        <v>64</v>
      </c>
      <c r="G796" s="9" t="s">
        <v>51</v>
      </c>
      <c r="H796" s="9" t="str">
        <f>_xlfn.XLOOKUP(G796,Employees!C:C,Employees!B:B,FALSE)</f>
        <v>T005</v>
      </c>
    </row>
    <row r="797" spans="2:8" x14ac:dyDescent="0.25">
      <c r="B797" s="9" t="s">
        <v>1648</v>
      </c>
      <c r="C797" s="9" t="s">
        <v>22</v>
      </c>
      <c r="D797" s="9">
        <v>69000</v>
      </c>
      <c r="E797" s="9" t="s">
        <v>2531</v>
      </c>
      <c r="F797" s="9" t="s">
        <v>62</v>
      </c>
      <c r="G797" s="9" t="s">
        <v>49</v>
      </c>
      <c r="H797" s="9" t="str">
        <f>_xlfn.XLOOKUP(G797,Employees!C:C,Employees!B:B,FALSE)</f>
        <v>T004</v>
      </c>
    </row>
    <row r="798" spans="2:8" x14ac:dyDescent="0.25">
      <c r="B798" s="9" t="s">
        <v>1650</v>
      </c>
      <c r="C798" s="9" t="s">
        <v>12</v>
      </c>
      <c r="D798" s="9">
        <v>136000</v>
      </c>
      <c r="E798" s="9" t="s">
        <v>2532</v>
      </c>
      <c r="F798" s="9" t="s">
        <v>63</v>
      </c>
      <c r="G798" s="9" t="s">
        <v>47</v>
      </c>
      <c r="H798" s="9" t="str">
        <f>_xlfn.XLOOKUP(G798,Employees!C:C,Employees!B:B,FALSE)</f>
        <v>T003</v>
      </c>
    </row>
    <row r="799" spans="2:8" x14ac:dyDescent="0.25">
      <c r="B799" s="9" t="s">
        <v>1652</v>
      </c>
      <c r="C799" s="9" t="s">
        <v>22</v>
      </c>
      <c r="D799" s="9">
        <v>91000</v>
      </c>
      <c r="E799" s="9" t="s">
        <v>2533</v>
      </c>
      <c r="F799" s="9" t="s">
        <v>63</v>
      </c>
      <c r="G799" s="9" t="s">
        <v>51</v>
      </c>
      <c r="H799" s="9" t="str">
        <f>_xlfn.XLOOKUP(G799,Employees!C:C,Employees!B:B,FALSE)</f>
        <v>T005</v>
      </c>
    </row>
    <row r="800" spans="2:8" x14ac:dyDescent="0.25">
      <c r="B800" s="9" t="s">
        <v>1654</v>
      </c>
      <c r="C800" s="9" t="s">
        <v>18</v>
      </c>
      <c r="D800" s="9">
        <v>245000</v>
      </c>
      <c r="E800" s="9" t="s">
        <v>2533</v>
      </c>
      <c r="F800" s="9" t="s">
        <v>63</v>
      </c>
      <c r="G800" s="9" t="s">
        <v>47</v>
      </c>
      <c r="H800" s="9" t="str">
        <f>_xlfn.XLOOKUP(G800,Employees!C:C,Employees!B:B,FALSE)</f>
        <v>T003</v>
      </c>
    </row>
    <row r="801" spans="2:8" x14ac:dyDescent="0.25">
      <c r="B801" s="9" t="s">
        <v>1655</v>
      </c>
      <c r="C801" s="9" t="s">
        <v>16</v>
      </c>
      <c r="D801" s="9">
        <v>249000</v>
      </c>
      <c r="E801" s="9" t="s">
        <v>2534</v>
      </c>
      <c r="F801" s="9" t="s">
        <v>62</v>
      </c>
      <c r="G801" s="9" t="s">
        <v>45</v>
      </c>
      <c r="H801" s="9" t="str">
        <f>_xlfn.XLOOKUP(G801,Employees!C:C,Employees!B:B,FALSE)</f>
        <v>T002</v>
      </c>
    </row>
    <row r="802" spans="2:8" x14ac:dyDescent="0.25">
      <c r="B802" s="9" t="s">
        <v>1657</v>
      </c>
      <c r="C802" s="9" t="s">
        <v>14</v>
      </c>
      <c r="D802" s="9">
        <v>43000</v>
      </c>
      <c r="E802" s="9" t="s">
        <v>2534</v>
      </c>
      <c r="F802" s="9" t="s">
        <v>64</v>
      </c>
      <c r="G802" s="9" t="s">
        <v>47</v>
      </c>
      <c r="H802" s="9" t="str">
        <f>_xlfn.XLOOKUP(G802,Employees!C:C,Employees!B:B,FALSE)</f>
        <v>T003</v>
      </c>
    </row>
    <row r="803" spans="2:8" x14ac:dyDescent="0.25">
      <c r="B803" s="9" t="s">
        <v>1658</v>
      </c>
      <c r="C803" s="9" t="s">
        <v>16</v>
      </c>
      <c r="D803" s="9">
        <v>142000</v>
      </c>
      <c r="E803" s="9" t="s">
        <v>2535</v>
      </c>
      <c r="F803" s="9" t="s">
        <v>63</v>
      </c>
      <c r="G803" s="9" t="s">
        <v>58</v>
      </c>
      <c r="H803" s="9" t="str">
        <f>_xlfn.XLOOKUP(G803,Employees!C:C,Employees!B:B,FALSE)</f>
        <v>T008</v>
      </c>
    </row>
    <row r="804" spans="2:8" x14ac:dyDescent="0.25">
      <c r="B804" s="9" t="s">
        <v>1660</v>
      </c>
      <c r="C804" s="9" t="s">
        <v>14</v>
      </c>
      <c r="D804" s="9">
        <v>32000</v>
      </c>
      <c r="E804" s="9" t="s">
        <v>2535</v>
      </c>
      <c r="F804" s="9" t="s">
        <v>63</v>
      </c>
      <c r="G804" s="9" t="s">
        <v>45</v>
      </c>
      <c r="H804" s="9" t="str">
        <f>_xlfn.XLOOKUP(G804,Employees!C:C,Employees!B:B,FALSE)</f>
        <v>T002</v>
      </c>
    </row>
    <row r="805" spans="2:8" x14ac:dyDescent="0.25">
      <c r="B805" s="9" t="s">
        <v>1662</v>
      </c>
      <c r="C805" s="9" t="s">
        <v>16</v>
      </c>
      <c r="D805" s="9">
        <v>97000</v>
      </c>
      <c r="E805" s="9" t="s">
        <v>2536</v>
      </c>
      <c r="F805" s="9" t="s">
        <v>62</v>
      </c>
      <c r="G805" s="9" t="s">
        <v>45</v>
      </c>
      <c r="H805" s="9" t="str">
        <f>_xlfn.XLOOKUP(G805,Employees!C:C,Employees!B:B,FALSE)</f>
        <v>T002</v>
      </c>
    </row>
    <row r="806" spans="2:8" x14ac:dyDescent="0.25">
      <c r="B806" s="9" t="s">
        <v>1664</v>
      </c>
      <c r="C806" s="9" t="s">
        <v>18</v>
      </c>
      <c r="D806" s="9">
        <v>215000</v>
      </c>
      <c r="E806" s="9" t="s">
        <v>2537</v>
      </c>
      <c r="F806" s="9" t="s">
        <v>63</v>
      </c>
      <c r="G806" s="9" t="s">
        <v>45</v>
      </c>
      <c r="H806" s="9" t="str">
        <f>_xlfn.XLOOKUP(G806,Employees!C:C,Employees!B:B,FALSE)</f>
        <v>T002</v>
      </c>
    </row>
    <row r="807" spans="2:8" x14ac:dyDescent="0.25">
      <c r="B807" s="9" t="s">
        <v>1666</v>
      </c>
      <c r="C807" s="9" t="s">
        <v>16</v>
      </c>
      <c r="D807" s="9">
        <v>269000</v>
      </c>
      <c r="E807" s="9" t="s">
        <v>2538</v>
      </c>
      <c r="F807" s="9" t="s">
        <v>67</v>
      </c>
      <c r="G807" s="9" t="s">
        <v>47</v>
      </c>
      <c r="H807" s="9" t="str">
        <f>_xlfn.XLOOKUP(G807,Employees!C:C,Employees!B:B,FALSE)</f>
        <v>T003</v>
      </c>
    </row>
    <row r="808" spans="2:8" x14ac:dyDescent="0.25">
      <c r="B808" s="9" t="s">
        <v>1668</v>
      </c>
      <c r="C808" s="9" t="s">
        <v>14</v>
      </c>
      <c r="D808" s="9">
        <v>145000</v>
      </c>
      <c r="E808" s="9" t="s">
        <v>2539</v>
      </c>
      <c r="F808" s="9" t="s">
        <v>65</v>
      </c>
      <c r="G808" s="9" t="s">
        <v>51</v>
      </c>
      <c r="H808" s="9" t="str">
        <f>_xlfn.XLOOKUP(G808,Employees!C:C,Employees!B:B,FALSE)</f>
        <v>T005</v>
      </c>
    </row>
    <row r="809" spans="2:8" x14ac:dyDescent="0.25">
      <c r="B809" s="9" t="s">
        <v>1670</v>
      </c>
      <c r="C809" s="9" t="s">
        <v>14</v>
      </c>
      <c r="D809" s="9">
        <v>180000</v>
      </c>
      <c r="E809" s="9" t="s">
        <v>2539</v>
      </c>
      <c r="F809" s="9" t="s">
        <v>64</v>
      </c>
      <c r="G809" s="9" t="s">
        <v>51</v>
      </c>
      <c r="H809" s="9" t="str">
        <f>_xlfn.XLOOKUP(G809,Employees!C:C,Employees!B:B,FALSE)</f>
        <v>T005</v>
      </c>
    </row>
    <row r="810" spans="2:8" x14ac:dyDescent="0.25">
      <c r="B810" s="9" t="s">
        <v>1671</v>
      </c>
      <c r="C810" s="9" t="s">
        <v>16</v>
      </c>
      <c r="D810" s="9">
        <v>257000</v>
      </c>
      <c r="E810" s="9" t="s">
        <v>2540</v>
      </c>
      <c r="F810" s="9" t="s">
        <v>64</v>
      </c>
      <c r="G810" s="9" t="s">
        <v>53</v>
      </c>
      <c r="H810" s="9" t="str">
        <f>_xlfn.XLOOKUP(G810,Employees!C:C,Employees!B:B,FALSE)</f>
        <v>T006</v>
      </c>
    </row>
    <row r="811" spans="2:8" x14ac:dyDescent="0.25">
      <c r="B811" s="9" t="s">
        <v>1673</v>
      </c>
      <c r="C811" s="9" t="s">
        <v>12</v>
      </c>
      <c r="D811" s="9">
        <v>43000</v>
      </c>
      <c r="E811" s="9" t="s">
        <v>2541</v>
      </c>
      <c r="F811" s="9" t="s">
        <v>62</v>
      </c>
      <c r="G811" s="9" t="s">
        <v>49</v>
      </c>
      <c r="H811" s="9" t="str">
        <f>_xlfn.XLOOKUP(G811,Employees!C:C,Employees!B:B,FALSE)</f>
        <v>T004</v>
      </c>
    </row>
    <row r="812" spans="2:8" x14ac:dyDescent="0.25">
      <c r="B812" s="9" t="s">
        <v>1675</v>
      </c>
      <c r="C812" s="9" t="s">
        <v>24</v>
      </c>
      <c r="D812" s="9">
        <v>254000</v>
      </c>
      <c r="E812" s="9" t="s">
        <v>2542</v>
      </c>
      <c r="F812" s="9" t="s">
        <v>62</v>
      </c>
      <c r="G812" s="9" t="s">
        <v>51</v>
      </c>
      <c r="H812" s="9" t="str">
        <f>_xlfn.XLOOKUP(G812,Employees!C:C,Employees!B:B,FALSE)</f>
        <v>T005</v>
      </c>
    </row>
    <row r="813" spans="2:8" x14ac:dyDescent="0.25">
      <c r="B813" s="9" t="s">
        <v>1677</v>
      </c>
      <c r="C813" s="9" t="s">
        <v>16</v>
      </c>
      <c r="D813" s="9">
        <v>237000</v>
      </c>
      <c r="E813" s="9" t="s">
        <v>2542</v>
      </c>
      <c r="F813" s="9" t="s">
        <v>66</v>
      </c>
      <c r="G813" s="9" t="s">
        <v>47</v>
      </c>
      <c r="H813" s="9" t="str">
        <f>_xlfn.XLOOKUP(G813,Employees!C:C,Employees!B:B,FALSE)</f>
        <v>T003</v>
      </c>
    </row>
    <row r="814" spans="2:8" x14ac:dyDescent="0.25">
      <c r="B814" s="9" t="s">
        <v>1678</v>
      </c>
      <c r="C814" s="9" t="s">
        <v>16</v>
      </c>
      <c r="D814" s="9">
        <v>152000</v>
      </c>
      <c r="E814" s="9" t="s">
        <v>2542</v>
      </c>
      <c r="F814" s="9" t="s">
        <v>64</v>
      </c>
      <c r="G814" s="9" t="s">
        <v>61</v>
      </c>
      <c r="H814" s="9" t="str">
        <f>_xlfn.XLOOKUP(G814,Employees!C:C,Employees!B:B,FALSE)</f>
        <v>T009</v>
      </c>
    </row>
    <row r="815" spans="2:8" x14ac:dyDescent="0.25">
      <c r="B815" s="9" t="s">
        <v>1679</v>
      </c>
      <c r="C815" s="9" t="s">
        <v>14</v>
      </c>
      <c r="D815" s="9">
        <v>299000</v>
      </c>
      <c r="E815" s="9" t="s">
        <v>2543</v>
      </c>
      <c r="F815" s="9" t="s">
        <v>67</v>
      </c>
      <c r="G815" s="9" t="s">
        <v>61</v>
      </c>
      <c r="H815" s="9" t="str">
        <f>_xlfn.XLOOKUP(G815,Employees!C:C,Employees!B:B,FALSE)</f>
        <v>T009</v>
      </c>
    </row>
    <row r="816" spans="2:8" x14ac:dyDescent="0.25">
      <c r="B816" s="9" t="s">
        <v>1681</v>
      </c>
      <c r="C816" s="9" t="s">
        <v>12</v>
      </c>
      <c r="D816" s="9">
        <v>35000</v>
      </c>
      <c r="E816" s="9" t="s">
        <v>2543</v>
      </c>
      <c r="F816" s="9" t="s">
        <v>62</v>
      </c>
      <c r="G816" s="9" t="s">
        <v>51</v>
      </c>
      <c r="H816" s="9" t="str">
        <f>_xlfn.XLOOKUP(G816,Employees!C:C,Employees!B:B,FALSE)</f>
        <v>T005</v>
      </c>
    </row>
    <row r="817" spans="2:8" x14ac:dyDescent="0.25">
      <c r="B817" s="9" t="s">
        <v>1682</v>
      </c>
      <c r="C817" s="9" t="s">
        <v>20</v>
      </c>
      <c r="D817" s="9">
        <v>45000</v>
      </c>
      <c r="E817" s="9" t="s">
        <v>2544</v>
      </c>
      <c r="F817" s="9" t="s">
        <v>65</v>
      </c>
      <c r="G817" s="9" t="s">
        <v>49</v>
      </c>
      <c r="H817" s="9" t="str">
        <f>_xlfn.XLOOKUP(G817,Employees!C:C,Employees!B:B,FALSE)</f>
        <v>T004</v>
      </c>
    </row>
    <row r="818" spans="2:8" x14ac:dyDescent="0.25">
      <c r="B818" s="9" t="s">
        <v>1684</v>
      </c>
      <c r="C818" s="9" t="s">
        <v>22</v>
      </c>
      <c r="D818" s="9">
        <v>132000</v>
      </c>
      <c r="E818" s="9" t="s">
        <v>2544</v>
      </c>
      <c r="F818" s="9" t="s">
        <v>65</v>
      </c>
      <c r="G818" s="9" t="s">
        <v>55</v>
      </c>
      <c r="H818" s="9" t="str">
        <f>_xlfn.XLOOKUP(G818,Employees!C:C,Employees!B:B,FALSE)</f>
        <v>T007</v>
      </c>
    </row>
    <row r="819" spans="2:8" x14ac:dyDescent="0.25">
      <c r="B819" s="9" t="s">
        <v>1685</v>
      </c>
      <c r="C819" s="9" t="s">
        <v>14</v>
      </c>
      <c r="D819" s="9">
        <v>83000</v>
      </c>
      <c r="E819" s="9" t="s">
        <v>2544</v>
      </c>
      <c r="F819" s="9" t="s">
        <v>64</v>
      </c>
      <c r="G819" s="9" t="s">
        <v>53</v>
      </c>
      <c r="H819" s="9" t="str">
        <f>_xlfn.XLOOKUP(G819,Employees!C:C,Employees!B:B,FALSE)</f>
        <v>T006</v>
      </c>
    </row>
    <row r="820" spans="2:8" x14ac:dyDescent="0.25">
      <c r="B820" s="9" t="s">
        <v>1686</v>
      </c>
      <c r="C820" s="9" t="s">
        <v>24</v>
      </c>
      <c r="D820" s="9">
        <v>184000</v>
      </c>
      <c r="E820" s="9" t="s">
        <v>2545</v>
      </c>
      <c r="F820" s="9" t="s">
        <v>67</v>
      </c>
      <c r="G820" s="9" t="s">
        <v>58</v>
      </c>
      <c r="H820" s="9" t="str">
        <f>_xlfn.XLOOKUP(G820,Employees!C:C,Employees!B:B,FALSE)</f>
        <v>T008</v>
      </c>
    </row>
    <row r="821" spans="2:8" x14ac:dyDescent="0.25">
      <c r="B821" s="9" t="s">
        <v>1688</v>
      </c>
      <c r="C821" s="9" t="s">
        <v>24</v>
      </c>
      <c r="D821" s="9">
        <v>43000</v>
      </c>
      <c r="E821" s="9" t="s">
        <v>2546</v>
      </c>
      <c r="F821" s="9" t="s">
        <v>65</v>
      </c>
      <c r="G821" s="9" t="s">
        <v>43</v>
      </c>
      <c r="H821" s="9" t="str">
        <f>_xlfn.XLOOKUP(G821,Employees!C:C,Employees!B:B,FALSE)</f>
        <v>T001</v>
      </c>
    </row>
    <row r="822" spans="2:8" x14ac:dyDescent="0.25">
      <c r="B822" s="9" t="s">
        <v>1690</v>
      </c>
      <c r="C822" s="9" t="s">
        <v>18</v>
      </c>
      <c r="D822" s="9">
        <v>84000</v>
      </c>
      <c r="E822" s="9" t="s">
        <v>2546</v>
      </c>
      <c r="F822" s="9" t="s">
        <v>65</v>
      </c>
      <c r="G822" s="9" t="s">
        <v>61</v>
      </c>
      <c r="H822" s="9" t="str">
        <f>_xlfn.XLOOKUP(G822,Employees!C:C,Employees!B:B,FALSE)</f>
        <v>T009</v>
      </c>
    </row>
    <row r="823" spans="2:8" x14ac:dyDescent="0.25">
      <c r="B823" s="9" t="s">
        <v>1691</v>
      </c>
      <c r="C823" s="9" t="s">
        <v>20</v>
      </c>
      <c r="D823" s="9">
        <v>54000</v>
      </c>
      <c r="E823" s="9" t="s">
        <v>2547</v>
      </c>
      <c r="F823" s="9" t="s">
        <v>67</v>
      </c>
      <c r="G823" s="9" t="s">
        <v>47</v>
      </c>
      <c r="H823" s="9" t="str">
        <f>_xlfn.XLOOKUP(G823,Employees!C:C,Employees!B:B,FALSE)</f>
        <v>T003</v>
      </c>
    </row>
    <row r="824" spans="2:8" x14ac:dyDescent="0.25">
      <c r="B824" s="9" t="s">
        <v>1693</v>
      </c>
      <c r="C824" s="9" t="s">
        <v>22</v>
      </c>
      <c r="D824" s="9">
        <v>211000</v>
      </c>
      <c r="E824" s="9" t="s">
        <v>2548</v>
      </c>
      <c r="F824" s="9" t="s">
        <v>66</v>
      </c>
      <c r="G824" s="9" t="s">
        <v>45</v>
      </c>
      <c r="H824" s="9" t="str">
        <f>_xlfn.XLOOKUP(G824,Employees!C:C,Employees!B:B,FALSE)</f>
        <v>T002</v>
      </c>
    </row>
    <row r="825" spans="2:8" x14ac:dyDescent="0.25">
      <c r="B825" s="9" t="s">
        <v>1695</v>
      </c>
      <c r="C825" s="9" t="s">
        <v>16</v>
      </c>
      <c r="D825" s="9">
        <v>56000</v>
      </c>
      <c r="E825" s="9" t="s">
        <v>2549</v>
      </c>
      <c r="F825" s="9" t="s">
        <v>66</v>
      </c>
      <c r="G825" s="9" t="s">
        <v>61</v>
      </c>
      <c r="H825" s="9" t="str">
        <f>_xlfn.XLOOKUP(G825,Employees!C:C,Employees!B:B,FALSE)</f>
        <v>T009</v>
      </c>
    </row>
    <row r="826" spans="2:8" x14ac:dyDescent="0.25">
      <c r="B826" s="9" t="s">
        <v>1698</v>
      </c>
      <c r="C826" s="9" t="s">
        <v>12</v>
      </c>
      <c r="D826" s="9">
        <v>243000</v>
      </c>
      <c r="E826" s="9" t="s">
        <v>2549</v>
      </c>
      <c r="F826" s="9" t="s">
        <v>66</v>
      </c>
      <c r="G826" s="9" t="s">
        <v>43</v>
      </c>
      <c r="H826" s="9" t="str">
        <f>_xlfn.XLOOKUP(G826,Employees!C:C,Employees!B:B,FALSE)</f>
        <v>T001</v>
      </c>
    </row>
    <row r="827" spans="2:8" x14ac:dyDescent="0.25">
      <c r="B827" s="9" t="s">
        <v>1699</v>
      </c>
      <c r="C827" s="9" t="s">
        <v>14</v>
      </c>
      <c r="D827" s="9">
        <v>90000</v>
      </c>
      <c r="E827" s="9" t="s">
        <v>2550</v>
      </c>
      <c r="F827" s="9" t="s">
        <v>64</v>
      </c>
      <c r="G827" s="9" t="s">
        <v>49</v>
      </c>
      <c r="H827" s="9" t="str">
        <f>_xlfn.XLOOKUP(G827,Employees!C:C,Employees!B:B,FALSE)</f>
        <v>T004</v>
      </c>
    </row>
    <row r="828" spans="2:8" x14ac:dyDescent="0.25">
      <c r="B828" s="9" t="s">
        <v>1701</v>
      </c>
      <c r="C828" s="9" t="s">
        <v>14</v>
      </c>
      <c r="D828" s="9">
        <v>119000</v>
      </c>
      <c r="E828" s="9" t="s">
        <v>2550</v>
      </c>
      <c r="F828" s="9" t="s">
        <v>65</v>
      </c>
      <c r="G828" s="9" t="s">
        <v>58</v>
      </c>
      <c r="H828" s="9" t="str">
        <f>_xlfn.XLOOKUP(G828,Employees!C:C,Employees!B:B,FALSE)</f>
        <v>T008</v>
      </c>
    </row>
    <row r="829" spans="2:8" x14ac:dyDescent="0.25">
      <c r="B829" s="9" t="s">
        <v>1702</v>
      </c>
      <c r="C829" s="9" t="s">
        <v>12</v>
      </c>
      <c r="D829" s="9">
        <v>242000</v>
      </c>
      <c r="E829" s="9" t="s">
        <v>2551</v>
      </c>
      <c r="F829" s="9" t="s">
        <v>62</v>
      </c>
      <c r="G829" s="9" t="s">
        <v>43</v>
      </c>
      <c r="H829" s="9" t="str">
        <f>_xlfn.XLOOKUP(G829,Employees!C:C,Employees!B:B,FALSE)</f>
        <v>T001</v>
      </c>
    </row>
    <row r="830" spans="2:8" x14ac:dyDescent="0.25">
      <c r="B830" s="9" t="s">
        <v>1704</v>
      </c>
      <c r="C830" s="9" t="s">
        <v>18</v>
      </c>
      <c r="D830" s="9">
        <v>115000</v>
      </c>
      <c r="E830" s="9" t="s">
        <v>2552</v>
      </c>
      <c r="F830" s="9" t="s">
        <v>67</v>
      </c>
      <c r="G830" s="9" t="s">
        <v>49</v>
      </c>
      <c r="H830" s="9" t="str">
        <f>_xlfn.XLOOKUP(G830,Employees!C:C,Employees!B:B,FALSE)</f>
        <v>T004</v>
      </c>
    </row>
    <row r="831" spans="2:8" x14ac:dyDescent="0.25">
      <c r="B831" s="9" t="s">
        <v>1706</v>
      </c>
      <c r="C831" s="9" t="s">
        <v>16</v>
      </c>
      <c r="D831" s="9">
        <v>64000</v>
      </c>
      <c r="E831" s="9" t="s">
        <v>2553</v>
      </c>
      <c r="F831" s="9" t="s">
        <v>66</v>
      </c>
      <c r="G831" s="9" t="s">
        <v>43</v>
      </c>
      <c r="H831" s="9" t="str">
        <f>_xlfn.XLOOKUP(G831,Employees!C:C,Employees!B:B,FALSE)</f>
        <v>T001</v>
      </c>
    </row>
    <row r="832" spans="2:8" x14ac:dyDescent="0.25">
      <c r="B832" s="9" t="s">
        <v>1708</v>
      </c>
      <c r="C832" s="9" t="s">
        <v>22</v>
      </c>
      <c r="D832" s="9">
        <v>247000</v>
      </c>
      <c r="E832" s="9" t="s">
        <v>2554</v>
      </c>
      <c r="F832" s="9" t="s">
        <v>66</v>
      </c>
      <c r="G832" s="9" t="s">
        <v>61</v>
      </c>
      <c r="H832" s="9" t="str">
        <f>_xlfn.XLOOKUP(G832,Employees!C:C,Employees!B:B,FALSE)</f>
        <v>T009</v>
      </c>
    </row>
    <row r="833" spans="2:8" x14ac:dyDescent="0.25">
      <c r="B833" s="9" t="s">
        <v>1710</v>
      </c>
      <c r="C833" s="9" t="s">
        <v>14</v>
      </c>
      <c r="D833" s="9">
        <v>221000</v>
      </c>
      <c r="E833" s="9" t="s">
        <v>2555</v>
      </c>
      <c r="F833" s="9" t="s">
        <v>62</v>
      </c>
      <c r="G833" s="9" t="s">
        <v>49</v>
      </c>
      <c r="H833" s="9" t="str">
        <f>_xlfn.XLOOKUP(G833,Employees!C:C,Employees!B:B,FALSE)</f>
        <v>T004</v>
      </c>
    </row>
    <row r="834" spans="2:8" x14ac:dyDescent="0.25">
      <c r="B834" s="9" t="s">
        <v>1712</v>
      </c>
      <c r="C834" s="9" t="s">
        <v>14</v>
      </c>
      <c r="D834" s="9">
        <v>161000</v>
      </c>
      <c r="E834" s="9" t="s">
        <v>2556</v>
      </c>
      <c r="F834" s="9" t="s">
        <v>62</v>
      </c>
      <c r="G834" s="9" t="s">
        <v>47</v>
      </c>
      <c r="H834" s="9" t="str">
        <f>_xlfn.XLOOKUP(G834,Employees!C:C,Employees!B:B,FALSE)</f>
        <v>T003</v>
      </c>
    </row>
    <row r="835" spans="2:8" x14ac:dyDescent="0.25">
      <c r="B835" s="9" t="s">
        <v>1714</v>
      </c>
      <c r="C835" s="9" t="s">
        <v>22</v>
      </c>
      <c r="D835" s="9">
        <v>133000</v>
      </c>
      <c r="E835" s="9" t="s">
        <v>2557</v>
      </c>
      <c r="F835" s="9" t="s">
        <v>63</v>
      </c>
      <c r="G835" s="9" t="s">
        <v>61</v>
      </c>
      <c r="H835" s="9" t="str">
        <f>_xlfn.XLOOKUP(G835,Employees!C:C,Employees!B:B,FALSE)</f>
        <v>T009</v>
      </c>
    </row>
    <row r="836" spans="2:8" x14ac:dyDescent="0.25">
      <c r="B836" s="9" t="s">
        <v>1716</v>
      </c>
      <c r="C836" s="9" t="s">
        <v>14</v>
      </c>
      <c r="D836" s="9">
        <v>155000</v>
      </c>
      <c r="E836" s="9" t="s">
        <v>2557</v>
      </c>
      <c r="F836" s="9" t="s">
        <v>64</v>
      </c>
      <c r="G836" s="9" t="s">
        <v>47</v>
      </c>
      <c r="H836" s="9" t="str">
        <f>_xlfn.XLOOKUP(G836,Employees!C:C,Employees!B:B,FALSE)</f>
        <v>T003</v>
      </c>
    </row>
    <row r="837" spans="2:8" x14ac:dyDescent="0.25">
      <c r="B837" s="9" t="s">
        <v>1717</v>
      </c>
      <c r="C837" s="9" t="s">
        <v>16</v>
      </c>
      <c r="D837" s="9">
        <v>225000</v>
      </c>
      <c r="E837" s="9" t="s">
        <v>2558</v>
      </c>
      <c r="F837" s="9" t="s">
        <v>67</v>
      </c>
      <c r="G837" s="9" t="s">
        <v>58</v>
      </c>
      <c r="H837" s="9" t="str">
        <f>_xlfn.XLOOKUP(G837,Employees!C:C,Employees!B:B,FALSE)</f>
        <v>T008</v>
      </c>
    </row>
    <row r="838" spans="2:8" x14ac:dyDescent="0.25">
      <c r="B838" s="9" t="s">
        <v>1719</v>
      </c>
      <c r="C838" s="9" t="s">
        <v>18</v>
      </c>
      <c r="D838" s="9">
        <v>159000</v>
      </c>
      <c r="E838" s="9" t="s">
        <v>2558</v>
      </c>
      <c r="F838" s="9" t="s">
        <v>62</v>
      </c>
      <c r="G838" s="9" t="s">
        <v>58</v>
      </c>
      <c r="H838" s="9" t="str">
        <f>_xlfn.XLOOKUP(G838,Employees!C:C,Employees!B:B,FALSE)</f>
        <v>T008</v>
      </c>
    </row>
    <row r="839" spans="2:8" x14ac:dyDescent="0.25">
      <c r="B839" s="9" t="s">
        <v>1720</v>
      </c>
      <c r="C839" s="9" t="s">
        <v>16</v>
      </c>
      <c r="D839" s="9">
        <v>295000</v>
      </c>
      <c r="E839" s="9" t="s">
        <v>2559</v>
      </c>
      <c r="F839" s="9" t="s">
        <v>67</v>
      </c>
      <c r="G839" s="9" t="s">
        <v>47</v>
      </c>
      <c r="H839" s="9" t="str">
        <f>_xlfn.XLOOKUP(G839,Employees!C:C,Employees!B:B,FALSE)</f>
        <v>T003</v>
      </c>
    </row>
    <row r="840" spans="2:8" x14ac:dyDescent="0.25">
      <c r="B840" s="9" t="s">
        <v>1722</v>
      </c>
      <c r="C840" s="9" t="s">
        <v>14</v>
      </c>
      <c r="D840" s="9">
        <v>49000</v>
      </c>
      <c r="E840" s="9" t="s">
        <v>2560</v>
      </c>
      <c r="F840" s="9" t="s">
        <v>67</v>
      </c>
      <c r="G840" s="9" t="s">
        <v>55</v>
      </c>
      <c r="H840" s="9" t="str">
        <f>_xlfn.XLOOKUP(G840,Employees!C:C,Employees!B:B,FALSE)</f>
        <v>T007</v>
      </c>
    </row>
    <row r="841" spans="2:8" x14ac:dyDescent="0.25">
      <c r="B841" s="9" t="s">
        <v>1725</v>
      </c>
      <c r="C841" s="9" t="s">
        <v>24</v>
      </c>
      <c r="D841" s="9">
        <v>217000</v>
      </c>
      <c r="E841" s="9" t="s">
        <v>2560</v>
      </c>
      <c r="F841" s="9" t="s">
        <v>65</v>
      </c>
      <c r="G841" s="9" t="s">
        <v>61</v>
      </c>
      <c r="H841" s="9" t="str">
        <f>_xlfn.XLOOKUP(G841,Employees!C:C,Employees!B:B,FALSE)</f>
        <v>T009</v>
      </c>
    </row>
    <row r="842" spans="2:8" x14ac:dyDescent="0.25">
      <c r="B842" s="9" t="s">
        <v>1726</v>
      </c>
      <c r="C842" s="9" t="s">
        <v>16</v>
      </c>
      <c r="D842" s="9">
        <v>92000</v>
      </c>
      <c r="E842" s="9" t="s">
        <v>2560</v>
      </c>
      <c r="F842" s="9" t="s">
        <v>64</v>
      </c>
      <c r="G842" s="9" t="s">
        <v>58</v>
      </c>
      <c r="H842" s="9" t="str">
        <f>_xlfn.XLOOKUP(G842,Employees!C:C,Employees!B:B,FALSE)</f>
        <v>T008</v>
      </c>
    </row>
    <row r="843" spans="2:8" x14ac:dyDescent="0.25">
      <c r="B843" s="9" t="s">
        <v>1727</v>
      </c>
      <c r="C843" s="9" t="s">
        <v>12</v>
      </c>
      <c r="D843" s="9">
        <v>118000</v>
      </c>
      <c r="E843" s="9" t="s">
        <v>2561</v>
      </c>
      <c r="F843" s="9" t="s">
        <v>63</v>
      </c>
      <c r="G843" s="9" t="s">
        <v>49</v>
      </c>
      <c r="H843" s="9" t="str">
        <f>_xlfn.XLOOKUP(G843,Employees!C:C,Employees!B:B,FALSE)</f>
        <v>T004</v>
      </c>
    </row>
    <row r="844" spans="2:8" x14ac:dyDescent="0.25">
      <c r="B844" s="9" t="s">
        <v>1729</v>
      </c>
      <c r="C844" s="9" t="s">
        <v>18</v>
      </c>
      <c r="D844" s="9">
        <v>36000</v>
      </c>
      <c r="E844" s="9" t="s">
        <v>2562</v>
      </c>
      <c r="F844" s="9" t="s">
        <v>63</v>
      </c>
      <c r="G844" s="9" t="s">
        <v>55</v>
      </c>
      <c r="H844" s="9" t="str">
        <f>_xlfn.XLOOKUP(G844,Employees!C:C,Employees!B:B,FALSE)</f>
        <v>T007</v>
      </c>
    </row>
    <row r="845" spans="2:8" x14ac:dyDescent="0.25">
      <c r="B845" s="9" t="s">
        <v>1731</v>
      </c>
      <c r="C845" s="9" t="s">
        <v>14</v>
      </c>
      <c r="D845" s="9">
        <v>92000</v>
      </c>
      <c r="E845" s="9" t="s">
        <v>2563</v>
      </c>
      <c r="F845" s="9" t="s">
        <v>63</v>
      </c>
      <c r="G845" s="9" t="s">
        <v>53</v>
      </c>
      <c r="H845" s="9" t="str">
        <f>_xlfn.XLOOKUP(G845,Employees!C:C,Employees!B:B,FALSE)</f>
        <v>T006</v>
      </c>
    </row>
    <row r="846" spans="2:8" x14ac:dyDescent="0.25">
      <c r="B846" s="9" t="s">
        <v>1733</v>
      </c>
      <c r="C846" s="9" t="s">
        <v>16</v>
      </c>
      <c r="D846" s="9">
        <v>148000</v>
      </c>
      <c r="E846" s="9" t="s">
        <v>2564</v>
      </c>
      <c r="F846" s="9" t="s">
        <v>67</v>
      </c>
      <c r="G846" s="9" t="s">
        <v>55</v>
      </c>
      <c r="H846" s="9" t="str">
        <f>_xlfn.XLOOKUP(G846,Employees!C:C,Employees!B:B,FALSE)</f>
        <v>T007</v>
      </c>
    </row>
    <row r="847" spans="2:8" x14ac:dyDescent="0.25">
      <c r="B847" s="9" t="s">
        <v>1735</v>
      </c>
      <c r="C847" s="9" t="s">
        <v>12</v>
      </c>
      <c r="D847" s="9">
        <v>199000</v>
      </c>
      <c r="E847" s="9" t="s">
        <v>2564</v>
      </c>
      <c r="F847" s="9" t="s">
        <v>66</v>
      </c>
      <c r="G847" s="9" t="s">
        <v>61</v>
      </c>
      <c r="H847" s="9" t="str">
        <f>_xlfn.XLOOKUP(G847,Employees!C:C,Employees!B:B,FALSE)</f>
        <v>T009</v>
      </c>
    </row>
    <row r="848" spans="2:8" x14ac:dyDescent="0.25">
      <c r="B848" s="9" t="s">
        <v>1736</v>
      </c>
      <c r="C848" s="9" t="s">
        <v>22</v>
      </c>
      <c r="D848" s="9">
        <v>101000</v>
      </c>
      <c r="E848" s="9" t="s">
        <v>2565</v>
      </c>
      <c r="F848" s="9" t="s">
        <v>62</v>
      </c>
      <c r="G848" s="9" t="s">
        <v>58</v>
      </c>
      <c r="H848" s="9" t="str">
        <f>_xlfn.XLOOKUP(G848,Employees!C:C,Employees!B:B,FALSE)</f>
        <v>T008</v>
      </c>
    </row>
    <row r="849" spans="2:8" x14ac:dyDescent="0.25">
      <c r="B849" s="9" t="s">
        <v>1738</v>
      </c>
      <c r="C849" s="9" t="s">
        <v>16</v>
      </c>
      <c r="D849" s="9">
        <v>55000</v>
      </c>
      <c r="E849" s="9" t="s">
        <v>2566</v>
      </c>
      <c r="F849" s="9" t="s">
        <v>65</v>
      </c>
      <c r="G849" s="9" t="s">
        <v>61</v>
      </c>
      <c r="H849" s="9" t="str">
        <f>_xlfn.XLOOKUP(G849,Employees!C:C,Employees!B:B,FALSE)</f>
        <v>T009</v>
      </c>
    </row>
    <row r="850" spans="2:8" x14ac:dyDescent="0.25">
      <c r="B850" s="9" t="s">
        <v>1740</v>
      </c>
      <c r="C850" s="9" t="s">
        <v>14</v>
      </c>
      <c r="D850" s="9">
        <v>273000</v>
      </c>
      <c r="E850" s="9" t="s">
        <v>2567</v>
      </c>
      <c r="F850" s="9" t="s">
        <v>63</v>
      </c>
      <c r="G850" s="9" t="s">
        <v>58</v>
      </c>
      <c r="H850" s="9" t="str">
        <f>_xlfn.XLOOKUP(G850,Employees!C:C,Employees!B:B,FALSE)</f>
        <v>T008</v>
      </c>
    </row>
    <row r="851" spans="2:8" x14ac:dyDescent="0.25">
      <c r="B851" s="9" t="s">
        <v>1742</v>
      </c>
      <c r="C851" s="9" t="s">
        <v>18</v>
      </c>
      <c r="D851" s="9">
        <v>57000</v>
      </c>
      <c r="E851" s="9" t="s">
        <v>2568</v>
      </c>
      <c r="F851" s="9" t="s">
        <v>63</v>
      </c>
      <c r="G851" s="9" t="s">
        <v>61</v>
      </c>
      <c r="H851" s="9" t="str">
        <f>_xlfn.XLOOKUP(G851,Employees!C:C,Employees!B:B,FALSE)</f>
        <v>T009</v>
      </c>
    </row>
    <row r="852" spans="2:8" x14ac:dyDescent="0.25">
      <c r="B852" s="9" t="s">
        <v>1744</v>
      </c>
      <c r="C852" s="9" t="s">
        <v>24</v>
      </c>
      <c r="D852" s="9">
        <v>52000</v>
      </c>
      <c r="E852" s="9" t="s">
        <v>2569</v>
      </c>
      <c r="F852" s="9" t="s">
        <v>65</v>
      </c>
      <c r="G852" s="9" t="s">
        <v>43</v>
      </c>
      <c r="H852" s="9" t="str">
        <f>_xlfn.XLOOKUP(G852,Employees!C:C,Employees!B:B,FALSE)</f>
        <v>T001</v>
      </c>
    </row>
    <row r="853" spans="2:8" x14ac:dyDescent="0.25">
      <c r="B853" s="9" t="s">
        <v>1746</v>
      </c>
      <c r="C853" s="9" t="s">
        <v>12</v>
      </c>
      <c r="D853" s="9">
        <v>204000</v>
      </c>
      <c r="E853" s="9" t="s">
        <v>2570</v>
      </c>
      <c r="F853" s="9" t="s">
        <v>67</v>
      </c>
      <c r="G853" s="9" t="s">
        <v>47</v>
      </c>
      <c r="H853" s="9" t="str">
        <f>_xlfn.XLOOKUP(G853,Employees!C:C,Employees!B:B,FALSE)</f>
        <v>T003</v>
      </c>
    </row>
    <row r="854" spans="2:8" x14ac:dyDescent="0.25">
      <c r="B854" s="9" t="s">
        <v>1748</v>
      </c>
      <c r="C854" s="9" t="s">
        <v>20</v>
      </c>
      <c r="D854" s="9">
        <v>281000</v>
      </c>
      <c r="E854" s="9" t="s">
        <v>2571</v>
      </c>
      <c r="F854" s="9" t="s">
        <v>64</v>
      </c>
      <c r="G854" s="9" t="s">
        <v>49</v>
      </c>
      <c r="H854" s="9" t="str">
        <f>_xlfn.XLOOKUP(G854,Employees!C:C,Employees!B:B,FALSE)</f>
        <v>T004</v>
      </c>
    </row>
    <row r="855" spans="2:8" x14ac:dyDescent="0.25">
      <c r="B855" s="9" t="s">
        <v>1750</v>
      </c>
      <c r="C855" s="9" t="s">
        <v>20</v>
      </c>
      <c r="D855" s="9">
        <v>131000</v>
      </c>
      <c r="E855" s="9" t="s">
        <v>2571</v>
      </c>
      <c r="F855" s="9" t="s">
        <v>67</v>
      </c>
      <c r="G855" s="9" t="s">
        <v>53</v>
      </c>
      <c r="H855" s="9" t="str">
        <f>_xlfn.XLOOKUP(G855,Employees!C:C,Employees!B:B,FALSE)</f>
        <v>T006</v>
      </c>
    </row>
    <row r="856" spans="2:8" x14ac:dyDescent="0.25">
      <c r="B856" s="9" t="s">
        <v>1751</v>
      </c>
      <c r="C856" s="9" t="s">
        <v>14</v>
      </c>
      <c r="D856" s="9">
        <v>260000</v>
      </c>
      <c r="E856" s="9" t="s">
        <v>2571</v>
      </c>
      <c r="F856" s="9" t="s">
        <v>62</v>
      </c>
      <c r="G856" s="9" t="s">
        <v>43</v>
      </c>
      <c r="H856" s="9" t="str">
        <f>_xlfn.XLOOKUP(G856,Employees!C:C,Employees!B:B,FALSE)</f>
        <v>T001</v>
      </c>
    </row>
    <row r="857" spans="2:8" x14ac:dyDescent="0.25">
      <c r="B857" s="9" t="s">
        <v>1752</v>
      </c>
      <c r="C857" s="9" t="s">
        <v>16</v>
      </c>
      <c r="D857" s="9">
        <v>162000</v>
      </c>
      <c r="E857" s="9" t="s">
        <v>2572</v>
      </c>
      <c r="F857" s="9" t="s">
        <v>64</v>
      </c>
      <c r="G857" s="9" t="s">
        <v>53</v>
      </c>
      <c r="H857" s="9" t="str">
        <f>_xlfn.XLOOKUP(G857,Employees!C:C,Employees!B:B,FALSE)</f>
        <v>T006</v>
      </c>
    </row>
    <row r="858" spans="2:8" x14ac:dyDescent="0.25">
      <c r="B858" s="9" t="s">
        <v>1754</v>
      </c>
      <c r="C858" s="9" t="s">
        <v>22</v>
      </c>
      <c r="D858" s="9">
        <v>243000</v>
      </c>
      <c r="E858" s="9" t="s">
        <v>2572</v>
      </c>
      <c r="F858" s="9" t="s">
        <v>62</v>
      </c>
      <c r="G858" s="9" t="s">
        <v>47</v>
      </c>
      <c r="H858" s="9" t="str">
        <f>_xlfn.XLOOKUP(G858,Employees!C:C,Employees!B:B,FALSE)</f>
        <v>T003</v>
      </c>
    </row>
    <row r="859" spans="2:8" x14ac:dyDescent="0.25">
      <c r="B859" s="9" t="s">
        <v>1755</v>
      </c>
      <c r="C859" s="9" t="s">
        <v>16</v>
      </c>
      <c r="D859" s="9">
        <v>219000</v>
      </c>
      <c r="E859" s="9" t="s">
        <v>2573</v>
      </c>
      <c r="F859" s="9" t="s">
        <v>63</v>
      </c>
      <c r="G859" s="9" t="s">
        <v>51</v>
      </c>
      <c r="H859" s="9" t="str">
        <f>_xlfn.XLOOKUP(G859,Employees!C:C,Employees!B:B,FALSE)</f>
        <v>T005</v>
      </c>
    </row>
    <row r="860" spans="2:8" x14ac:dyDescent="0.25">
      <c r="B860" s="9" t="s">
        <v>1757</v>
      </c>
      <c r="C860" s="9" t="s">
        <v>16</v>
      </c>
      <c r="D860" s="9">
        <v>99000</v>
      </c>
      <c r="E860" s="9" t="s">
        <v>2574</v>
      </c>
      <c r="F860" s="9" t="s">
        <v>65</v>
      </c>
      <c r="G860" s="9" t="s">
        <v>43</v>
      </c>
      <c r="H860" s="9" t="str">
        <f>_xlfn.XLOOKUP(G860,Employees!C:C,Employees!B:B,FALSE)</f>
        <v>T001</v>
      </c>
    </row>
    <row r="861" spans="2:8" x14ac:dyDescent="0.25">
      <c r="B861" s="9" t="s">
        <v>1759</v>
      </c>
      <c r="C861" s="9" t="s">
        <v>16</v>
      </c>
      <c r="D861" s="9">
        <v>299000</v>
      </c>
      <c r="E861" s="9" t="s">
        <v>2574</v>
      </c>
      <c r="F861" s="9" t="s">
        <v>67</v>
      </c>
      <c r="G861" s="9" t="s">
        <v>58</v>
      </c>
      <c r="H861" s="9" t="str">
        <f>_xlfn.XLOOKUP(G861,Employees!C:C,Employees!B:B,FALSE)</f>
        <v>T008</v>
      </c>
    </row>
    <row r="862" spans="2:8" x14ac:dyDescent="0.25">
      <c r="B862" s="9" t="s">
        <v>1760</v>
      </c>
      <c r="C862" s="9" t="s">
        <v>16</v>
      </c>
      <c r="D862" s="9">
        <v>292000</v>
      </c>
      <c r="E862" s="9" t="s">
        <v>2574</v>
      </c>
      <c r="F862" s="9" t="s">
        <v>67</v>
      </c>
      <c r="G862" s="9" t="s">
        <v>61</v>
      </c>
      <c r="H862" s="9" t="str">
        <f>_xlfn.XLOOKUP(G862,Employees!C:C,Employees!B:B,FALSE)</f>
        <v>T009</v>
      </c>
    </row>
    <row r="863" spans="2:8" x14ac:dyDescent="0.25">
      <c r="B863" s="9" t="s">
        <v>1762</v>
      </c>
      <c r="C863" s="9" t="s">
        <v>14</v>
      </c>
      <c r="D863" s="9">
        <v>163000</v>
      </c>
      <c r="E863" s="9" t="s">
        <v>2575</v>
      </c>
      <c r="F863" s="9" t="s">
        <v>64</v>
      </c>
      <c r="G863" s="9" t="s">
        <v>49</v>
      </c>
      <c r="H863" s="9" t="str">
        <f>_xlfn.XLOOKUP(G863,Employees!C:C,Employees!B:B,FALSE)</f>
        <v>T004</v>
      </c>
    </row>
    <row r="864" spans="2:8" x14ac:dyDescent="0.25">
      <c r="B864" s="9" t="s">
        <v>1764</v>
      </c>
      <c r="C864" s="9" t="s">
        <v>18</v>
      </c>
      <c r="D864" s="9">
        <v>240000</v>
      </c>
      <c r="E864" s="9" t="s">
        <v>2576</v>
      </c>
      <c r="F864" s="9" t="s">
        <v>62</v>
      </c>
      <c r="G864" s="9" t="s">
        <v>51</v>
      </c>
      <c r="H864" s="9" t="str">
        <f>_xlfn.XLOOKUP(G864,Employees!C:C,Employees!B:B,FALSE)</f>
        <v>T005</v>
      </c>
    </row>
    <row r="865" spans="2:8" x14ac:dyDescent="0.25">
      <c r="B865" s="9" t="s">
        <v>1766</v>
      </c>
      <c r="C865" s="9" t="s">
        <v>18</v>
      </c>
      <c r="D865" s="9">
        <v>232000</v>
      </c>
      <c r="E865" s="9" t="s">
        <v>2577</v>
      </c>
      <c r="F865" s="9" t="s">
        <v>66</v>
      </c>
      <c r="G865" s="9" t="s">
        <v>47</v>
      </c>
      <c r="H865" s="9" t="str">
        <f>_xlfn.XLOOKUP(G865,Employees!C:C,Employees!B:B,FALSE)</f>
        <v>T003</v>
      </c>
    </row>
    <row r="866" spans="2:8" x14ac:dyDescent="0.25">
      <c r="B866" s="9" t="s">
        <v>1768</v>
      </c>
      <c r="C866" s="9" t="s">
        <v>24</v>
      </c>
      <c r="D866" s="9">
        <v>187000</v>
      </c>
      <c r="E866" s="9" t="s">
        <v>2578</v>
      </c>
      <c r="F866" s="9" t="s">
        <v>66</v>
      </c>
      <c r="G866" s="9" t="s">
        <v>51</v>
      </c>
      <c r="H866" s="9" t="str">
        <f>_xlfn.XLOOKUP(G866,Employees!C:C,Employees!B:B,FALSE)</f>
        <v>T005</v>
      </c>
    </row>
    <row r="867" spans="2:8" x14ac:dyDescent="0.25">
      <c r="B867" s="9" t="s">
        <v>1770</v>
      </c>
      <c r="C867" s="9" t="s">
        <v>20</v>
      </c>
      <c r="D867" s="9">
        <v>40000</v>
      </c>
      <c r="E867" s="9" t="s">
        <v>2578</v>
      </c>
      <c r="F867" s="9" t="s">
        <v>65</v>
      </c>
      <c r="G867" s="9" t="s">
        <v>53</v>
      </c>
      <c r="H867" s="9" t="str">
        <f>_xlfn.XLOOKUP(G867,Employees!C:C,Employees!B:B,FALSE)</f>
        <v>T006</v>
      </c>
    </row>
    <row r="868" spans="2:8" x14ac:dyDescent="0.25">
      <c r="B868" s="9" t="s">
        <v>1771</v>
      </c>
      <c r="C868" s="9" t="s">
        <v>20</v>
      </c>
      <c r="D868" s="9">
        <v>57000</v>
      </c>
      <c r="E868" s="9" t="s">
        <v>2579</v>
      </c>
      <c r="F868" s="9" t="s">
        <v>63</v>
      </c>
      <c r="G868" s="9" t="s">
        <v>47</v>
      </c>
      <c r="H868" s="9" t="str">
        <f>_xlfn.XLOOKUP(G868,Employees!C:C,Employees!B:B,FALSE)</f>
        <v>T003</v>
      </c>
    </row>
    <row r="869" spans="2:8" x14ac:dyDescent="0.25">
      <c r="B869" s="9" t="s">
        <v>1773</v>
      </c>
      <c r="C869" s="9" t="s">
        <v>24</v>
      </c>
      <c r="D869" s="9">
        <v>63000</v>
      </c>
      <c r="E869" s="9" t="s">
        <v>2579</v>
      </c>
      <c r="F869" s="9" t="s">
        <v>63</v>
      </c>
      <c r="G869" s="9" t="s">
        <v>61</v>
      </c>
      <c r="H869" s="9" t="str">
        <f>_xlfn.XLOOKUP(G869,Employees!C:C,Employees!B:B,FALSE)</f>
        <v>T009</v>
      </c>
    </row>
    <row r="870" spans="2:8" x14ac:dyDescent="0.25">
      <c r="B870" s="9" t="s">
        <v>1774</v>
      </c>
      <c r="C870" s="9" t="s">
        <v>16</v>
      </c>
      <c r="D870" s="9">
        <v>212000</v>
      </c>
      <c r="E870" s="9" t="s">
        <v>2580</v>
      </c>
      <c r="F870" s="9" t="s">
        <v>67</v>
      </c>
      <c r="G870" s="9" t="s">
        <v>51</v>
      </c>
      <c r="H870" s="9" t="str">
        <f>_xlfn.XLOOKUP(G870,Employees!C:C,Employees!B:B,FALSE)</f>
        <v>T005</v>
      </c>
    </row>
    <row r="871" spans="2:8" x14ac:dyDescent="0.25">
      <c r="B871" s="9" t="s">
        <v>1776</v>
      </c>
      <c r="C871" s="9" t="s">
        <v>14</v>
      </c>
      <c r="D871" s="9">
        <v>37000</v>
      </c>
      <c r="E871" s="9" t="s">
        <v>2581</v>
      </c>
      <c r="F871" s="9" t="s">
        <v>64</v>
      </c>
      <c r="G871" s="9" t="s">
        <v>58</v>
      </c>
      <c r="H871" s="9" t="str">
        <f>_xlfn.XLOOKUP(G871,Employees!C:C,Employees!B:B,FALSE)</f>
        <v>T008</v>
      </c>
    </row>
    <row r="872" spans="2:8" x14ac:dyDescent="0.25">
      <c r="B872" s="9" t="s">
        <v>1778</v>
      </c>
      <c r="C872" s="9" t="s">
        <v>18</v>
      </c>
      <c r="D872" s="9">
        <v>53000</v>
      </c>
      <c r="E872" s="9" t="s">
        <v>2582</v>
      </c>
      <c r="F872" s="9" t="s">
        <v>64</v>
      </c>
      <c r="G872" s="9" t="s">
        <v>49</v>
      </c>
      <c r="H872" s="9" t="str">
        <f>_xlfn.XLOOKUP(G872,Employees!C:C,Employees!B:B,FALSE)</f>
        <v>T004</v>
      </c>
    </row>
    <row r="873" spans="2:8" x14ac:dyDescent="0.25">
      <c r="B873" s="9" t="s">
        <v>1780</v>
      </c>
      <c r="C873" s="9" t="s">
        <v>20</v>
      </c>
      <c r="D873" s="9">
        <v>32000</v>
      </c>
      <c r="E873" s="9" t="s">
        <v>2582</v>
      </c>
      <c r="F873" s="9" t="s">
        <v>63</v>
      </c>
      <c r="G873" s="9" t="s">
        <v>47</v>
      </c>
      <c r="H873" s="9" t="str">
        <f>_xlfn.XLOOKUP(G873,Employees!C:C,Employees!B:B,FALSE)</f>
        <v>T003</v>
      </c>
    </row>
    <row r="874" spans="2:8" x14ac:dyDescent="0.25">
      <c r="B874" s="9" t="s">
        <v>1781</v>
      </c>
      <c r="C874" s="9" t="s">
        <v>20</v>
      </c>
      <c r="D874" s="9">
        <v>109000</v>
      </c>
      <c r="E874" s="9" t="s">
        <v>2583</v>
      </c>
      <c r="F874" s="9" t="s">
        <v>67</v>
      </c>
      <c r="G874" s="9" t="s">
        <v>58</v>
      </c>
      <c r="H874" s="9" t="str">
        <f>_xlfn.XLOOKUP(G874,Employees!C:C,Employees!B:B,FALSE)</f>
        <v>T008</v>
      </c>
    </row>
    <row r="875" spans="2:8" x14ac:dyDescent="0.25">
      <c r="B875" s="9" t="s">
        <v>1783</v>
      </c>
      <c r="C875" s="9" t="s">
        <v>22</v>
      </c>
      <c r="D875" s="9">
        <v>292000</v>
      </c>
      <c r="E875" s="9" t="s">
        <v>2583</v>
      </c>
      <c r="F875" s="9" t="s">
        <v>65</v>
      </c>
      <c r="G875" s="9" t="s">
        <v>51</v>
      </c>
      <c r="H875" s="9" t="str">
        <f>_xlfn.XLOOKUP(G875,Employees!C:C,Employees!B:B,FALSE)</f>
        <v>T005</v>
      </c>
    </row>
    <row r="876" spans="2:8" x14ac:dyDescent="0.25">
      <c r="B876" s="9" t="s">
        <v>1784</v>
      </c>
      <c r="C876" s="9" t="s">
        <v>22</v>
      </c>
      <c r="D876" s="9">
        <v>202000</v>
      </c>
      <c r="E876" s="9" t="s">
        <v>2583</v>
      </c>
      <c r="F876" s="9" t="s">
        <v>66</v>
      </c>
      <c r="G876" s="9" t="s">
        <v>55</v>
      </c>
      <c r="H876" s="9" t="str">
        <f>_xlfn.XLOOKUP(G876,Employees!C:C,Employees!B:B,FALSE)</f>
        <v>T007</v>
      </c>
    </row>
    <row r="877" spans="2:8" x14ac:dyDescent="0.25">
      <c r="B877" s="9" t="s">
        <v>1785</v>
      </c>
      <c r="C877" s="9" t="s">
        <v>14</v>
      </c>
      <c r="D877" s="9">
        <v>101000</v>
      </c>
      <c r="E877" s="9" t="s">
        <v>2584</v>
      </c>
      <c r="F877" s="9" t="s">
        <v>64</v>
      </c>
      <c r="G877" s="9" t="s">
        <v>51</v>
      </c>
      <c r="H877" s="9" t="str">
        <f>_xlfn.XLOOKUP(G877,Employees!C:C,Employees!B:B,FALSE)</f>
        <v>T005</v>
      </c>
    </row>
    <row r="878" spans="2:8" x14ac:dyDescent="0.25">
      <c r="B878" s="9" t="s">
        <v>1787</v>
      </c>
      <c r="C878" s="9" t="s">
        <v>18</v>
      </c>
      <c r="D878" s="9">
        <v>114000</v>
      </c>
      <c r="E878" s="9" t="s">
        <v>2585</v>
      </c>
      <c r="F878" s="9" t="s">
        <v>62</v>
      </c>
      <c r="G878" s="9" t="s">
        <v>61</v>
      </c>
      <c r="H878" s="9" t="str">
        <f>_xlfn.XLOOKUP(G878,Employees!C:C,Employees!B:B,FALSE)</f>
        <v>T009</v>
      </c>
    </row>
    <row r="879" spans="2:8" x14ac:dyDescent="0.25">
      <c r="B879" s="9" t="s">
        <v>1789</v>
      </c>
      <c r="C879" s="9" t="s">
        <v>22</v>
      </c>
      <c r="D879" s="9">
        <v>205000</v>
      </c>
      <c r="E879" s="9" t="s">
        <v>2586</v>
      </c>
      <c r="F879" s="9" t="s">
        <v>62</v>
      </c>
      <c r="G879" s="9" t="s">
        <v>47</v>
      </c>
      <c r="H879" s="9" t="str">
        <f>_xlfn.XLOOKUP(G879,Employees!C:C,Employees!B:B,FALSE)</f>
        <v>T003</v>
      </c>
    </row>
    <row r="880" spans="2:8" x14ac:dyDescent="0.25">
      <c r="B880" s="9" t="s">
        <v>1791</v>
      </c>
      <c r="C880" s="9" t="s">
        <v>12</v>
      </c>
      <c r="D880" s="9">
        <v>279000</v>
      </c>
      <c r="E880" s="9" t="s">
        <v>2587</v>
      </c>
      <c r="F880" s="9" t="s">
        <v>66</v>
      </c>
      <c r="G880" s="9" t="s">
        <v>49</v>
      </c>
      <c r="H880" s="9" t="str">
        <f>_xlfn.XLOOKUP(G880,Employees!C:C,Employees!B:B,FALSE)</f>
        <v>T004</v>
      </c>
    </row>
    <row r="881" spans="2:8" x14ac:dyDescent="0.25">
      <c r="B881" s="9" t="s">
        <v>1793</v>
      </c>
      <c r="C881" s="9" t="s">
        <v>20</v>
      </c>
      <c r="D881" s="9">
        <v>231000</v>
      </c>
      <c r="E881" s="9" t="s">
        <v>2588</v>
      </c>
      <c r="F881" s="9" t="s">
        <v>62</v>
      </c>
      <c r="G881" s="9" t="s">
        <v>47</v>
      </c>
      <c r="H881" s="9" t="str">
        <f>_xlfn.XLOOKUP(G881,Employees!C:C,Employees!B:B,FALSE)</f>
        <v>T003</v>
      </c>
    </row>
    <row r="882" spans="2:8" x14ac:dyDescent="0.25">
      <c r="B882" s="9" t="s">
        <v>1795</v>
      </c>
      <c r="C882" s="9" t="s">
        <v>14</v>
      </c>
      <c r="D882" s="9">
        <v>299000</v>
      </c>
      <c r="E882" s="9" t="s">
        <v>2588</v>
      </c>
      <c r="F882" s="9" t="s">
        <v>63</v>
      </c>
      <c r="G882" s="9" t="s">
        <v>61</v>
      </c>
      <c r="H882" s="9" t="str">
        <f>_xlfn.XLOOKUP(G882,Employees!C:C,Employees!B:B,FALSE)</f>
        <v>T009</v>
      </c>
    </row>
    <row r="883" spans="2:8" x14ac:dyDescent="0.25">
      <c r="B883" s="9" t="s">
        <v>1796</v>
      </c>
      <c r="C883" s="9" t="s">
        <v>22</v>
      </c>
      <c r="D883" s="9">
        <v>290000</v>
      </c>
      <c r="E883" s="9" t="s">
        <v>2588</v>
      </c>
      <c r="F883" s="9" t="s">
        <v>66</v>
      </c>
      <c r="G883" s="9" t="s">
        <v>58</v>
      </c>
      <c r="H883" s="9" t="str">
        <f>_xlfn.XLOOKUP(G883,Employees!C:C,Employees!B:B,FALSE)</f>
        <v>T008</v>
      </c>
    </row>
    <row r="884" spans="2:8" x14ac:dyDescent="0.25">
      <c r="B884" s="9" t="s">
        <v>1797</v>
      </c>
      <c r="C884" s="9" t="s">
        <v>22</v>
      </c>
      <c r="D884" s="9">
        <v>36000</v>
      </c>
      <c r="E884" s="9" t="s">
        <v>2589</v>
      </c>
      <c r="F884" s="9" t="s">
        <v>62</v>
      </c>
      <c r="G884" s="9" t="s">
        <v>55</v>
      </c>
      <c r="H884" s="9" t="str">
        <f>_xlfn.XLOOKUP(G884,Employees!C:C,Employees!B:B,FALSE)</f>
        <v>T007</v>
      </c>
    </row>
    <row r="885" spans="2:8" x14ac:dyDescent="0.25">
      <c r="B885" s="9" t="s">
        <v>1799</v>
      </c>
      <c r="C885" s="9" t="s">
        <v>20</v>
      </c>
      <c r="D885" s="9">
        <v>185000</v>
      </c>
      <c r="E885" s="9" t="s">
        <v>2589</v>
      </c>
      <c r="F885" s="9" t="s">
        <v>63</v>
      </c>
      <c r="G885" s="9" t="s">
        <v>47</v>
      </c>
      <c r="H885" s="9" t="str">
        <f>_xlfn.XLOOKUP(G885,Employees!C:C,Employees!B:B,FALSE)</f>
        <v>T003</v>
      </c>
    </row>
    <row r="886" spans="2:8" x14ac:dyDescent="0.25">
      <c r="B886" s="9" t="s">
        <v>1800</v>
      </c>
      <c r="C886" s="9" t="s">
        <v>12</v>
      </c>
      <c r="D886" s="9">
        <v>227000</v>
      </c>
      <c r="E886" s="9" t="s">
        <v>2590</v>
      </c>
      <c r="F886" s="9" t="s">
        <v>67</v>
      </c>
      <c r="G886" s="9" t="s">
        <v>55</v>
      </c>
      <c r="H886" s="9" t="str">
        <f>_xlfn.XLOOKUP(G886,Employees!C:C,Employees!B:B,FALSE)</f>
        <v>T007</v>
      </c>
    </row>
    <row r="887" spans="2:8" x14ac:dyDescent="0.25">
      <c r="B887" s="9" t="s">
        <v>1802</v>
      </c>
      <c r="C887" s="9" t="s">
        <v>20</v>
      </c>
      <c r="D887" s="9">
        <v>237000</v>
      </c>
      <c r="E887" s="9" t="s">
        <v>2590</v>
      </c>
      <c r="F887" s="9" t="s">
        <v>62</v>
      </c>
      <c r="G887" s="9" t="s">
        <v>53</v>
      </c>
      <c r="H887" s="9" t="str">
        <f>_xlfn.XLOOKUP(G887,Employees!C:C,Employees!B:B,FALSE)</f>
        <v>T006</v>
      </c>
    </row>
    <row r="888" spans="2:8" x14ac:dyDescent="0.25">
      <c r="B888" s="9" t="s">
        <v>1803</v>
      </c>
      <c r="C888" s="9" t="s">
        <v>22</v>
      </c>
      <c r="D888" s="9">
        <v>119000</v>
      </c>
      <c r="E888" s="9" t="s">
        <v>2590</v>
      </c>
      <c r="F888" s="9" t="s">
        <v>64</v>
      </c>
      <c r="G888" s="9" t="s">
        <v>53</v>
      </c>
      <c r="H888" s="9" t="str">
        <f>_xlfn.XLOOKUP(G888,Employees!C:C,Employees!B:B,FALSE)</f>
        <v>T006</v>
      </c>
    </row>
    <row r="889" spans="2:8" x14ac:dyDescent="0.25">
      <c r="B889" s="9" t="s">
        <v>1804</v>
      </c>
      <c r="C889" s="9" t="s">
        <v>24</v>
      </c>
      <c r="D889" s="9">
        <v>220000</v>
      </c>
      <c r="E889" s="9" t="s">
        <v>2591</v>
      </c>
      <c r="F889" s="9" t="s">
        <v>67</v>
      </c>
      <c r="G889" s="9" t="s">
        <v>55</v>
      </c>
      <c r="H889" s="9" t="str">
        <f>_xlfn.XLOOKUP(G889,Employees!C:C,Employees!B:B,FALSE)</f>
        <v>T007</v>
      </c>
    </row>
    <row r="890" spans="2:8" x14ac:dyDescent="0.25">
      <c r="B890" s="9" t="s">
        <v>1806</v>
      </c>
      <c r="C890" s="9" t="s">
        <v>12</v>
      </c>
      <c r="D890" s="9">
        <v>207000</v>
      </c>
      <c r="E890" s="9" t="s">
        <v>2592</v>
      </c>
      <c r="F890" s="9" t="s">
        <v>64</v>
      </c>
      <c r="G890" s="9" t="s">
        <v>55</v>
      </c>
      <c r="H890" s="9" t="str">
        <f>_xlfn.XLOOKUP(G890,Employees!C:C,Employees!B:B,FALSE)</f>
        <v>T007</v>
      </c>
    </row>
    <row r="891" spans="2:8" x14ac:dyDescent="0.25">
      <c r="B891" s="9" t="s">
        <v>1808</v>
      </c>
      <c r="C891" s="9" t="s">
        <v>22</v>
      </c>
      <c r="D891" s="9">
        <v>109000</v>
      </c>
      <c r="E891" s="9" t="s">
        <v>2592</v>
      </c>
      <c r="F891" s="9" t="s">
        <v>67</v>
      </c>
      <c r="G891" s="9" t="s">
        <v>43</v>
      </c>
      <c r="H891" s="9" t="str">
        <f>_xlfn.XLOOKUP(G891,Employees!C:C,Employees!B:B,FALSE)</f>
        <v>T001</v>
      </c>
    </row>
    <row r="892" spans="2:8" x14ac:dyDescent="0.25">
      <c r="B892" s="9" t="s">
        <v>1809</v>
      </c>
      <c r="C892" s="9" t="s">
        <v>12</v>
      </c>
      <c r="D892" s="9">
        <v>79000</v>
      </c>
      <c r="E892" s="9" t="s">
        <v>2593</v>
      </c>
      <c r="F892" s="9" t="s">
        <v>65</v>
      </c>
      <c r="G892" s="9" t="s">
        <v>45</v>
      </c>
      <c r="H892" s="9" t="str">
        <f>_xlfn.XLOOKUP(G892,Employees!C:C,Employees!B:B,FALSE)</f>
        <v>T002</v>
      </c>
    </row>
    <row r="893" spans="2:8" x14ac:dyDescent="0.25">
      <c r="B893" s="9" t="s">
        <v>1811</v>
      </c>
      <c r="C893" s="9" t="s">
        <v>14</v>
      </c>
      <c r="D893" s="9">
        <v>49000</v>
      </c>
      <c r="E893" s="9" t="s">
        <v>2593</v>
      </c>
      <c r="F893" s="9" t="s">
        <v>66</v>
      </c>
      <c r="G893" s="9" t="s">
        <v>49</v>
      </c>
      <c r="H893" s="9" t="str">
        <f>_xlfn.XLOOKUP(G893,Employees!C:C,Employees!B:B,FALSE)</f>
        <v>T004</v>
      </c>
    </row>
    <row r="894" spans="2:8" x14ac:dyDescent="0.25">
      <c r="B894" s="9" t="s">
        <v>1812</v>
      </c>
      <c r="C894" s="9" t="s">
        <v>20</v>
      </c>
      <c r="D894" s="9">
        <v>139000</v>
      </c>
      <c r="E894" s="9" t="s">
        <v>2593</v>
      </c>
      <c r="F894" s="9" t="s">
        <v>64</v>
      </c>
      <c r="G894" s="9" t="s">
        <v>53</v>
      </c>
      <c r="H894" s="9" t="str">
        <f>_xlfn.XLOOKUP(G894,Employees!C:C,Employees!B:B,FALSE)</f>
        <v>T006</v>
      </c>
    </row>
    <row r="895" spans="2:8" x14ac:dyDescent="0.25">
      <c r="B895" s="9" t="s">
        <v>1813</v>
      </c>
      <c r="C895" s="9" t="s">
        <v>20</v>
      </c>
      <c r="D895" s="9">
        <v>241000</v>
      </c>
      <c r="E895" s="9" t="s">
        <v>2594</v>
      </c>
      <c r="F895" s="9" t="s">
        <v>63</v>
      </c>
      <c r="G895" s="9" t="s">
        <v>43</v>
      </c>
      <c r="H895" s="9" t="str">
        <f>_xlfn.XLOOKUP(G895,Employees!C:C,Employees!B:B,FALSE)</f>
        <v>T001</v>
      </c>
    </row>
    <row r="896" spans="2:8" x14ac:dyDescent="0.25">
      <c r="B896" s="9" t="s">
        <v>1815</v>
      </c>
      <c r="C896" s="9" t="s">
        <v>18</v>
      </c>
      <c r="D896" s="9">
        <v>68000</v>
      </c>
      <c r="E896" s="9" t="s">
        <v>2594</v>
      </c>
      <c r="F896" s="9" t="s">
        <v>62</v>
      </c>
      <c r="G896" s="9" t="s">
        <v>49</v>
      </c>
      <c r="H896" s="9" t="str">
        <f>_xlfn.XLOOKUP(G896,Employees!C:C,Employees!B:B,FALSE)</f>
        <v>T004</v>
      </c>
    </row>
    <row r="897" spans="2:8" x14ac:dyDescent="0.25">
      <c r="B897" s="9" t="s">
        <v>1816</v>
      </c>
      <c r="C897" s="9" t="s">
        <v>20</v>
      </c>
      <c r="D897" s="9">
        <v>193000</v>
      </c>
      <c r="E897" s="9" t="s">
        <v>2594</v>
      </c>
      <c r="F897" s="9" t="s">
        <v>65</v>
      </c>
      <c r="G897" s="9" t="s">
        <v>51</v>
      </c>
      <c r="H897" s="9" t="str">
        <f>_xlfn.XLOOKUP(G897,Employees!C:C,Employees!B:B,FALSE)</f>
        <v>T005</v>
      </c>
    </row>
    <row r="898" spans="2:8" x14ac:dyDescent="0.25">
      <c r="B898" s="9" t="s">
        <v>1817</v>
      </c>
      <c r="C898" s="9" t="s">
        <v>12</v>
      </c>
      <c r="D898" s="9">
        <v>96000</v>
      </c>
      <c r="E898" s="9" t="s">
        <v>2595</v>
      </c>
      <c r="F898" s="9" t="s">
        <v>66</v>
      </c>
      <c r="G898" s="9" t="s">
        <v>47</v>
      </c>
      <c r="H898" s="9" t="str">
        <f>_xlfn.XLOOKUP(G898,Employees!C:C,Employees!B:B,FALSE)</f>
        <v>T003</v>
      </c>
    </row>
    <row r="899" spans="2:8" x14ac:dyDescent="0.25">
      <c r="B899" s="9" t="s">
        <v>1819</v>
      </c>
      <c r="C899" s="9" t="s">
        <v>18</v>
      </c>
      <c r="D899" s="9">
        <v>252000</v>
      </c>
      <c r="E899" s="9" t="s">
        <v>2595</v>
      </c>
      <c r="F899" s="9" t="s">
        <v>66</v>
      </c>
      <c r="G899" s="9" t="s">
        <v>53</v>
      </c>
      <c r="H899" s="9" t="str">
        <f>_xlfn.XLOOKUP(G899,Employees!C:C,Employees!B:B,FALSE)</f>
        <v>T006</v>
      </c>
    </row>
    <row r="900" spans="2:8" x14ac:dyDescent="0.25">
      <c r="B900" s="9" t="s">
        <v>1820</v>
      </c>
      <c r="C900" s="9" t="s">
        <v>18</v>
      </c>
      <c r="D900" s="9">
        <v>108000</v>
      </c>
      <c r="E900" s="9" t="s">
        <v>2595</v>
      </c>
      <c r="F900" s="9" t="s">
        <v>64</v>
      </c>
      <c r="G900" s="9" t="s">
        <v>51</v>
      </c>
      <c r="H900" s="9" t="str">
        <f>_xlfn.XLOOKUP(G900,Employees!C:C,Employees!B:B,FALSE)</f>
        <v>T005</v>
      </c>
    </row>
    <row r="901" spans="2:8" x14ac:dyDescent="0.25">
      <c r="B901" s="9" t="s">
        <v>1821</v>
      </c>
      <c r="C901" s="9" t="s">
        <v>16</v>
      </c>
      <c r="D901" s="9">
        <v>274000</v>
      </c>
      <c r="E901" s="9" t="s">
        <v>2596</v>
      </c>
      <c r="F901" s="9" t="s">
        <v>62</v>
      </c>
      <c r="G901" s="9" t="s">
        <v>58</v>
      </c>
      <c r="H901" s="9" t="str">
        <f>_xlfn.XLOOKUP(G901,Employees!C:C,Employees!B:B,FALSE)</f>
        <v>T008</v>
      </c>
    </row>
    <row r="902" spans="2:8" x14ac:dyDescent="0.25">
      <c r="B902" s="9" t="s">
        <v>1823</v>
      </c>
      <c r="C902" s="9" t="s">
        <v>12</v>
      </c>
      <c r="D902" s="9">
        <v>184000</v>
      </c>
      <c r="E902" s="9" t="s">
        <v>2597</v>
      </c>
      <c r="F902" s="9" t="s">
        <v>65</v>
      </c>
      <c r="G902" s="9" t="s">
        <v>58</v>
      </c>
      <c r="H902" s="9" t="str">
        <f>_xlfn.XLOOKUP(G902,Employees!C:C,Employees!B:B,FALSE)</f>
        <v>T008</v>
      </c>
    </row>
    <row r="903" spans="2:8" x14ac:dyDescent="0.25">
      <c r="B903" s="9" t="s">
        <v>1825</v>
      </c>
      <c r="C903" s="9" t="s">
        <v>12</v>
      </c>
      <c r="D903" s="9">
        <v>193000</v>
      </c>
      <c r="E903" s="9" t="s">
        <v>2597</v>
      </c>
      <c r="F903" s="9" t="s">
        <v>62</v>
      </c>
      <c r="G903" s="9" t="s">
        <v>61</v>
      </c>
      <c r="H903" s="9" t="str">
        <f>_xlfn.XLOOKUP(G903,Employees!C:C,Employees!B:B,FALSE)</f>
        <v>T009</v>
      </c>
    </row>
    <row r="904" spans="2:8" x14ac:dyDescent="0.25">
      <c r="B904" s="9" t="s">
        <v>1826</v>
      </c>
      <c r="C904" s="9" t="s">
        <v>18</v>
      </c>
      <c r="D904" s="9">
        <v>240000</v>
      </c>
      <c r="E904" s="9" t="s">
        <v>2598</v>
      </c>
      <c r="F904" s="9" t="s">
        <v>66</v>
      </c>
      <c r="G904" s="9" t="s">
        <v>53</v>
      </c>
      <c r="H904" s="9" t="str">
        <f>_xlfn.XLOOKUP(G904,Employees!C:C,Employees!B:B,FALSE)</f>
        <v>T006</v>
      </c>
    </row>
    <row r="905" spans="2:8" x14ac:dyDescent="0.25">
      <c r="B905" s="9" t="s">
        <v>1828</v>
      </c>
      <c r="C905" s="9" t="s">
        <v>14</v>
      </c>
      <c r="D905" s="9">
        <v>213000</v>
      </c>
      <c r="E905" s="9" t="s">
        <v>2599</v>
      </c>
      <c r="F905" s="9" t="s">
        <v>63</v>
      </c>
      <c r="G905" s="9" t="s">
        <v>58</v>
      </c>
      <c r="H905" s="9" t="str">
        <f>_xlfn.XLOOKUP(G905,Employees!C:C,Employees!B:B,FALSE)</f>
        <v>T008</v>
      </c>
    </row>
    <row r="906" spans="2:8" x14ac:dyDescent="0.25">
      <c r="B906" s="9" t="s">
        <v>1830</v>
      </c>
      <c r="C906" s="9" t="s">
        <v>14</v>
      </c>
      <c r="D906" s="9">
        <v>237000</v>
      </c>
      <c r="E906" s="9" t="s">
        <v>2600</v>
      </c>
      <c r="F906" s="9" t="s">
        <v>66</v>
      </c>
      <c r="G906" s="9" t="s">
        <v>55</v>
      </c>
      <c r="H906" s="9" t="str">
        <f>_xlfn.XLOOKUP(G906,Employees!C:C,Employees!B:B,FALSE)</f>
        <v>T007</v>
      </c>
    </row>
    <row r="907" spans="2:8" x14ac:dyDescent="0.25">
      <c r="B907" s="9" t="s">
        <v>1832</v>
      </c>
      <c r="C907" s="9" t="s">
        <v>18</v>
      </c>
      <c r="D907" s="9">
        <v>189000</v>
      </c>
      <c r="E907" s="9" t="s">
        <v>2601</v>
      </c>
      <c r="F907" s="9" t="s">
        <v>65</v>
      </c>
      <c r="G907" s="9" t="s">
        <v>45</v>
      </c>
      <c r="H907" s="9" t="str">
        <f>_xlfn.XLOOKUP(G907,Employees!C:C,Employees!B:B,FALSE)</f>
        <v>T002</v>
      </c>
    </row>
    <row r="908" spans="2:8" x14ac:dyDescent="0.25">
      <c r="B908" s="9" t="s">
        <v>1834</v>
      </c>
      <c r="C908" s="9" t="s">
        <v>16</v>
      </c>
      <c r="D908" s="9">
        <v>232000</v>
      </c>
      <c r="E908" s="9" t="s">
        <v>2602</v>
      </c>
      <c r="F908" s="9" t="s">
        <v>64</v>
      </c>
      <c r="G908" s="9" t="s">
        <v>58</v>
      </c>
      <c r="H908" s="9" t="str">
        <f>_xlfn.XLOOKUP(G908,Employees!C:C,Employees!B:B,FALSE)</f>
        <v>T008</v>
      </c>
    </row>
    <row r="909" spans="2:8" x14ac:dyDescent="0.25">
      <c r="B909" s="9" t="s">
        <v>1836</v>
      </c>
      <c r="C909" s="9" t="s">
        <v>16</v>
      </c>
      <c r="D909" s="9">
        <v>82000</v>
      </c>
      <c r="E909" s="9" t="s">
        <v>2602</v>
      </c>
      <c r="F909" s="9" t="s">
        <v>67</v>
      </c>
      <c r="G909" s="9" t="s">
        <v>58</v>
      </c>
      <c r="H909" s="9" t="str">
        <f>_xlfn.XLOOKUP(G909,Employees!C:C,Employees!B:B,FALSE)</f>
        <v>T008</v>
      </c>
    </row>
    <row r="910" spans="2:8" x14ac:dyDescent="0.25">
      <c r="B910" s="9" t="s">
        <v>1837</v>
      </c>
      <c r="C910" s="9" t="s">
        <v>24</v>
      </c>
      <c r="D910" s="9">
        <v>300000</v>
      </c>
      <c r="E910" s="9" t="s">
        <v>2602</v>
      </c>
      <c r="F910" s="9" t="s">
        <v>64</v>
      </c>
      <c r="G910" s="9" t="s">
        <v>45</v>
      </c>
      <c r="H910" s="9" t="str">
        <f>_xlfn.XLOOKUP(G910,Employees!C:C,Employees!B:B,FALSE)</f>
        <v>T002</v>
      </c>
    </row>
    <row r="911" spans="2:8" x14ac:dyDescent="0.25">
      <c r="B911" s="9" t="s">
        <v>1838</v>
      </c>
      <c r="C911" s="9" t="s">
        <v>16</v>
      </c>
      <c r="D911" s="9">
        <v>73000</v>
      </c>
      <c r="E911" s="9" t="s">
        <v>2602</v>
      </c>
      <c r="F911" s="9" t="s">
        <v>62</v>
      </c>
      <c r="G911" s="9" t="s">
        <v>45</v>
      </c>
      <c r="H911" s="9" t="str">
        <f>_xlfn.XLOOKUP(G911,Employees!C:C,Employees!B:B,FALSE)</f>
        <v>T002</v>
      </c>
    </row>
    <row r="912" spans="2:8" x14ac:dyDescent="0.25">
      <c r="B912" s="9" t="s">
        <v>1839</v>
      </c>
      <c r="C912" s="9" t="s">
        <v>16</v>
      </c>
      <c r="D912" s="9">
        <v>175000</v>
      </c>
      <c r="E912" s="9" t="s">
        <v>2603</v>
      </c>
      <c r="F912" s="9" t="s">
        <v>63</v>
      </c>
      <c r="G912" s="9" t="s">
        <v>45</v>
      </c>
      <c r="H912" s="9" t="str">
        <f>_xlfn.XLOOKUP(G912,Employees!C:C,Employees!B:B,FALSE)</f>
        <v>T002</v>
      </c>
    </row>
    <row r="913" spans="2:8" x14ac:dyDescent="0.25">
      <c r="B913" s="9" t="s">
        <v>1841</v>
      </c>
      <c r="C913" s="9" t="s">
        <v>20</v>
      </c>
      <c r="D913" s="9">
        <v>223000</v>
      </c>
      <c r="E913" s="9" t="s">
        <v>2604</v>
      </c>
      <c r="F913" s="9" t="s">
        <v>65</v>
      </c>
      <c r="G913" s="9" t="s">
        <v>58</v>
      </c>
      <c r="H913" s="9" t="str">
        <f>_xlfn.XLOOKUP(G913,Employees!C:C,Employees!B:B,FALSE)</f>
        <v>T008</v>
      </c>
    </row>
    <row r="914" spans="2:8" x14ac:dyDescent="0.25">
      <c r="B914" s="9" t="s">
        <v>1843</v>
      </c>
      <c r="C914" s="9" t="s">
        <v>18</v>
      </c>
      <c r="D914" s="9">
        <v>81000</v>
      </c>
      <c r="E914" s="9" t="s">
        <v>2605</v>
      </c>
      <c r="F914" s="9" t="s">
        <v>62</v>
      </c>
      <c r="G914" s="9" t="s">
        <v>47</v>
      </c>
      <c r="H914" s="9" t="str">
        <f>_xlfn.XLOOKUP(G914,Employees!C:C,Employees!B:B,FALSE)</f>
        <v>T003</v>
      </c>
    </row>
    <row r="915" spans="2:8" x14ac:dyDescent="0.25">
      <c r="B915" s="9" t="s">
        <v>1845</v>
      </c>
      <c r="C915" s="9" t="s">
        <v>16</v>
      </c>
      <c r="D915" s="9">
        <v>277000</v>
      </c>
      <c r="E915" s="9" t="s">
        <v>2606</v>
      </c>
      <c r="F915" s="9" t="s">
        <v>64</v>
      </c>
      <c r="G915" s="9" t="s">
        <v>53</v>
      </c>
      <c r="H915" s="9" t="str">
        <f>_xlfn.XLOOKUP(G915,Employees!C:C,Employees!B:B,FALSE)</f>
        <v>T006</v>
      </c>
    </row>
    <row r="916" spans="2:8" x14ac:dyDescent="0.25">
      <c r="B916" s="9" t="s">
        <v>1847</v>
      </c>
      <c r="C916" s="9" t="s">
        <v>14</v>
      </c>
      <c r="D916" s="9">
        <v>277000</v>
      </c>
      <c r="E916" s="9" t="s">
        <v>2607</v>
      </c>
      <c r="F916" s="9" t="s">
        <v>65</v>
      </c>
      <c r="G916" s="9" t="s">
        <v>55</v>
      </c>
      <c r="H916" s="9" t="str">
        <f>_xlfn.XLOOKUP(G916,Employees!C:C,Employees!B:B,FALSE)</f>
        <v>T007</v>
      </c>
    </row>
    <row r="917" spans="2:8" x14ac:dyDescent="0.25">
      <c r="B917" s="9" t="s">
        <v>1849</v>
      </c>
      <c r="C917" s="9" t="s">
        <v>14</v>
      </c>
      <c r="D917" s="9">
        <v>90000</v>
      </c>
      <c r="E917" s="9" t="s">
        <v>2607</v>
      </c>
      <c r="F917" s="9" t="s">
        <v>66</v>
      </c>
      <c r="G917" s="9" t="s">
        <v>45</v>
      </c>
      <c r="H917" s="9" t="str">
        <f>_xlfn.XLOOKUP(G917,Employees!C:C,Employees!B:B,FALSE)</f>
        <v>T002</v>
      </c>
    </row>
    <row r="918" spans="2:8" x14ac:dyDescent="0.25">
      <c r="B918" s="9" t="s">
        <v>1850</v>
      </c>
      <c r="C918" s="9" t="s">
        <v>24</v>
      </c>
      <c r="D918" s="9">
        <v>38000</v>
      </c>
      <c r="E918" s="9" t="s">
        <v>2607</v>
      </c>
      <c r="F918" s="9" t="s">
        <v>65</v>
      </c>
      <c r="G918" s="9" t="s">
        <v>53</v>
      </c>
      <c r="H918" s="9" t="str">
        <f>_xlfn.XLOOKUP(G918,Employees!C:C,Employees!B:B,FALSE)</f>
        <v>T006</v>
      </c>
    </row>
    <row r="919" spans="2:8" x14ac:dyDescent="0.25">
      <c r="B919" s="9" t="s">
        <v>1851</v>
      </c>
      <c r="C919" s="9" t="s">
        <v>14</v>
      </c>
      <c r="D919" s="9">
        <v>292000</v>
      </c>
      <c r="E919" s="9" t="s">
        <v>2608</v>
      </c>
      <c r="F919" s="9" t="s">
        <v>67</v>
      </c>
      <c r="G919" s="9" t="s">
        <v>43</v>
      </c>
      <c r="H919" s="9" t="str">
        <f>_xlfn.XLOOKUP(G919,Employees!C:C,Employees!B:B,FALSE)</f>
        <v>T001</v>
      </c>
    </row>
    <row r="920" spans="2:8" x14ac:dyDescent="0.25">
      <c r="B920" s="9" t="s">
        <v>1853</v>
      </c>
      <c r="C920" s="9" t="s">
        <v>20</v>
      </c>
      <c r="D920" s="9">
        <v>88000</v>
      </c>
      <c r="E920" s="9" t="s">
        <v>2609</v>
      </c>
      <c r="F920" s="9" t="s">
        <v>67</v>
      </c>
      <c r="G920" s="9" t="s">
        <v>53</v>
      </c>
      <c r="H920" s="9" t="str">
        <f>_xlfn.XLOOKUP(G920,Employees!C:C,Employees!B:B,FALSE)</f>
        <v>T006</v>
      </c>
    </row>
    <row r="921" spans="2:8" x14ac:dyDescent="0.25">
      <c r="B921" s="9" t="s">
        <v>1855</v>
      </c>
      <c r="C921" s="9" t="s">
        <v>18</v>
      </c>
      <c r="D921" s="9">
        <v>292000</v>
      </c>
      <c r="E921" s="9" t="s">
        <v>2610</v>
      </c>
      <c r="F921" s="9" t="s">
        <v>62</v>
      </c>
      <c r="G921" s="9" t="s">
        <v>53</v>
      </c>
      <c r="H921" s="9" t="str">
        <f>_xlfn.XLOOKUP(G921,Employees!C:C,Employees!B:B,FALSE)</f>
        <v>T006</v>
      </c>
    </row>
    <row r="922" spans="2:8" x14ac:dyDescent="0.25">
      <c r="B922" s="9" t="s">
        <v>1857</v>
      </c>
      <c r="C922" s="9" t="s">
        <v>16</v>
      </c>
      <c r="D922" s="9">
        <v>69000</v>
      </c>
      <c r="E922" s="9" t="s">
        <v>2610</v>
      </c>
      <c r="F922" s="9" t="s">
        <v>63</v>
      </c>
      <c r="G922" s="9" t="s">
        <v>45</v>
      </c>
      <c r="H922" s="9" t="str">
        <f>_xlfn.XLOOKUP(G922,Employees!C:C,Employees!B:B,FALSE)</f>
        <v>T002</v>
      </c>
    </row>
    <row r="923" spans="2:8" x14ac:dyDescent="0.25">
      <c r="B923" s="9" t="s">
        <v>1858</v>
      </c>
      <c r="C923" s="9" t="s">
        <v>18</v>
      </c>
      <c r="D923" s="9">
        <v>83000</v>
      </c>
      <c r="E923" s="9" t="s">
        <v>2611</v>
      </c>
      <c r="F923" s="9" t="s">
        <v>66</v>
      </c>
      <c r="G923" s="9" t="s">
        <v>43</v>
      </c>
      <c r="H923" s="9" t="str">
        <f>_xlfn.XLOOKUP(G923,Employees!C:C,Employees!B:B,FALSE)</f>
        <v>T001</v>
      </c>
    </row>
    <row r="924" spans="2:8" x14ac:dyDescent="0.25">
      <c r="B924" s="9" t="s">
        <v>1860</v>
      </c>
      <c r="C924" s="9" t="s">
        <v>22</v>
      </c>
      <c r="D924" s="9">
        <v>42000</v>
      </c>
      <c r="E924" s="9" t="s">
        <v>2612</v>
      </c>
      <c r="F924" s="9" t="s">
        <v>64</v>
      </c>
      <c r="G924" s="9" t="s">
        <v>55</v>
      </c>
      <c r="H924" s="9" t="str">
        <f>_xlfn.XLOOKUP(G924,Employees!C:C,Employees!B:B,FALSE)</f>
        <v>T007</v>
      </c>
    </row>
    <row r="925" spans="2:8" x14ac:dyDescent="0.25">
      <c r="B925" s="9" t="s">
        <v>1862</v>
      </c>
      <c r="C925" s="9" t="s">
        <v>14</v>
      </c>
      <c r="D925" s="9">
        <v>144000</v>
      </c>
      <c r="E925" s="9" t="s">
        <v>2613</v>
      </c>
      <c r="F925" s="9" t="s">
        <v>67</v>
      </c>
      <c r="G925" s="9" t="s">
        <v>53</v>
      </c>
      <c r="H925" s="9" t="str">
        <f>_xlfn.XLOOKUP(G925,Employees!C:C,Employees!B:B,FALSE)</f>
        <v>T006</v>
      </c>
    </row>
    <row r="926" spans="2:8" x14ac:dyDescent="0.25">
      <c r="B926" s="9" t="s">
        <v>1864</v>
      </c>
      <c r="C926" s="9" t="s">
        <v>16</v>
      </c>
      <c r="D926" s="9">
        <v>88000</v>
      </c>
      <c r="E926" s="9" t="s">
        <v>2614</v>
      </c>
      <c r="F926" s="9" t="s">
        <v>63</v>
      </c>
      <c r="G926" s="9" t="s">
        <v>58</v>
      </c>
      <c r="H926" s="9" t="str">
        <f>_xlfn.XLOOKUP(G926,Employees!C:C,Employees!B:B,FALSE)</f>
        <v>T008</v>
      </c>
    </row>
    <row r="927" spans="2:8" x14ac:dyDescent="0.25">
      <c r="B927" s="9" t="s">
        <v>1866</v>
      </c>
      <c r="C927" s="9" t="s">
        <v>20</v>
      </c>
      <c r="D927" s="9">
        <v>217000</v>
      </c>
      <c r="E927" s="9" t="s">
        <v>2614</v>
      </c>
      <c r="F927" s="9" t="s">
        <v>63</v>
      </c>
      <c r="G927" s="9" t="s">
        <v>43</v>
      </c>
      <c r="H927" s="9" t="str">
        <f>_xlfn.XLOOKUP(G927,Employees!C:C,Employees!B:B,FALSE)</f>
        <v>T001</v>
      </c>
    </row>
    <row r="928" spans="2:8" x14ac:dyDescent="0.25">
      <c r="B928" s="9" t="s">
        <v>1867</v>
      </c>
      <c r="C928" s="9" t="s">
        <v>22</v>
      </c>
      <c r="D928" s="9">
        <v>30000</v>
      </c>
      <c r="E928" s="9" t="s">
        <v>2615</v>
      </c>
      <c r="F928" s="9" t="s">
        <v>65</v>
      </c>
      <c r="G928" s="9" t="s">
        <v>58</v>
      </c>
      <c r="H928" s="9" t="str">
        <f>_xlfn.XLOOKUP(G928,Employees!C:C,Employees!B:B,FALSE)</f>
        <v>T008</v>
      </c>
    </row>
    <row r="929" spans="2:8" x14ac:dyDescent="0.25">
      <c r="B929" s="9" t="s">
        <v>1869</v>
      </c>
      <c r="C929" s="9" t="s">
        <v>16</v>
      </c>
      <c r="D929" s="9">
        <v>143000</v>
      </c>
      <c r="E929" s="9" t="s">
        <v>2616</v>
      </c>
      <c r="F929" s="9" t="s">
        <v>64</v>
      </c>
      <c r="G929" s="9" t="s">
        <v>53</v>
      </c>
      <c r="H929" s="9" t="str">
        <f>_xlfn.XLOOKUP(G929,Employees!C:C,Employees!B:B,FALSE)</f>
        <v>T006</v>
      </c>
    </row>
    <row r="930" spans="2:8" x14ac:dyDescent="0.25">
      <c r="B930" s="9" t="s">
        <v>1872</v>
      </c>
      <c r="C930" s="9" t="s">
        <v>22</v>
      </c>
      <c r="D930" s="9">
        <v>163000</v>
      </c>
      <c r="E930" s="9" t="s">
        <v>2617</v>
      </c>
      <c r="F930" s="9" t="s">
        <v>64</v>
      </c>
      <c r="G930" s="9" t="s">
        <v>43</v>
      </c>
      <c r="H930" s="9" t="str">
        <f>_xlfn.XLOOKUP(G930,Employees!C:C,Employees!B:B,FALSE)</f>
        <v>T001</v>
      </c>
    </row>
    <row r="931" spans="2:8" x14ac:dyDescent="0.25">
      <c r="B931" s="9" t="s">
        <v>1874</v>
      </c>
      <c r="C931" s="9" t="s">
        <v>18</v>
      </c>
      <c r="D931" s="9">
        <v>124000</v>
      </c>
      <c r="E931" s="9" t="s">
        <v>2618</v>
      </c>
      <c r="F931" s="9" t="s">
        <v>66</v>
      </c>
      <c r="G931" s="9" t="s">
        <v>53</v>
      </c>
      <c r="H931" s="9" t="str">
        <f>_xlfn.XLOOKUP(G931,Employees!C:C,Employees!B:B,FALSE)</f>
        <v>T006</v>
      </c>
    </row>
    <row r="932" spans="2:8" x14ac:dyDescent="0.25">
      <c r="B932" s="9" t="s">
        <v>1876</v>
      </c>
      <c r="C932" s="9" t="s">
        <v>14</v>
      </c>
      <c r="D932" s="9">
        <v>184000</v>
      </c>
      <c r="E932" s="9" t="s">
        <v>2619</v>
      </c>
      <c r="F932" s="9" t="s">
        <v>67</v>
      </c>
      <c r="G932" s="9" t="s">
        <v>61</v>
      </c>
      <c r="H932" s="9" t="str">
        <f>_xlfn.XLOOKUP(G932,Employees!C:C,Employees!B:B,FALSE)</f>
        <v>T009</v>
      </c>
    </row>
    <row r="933" spans="2:8" x14ac:dyDescent="0.25">
      <c r="B933" s="9" t="s">
        <v>1878</v>
      </c>
      <c r="C933" s="9" t="s">
        <v>20</v>
      </c>
      <c r="D933" s="9">
        <v>111000</v>
      </c>
      <c r="E933" s="9" t="s">
        <v>2620</v>
      </c>
      <c r="F933" s="9" t="s">
        <v>66</v>
      </c>
      <c r="G933" s="9" t="s">
        <v>45</v>
      </c>
      <c r="H933" s="9" t="str">
        <f>_xlfn.XLOOKUP(G933,Employees!C:C,Employees!B:B,FALSE)</f>
        <v>T002</v>
      </c>
    </row>
    <row r="934" spans="2:8" x14ac:dyDescent="0.25">
      <c r="B934" s="9" t="s">
        <v>1880</v>
      </c>
      <c r="C934" s="9" t="s">
        <v>14</v>
      </c>
      <c r="D934" s="9">
        <v>297000</v>
      </c>
      <c r="E934" s="9" t="s">
        <v>2621</v>
      </c>
      <c r="F934" s="9" t="s">
        <v>64</v>
      </c>
      <c r="G934" s="9" t="s">
        <v>53</v>
      </c>
      <c r="H934" s="9" t="str">
        <f>_xlfn.XLOOKUP(G934,Employees!C:C,Employees!B:B,FALSE)</f>
        <v>T006</v>
      </c>
    </row>
    <row r="935" spans="2:8" x14ac:dyDescent="0.25">
      <c r="B935" s="9" t="s">
        <v>1882</v>
      </c>
      <c r="C935" s="9" t="s">
        <v>24</v>
      </c>
      <c r="D935" s="9">
        <v>139000</v>
      </c>
      <c r="E935" s="9" t="s">
        <v>2622</v>
      </c>
      <c r="F935" s="9" t="s">
        <v>64</v>
      </c>
      <c r="G935" s="9" t="s">
        <v>51</v>
      </c>
      <c r="H935" s="9" t="str">
        <f>_xlfn.XLOOKUP(G935,Employees!C:C,Employees!B:B,FALSE)</f>
        <v>T005</v>
      </c>
    </row>
    <row r="936" spans="2:8" x14ac:dyDescent="0.25">
      <c r="B936" s="9" t="s">
        <v>1884</v>
      </c>
      <c r="C936" s="9" t="s">
        <v>14</v>
      </c>
      <c r="D936" s="9">
        <v>252000</v>
      </c>
      <c r="E936" s="9" t="s">
        <v>2622</v>
      </c>
      <c r="F936" s="9" t="s">
        <v>62</v>
      </c>
      <c r="G936" s="9" t="s">
        <v>49</v>
      </c>
      <c r="H936" s="9" t="str">
        <f>_xlfn.XLOOKUP(G936,Employees!C:C,Employees!B:B,FALSE)</f>
        <v>T004</v>
      </c>
    </row>
    <row r="937" spans="2:8" x14ac:dyDescent="0.25">
      <c r="B937" s="9" t="s">
        <v>1885</v>
      </c>
      <c r="C937" s="9" t="s">
        <v>20</v>
      </c>
      <c r="D937" s="9">
        <v>69000</v>
      </c>
      <c r="E937" s="9" t="s">
        <v>2623</v>
      </c>
      <c r="F937" s="9" t="s">
        <v>64</v>
      </c>
      <c r="G937" s="9" t="s">
        <v>53</v>
      </c>
      <c r="H937" s="9" t="str">
        <f>_xlfn.XLOOKUP(G937,Employees!C:C,Employees!B:B,FALSE)</f>
        <v>T006</v>
      </c>
    </row>
    <row r="938" spans="2:8" x14ac:dyDescent="0.25">
      <c r="B938" s="9" t="s">
        <v>1887</v>
      </c>
      <c r="C938" s="9" t="s">
        <v>20</v>
      </c>
      <c r="D938" s="9">
        <v>64000</v>
      </c>
      <c r="E938" s="9" t="s">
        <v>2623</v>
      </c>
      <c r="F938" s="9" t="s">
        <v>65</v>
      </c>
      <c r="G938" s="9" t="s">
        <v>53</v>
      </c>
      <c r="H938" s="9" t="str">
        <f>_xlfn.XLOOKUP(G938,Employees!C:C,Employees!B:B,FALSE)</f>
        <v>T006</v>
      </c>
    </row>
    <row r="939" spans="2:8" x14ac:dyDescent="0.25">
      <c r="B939" s="9" t="s">
        <v>1888</v>
      </c>
      <c r="C939" s="9" t="s">
        <v>24</v>
      </c>
      <c r="D939" s="9">
        <v>86000</v>
      </c>
      <c r="E939" s="9" t="s">
        <v>2623</v>
      </c>
      <c r="F939" s="9" t="s">
        <v>66</v>
      </c>
      <c r="G939" s="9" t="s">
        <v>51</v>
      </c>
      <c r="H939" s="9" t="str">
        <f>_xlfn.XLOOKUP(G939,Employees!C:C,Employees!B:B,FALSE)</f>
        <v>T005</v>
      </c>
    </row>
    <row r="940" spans="2:8" x14ac:dyDescent="0.25">
      <c r="B940" s="9" t="s">
        <v>1889</v>
      </c>
      <c r="C940" s="9" t="s">
        <v>16</v>
      </c>
      <c r="D940" s="9">
        <v>113000</v>
      </c>
      <c r="E940" s="9" t="s">
        <v>2624</v>
      </c>
      <c r="F940" s="9" t="s">
        <v>63</v>
      </c>
      <c r="G940" s="9" t="s">
        <v>45</v>
      </c>
      <c r="H940" s="9" t="str">
        <f>_xlfn.XLOOKUP(G940,Employees!C:C,Employees!B:B,FALSE)</f>
        <v>T002</v>
      </c>
    </row>
    <row r="941" spans="2:8" x14ac:dyDescent="0.25">
      <c r="B941" s="9" t="s">
        <v>1891</v>
      </c>
      <c r="C941" s="9" t="s">
        <v>12</v>
      </c>
      <c r="D941" s="9">
        <v>257000</v>
      </c>
      <c r="E941" s="9" t="s">
        <v>2625</v>
      </c>
      <c r="F941" s="9" t="s">
        <v>62</v>
      </c>
      <c r="G941" s="9" t="s">
        <v>55</v>
      </c>
      <c r="H941" s="9" t="str">
        <f>_xlfn.XLOOKUP(G941,Employees!C:C,Employees!B:B,FALSE)</f>
        <v>T007</v>
      </c>
    </row>
    <row r="942" spans="2:8" x14ac:dyDescent="0.25">
      <c r="B942" s="9" t="s">
        <v>1893</v>
      </c>
      <c r="C942" s="9" t="s">
        <v>24</v>
      </c>
      <c r="D942" s="9">
        <v>200000</v>
      </c>
      <c r="E942" s="9" t="s">
        <v>2626</v>
      </c>
      <c r="F942" s="9" t="s">
        <v>62</v>
      </c>
      <c r="G942" s="9" t="s">
        <v>43</v>
      </c>
      <c r="H942" s="9" t="str">
        <f>_xlfn.XLOOKUP(G942,Employees!C:C,Employees!B:B,FALSE)</f>
        <v>T001</v>
      </c>
    </row>
    <row r="943" spans="2:8" x14ac:dyDescent="0.25">
      <c r="B943" s="9" t="s">
        <v>1895</v>
      </c>
      <c r="C943" s="9" t="s">
        <v>16</v>
      </c>
      <c r="D943" s="9">
        <v>71000</v>
      </c>
      <c r="E943" s="9" t="s">
        <v>2626</v>
      </c>
      <c r="F943" s="9" t="s">
        <v>63</v>
      </c>
      <c r="G943" s="9" t="s">
        <v>45</v>
      </c>
      <c r="H943" s="9" t="str">
        <f>_xlfn.XLOOKUP(G943,Employees!C:C,Employees!B:B,FALSE)</f>
        <v>T002</v>
      </c>
    </row>
    <row r="944" spans="2:8" x14ac:dyDescent="0.25">
      <c r="B944" s="9" t="s">
        <v>1896</v>
      </c>
      <c r="C944" s="9" t="s">
        <v>18</v>
      </c>
      <c r="D944" s="9">
        <v>32000</v>
      </c>
      <c r="E944" s="9" t="s">
        <v>2627</v>
      </c>
      <c r="F944" s="9" t="s">
        <v>65</v>
      </c>
      <c r="G944" s="9" t="s">
        <v>53</v>
      </c>
      <c r="H944" s="9" t="str">
        <f>_xlfn.XLOOKUP(G944,Employees!C:C,Employees!B:B,FALSE)</f>
        <v>T006</v>
      </c>
    </row>
    <row r="945" spans="2:8" x14ac:dyDescent="0.25">
      <c r="B945" s="9" t="s">
        <v>1898</v>
      </c>
      <c r="C945" s="9" t="s">
        <v>24</v>
      </c>
      <c r="D945" s="9">
        <v>154000</v>
      </c>
      <c r="E945" s="9" t="s">
        <v>2627</v>
      </c>
      <c r="F945" s="9" t="s">
        <v>63</v>
      </c>
      <c r="G945" s="9" t="s">
        <v>61</v>
      </c>
      <c r="H945" s="9" t="str">
        <f>_xlfn.XLOOKUP(G945,Employees!C:C,Employees!B:B,FALSE)</f>
        <v>T009</v>
      </c>
    </row>
    <row r="946" spans="2:8" x14ac:dyDescent="0.25">
      <c r="B946" s="9" t="s">
        <v>1899</v>
      </c>
      <c r="C946" s="9" t="s">
        <v>18</v>
      </c>
      <c r="D946" s="9">
        <v>106000</v>
      </c>
      <c r="E946" s="9" t="s">
        <v>2627</v>
      </c>
      <c r="F946" s="9" t="s">
        <v>63</v>
      </c>
      <c r="G946" s="9" t="s">
        <v>53</v>
      </c>
      <c r="H946" s="9" t="str">
        <f>_xlfn.XLOOKUP(G946,Employees!C:C,Employees!B:B,FALSE)</f>
        <v>T006</v>
      </c>
    </row>
    <row r="947" spans="2:8" x14ac:dyDescent="0.25">
      <c r="B947" s="9" t="s">
        <v>1900</v>
      </c>
      <c r="C947" s="9" t="s">
        <v>22</v>
      </c>
      <c r="D947" s="9">
        <v>298000</v>
      </c>
      <c r="E947" s="9" t="s">
        <v>2628</v>
      </c>
      <c r="F947" s="9" t="s">
        <v>65</v>
      </c>
      <c r="G947" s="9" t="s">
        <v>43</v>
      </c>
      <c r="H947" s="9" t="str">
        <f>_xlfn.XLOOKUP(G947,Employees!C:C,Employees!B:B,FALSE)</f>
        <v>T001</v>
      </c>
    </row>
    <row r="948" spans="2:8" x14ac:dyDescent="0.25">
      <c r="B948" s="9" t="s">
        <v>1902</v>
      </c>
      <c r="C948" s="9" t="s">
        <v>12</v>
      </c>
      <c r="D948" s="9">
        <v>72000</v>
      </c>
      <c r="E948" s="9" t="s">
        <v>2629</v>
      </c>
      <c r="F948" s="9" t="s">
        <v>66</v>
      </c>
      <c r="G948" s="9" t="s">
        <v>45</v>
      </c>
      <c r="H948" s="9" t="str">
        <f>_xlfn.XLOOKUP(G948,Employees!C:C,Employees!B:B,FALSE)</f>
        <v>T002</v>
      </c>
    </row>
    <row r="949" spans="2:8" x14ac:dyDescent="0.25">
      <c r="B949" s="9" t="s">
        <v>1904</v>
      </c>
      <c r="C949" s="9" t="s">
        <v>12</v>
      </c>
      <c r="D949" s="9">
        <v>98000</v>
      </c>
      <c r="E949" s="9" t="s">
        <v>2630</v>
      </c>
      <c r="F949" s="9" t="s">
        <v>62</v>
      </c>
      <c r="G949" s="9" t="s">
        <v>49</v>
      </c>
      <c r="H949" s="9" t="str">
        <f>_xlfn.XLOOKUP(G949,Employees!C:C,Employees!B:B,FALSE)</f>
        <v>T004</v>
      </c>
    </row>
    <row r="950" spans="2:8" x14ac:dyDescent="0.25">
      <c r="B950" s="9" t="s">
        <v>1906</v>
      </c>
      <c r="C950" s="9" t="s">
        <v>18</v>
      </c>
      <c r="D950" s="9">
        <v>41000</v>
      </c>
      <c r="E950" s="9" t="s">
        <v>2631</v>
      </c>
      <c r="F950" s="9" t="s">
        <v>66</v>
      </c>
      <c r="G950" s="9" t="s">
        <v>61</v>
      </c>
      <c r="H950" s="9" t="str">
        <f>_xlfn.XLOOKUP(G950,Employees!C:C,Employees!B:B,FALSE)</f>
        <v>T009</v>
      </c>
    </row>
    <row r="951" spans="2:8" x14ac:dyDescent="0.25">
      <c r="B951" s="9" t="s">
        <v>1908</v>
      </c>
      <c r="C951" s="9" t="s">
        <v>24</v>
      </c>
      <c r="D951" s="9">
        <v>260000</v>
      </c>
      <c r="E951" s="9" t="s">
        <v>2632</v>
      </c>
      <c r="F951" s="9" t="s">
        <v>66</v>
      </c>
      <c r="G951" s="9" t="s">
        <v>61</v>
      </c>
      <c r="H951" s="9" t="str">
        <f>_xlfn.XLOOKUP(G951,Employees!C:C,Employees!B:B,FALSE)</f>
        <v>T009</v>
      </c>
    </row>
    <row r="952" spans="2:8" x14ac:dyDescent="0.25">
      <c r="B952" s="9" t="s">
        <v>1910</v>
      </c>
      <c r="C952" s="9" t="s">
        <v>14</v>
      </c>
      <c r="D952" s="9">
        <v>230000</v>
      </c>
      <c r="E952" s="9" t="s">
        <v>2633</v>
      </c>
      <c r="F952" s="9" t="s">
        <v>65</v>
      </c>
      <c r="G952" s="9" t="s">
        <v>49</v>
      </c>
      <c r="H952" s="9" t="str">
        <f>_xlfn.XLOOKUP(G952,Employees!C:C,Employees!B:B,FALSE)</f>
        <v>T004</v>
      </c>
    </row>
    <row r="953" spans="2:8" x14ac:dyDescent="0.25">
      <c r="B953" s="9" t="s">
        <v>1912</v>
      </c>
      <c r="C953" s="9" t="s">
        <v>12</v>
      </c>
      <c r="D953" s="9">
        <v>95000</v>
      </c>
      <c r="E953" s="9" t="s">
        <v>2634</v>
      </c>
      <c r="F953" s="9" t="s">
        <v>63</v>
      </c>
      <c r="G953" s="9" t="s">
        <v>43</v>
      </c>
      <c r="H953" s="9" t="str">
        <f>_xlfn.XLOOKUP(G953,Employees!C:C,Employees!B:B,FALSE)</f>
        <v>T001</v>
      </c>
    </row>
    <row r="954" spans="2:8" x14ac:dyDescent="0.25">
      <c r="B954" s="9" t="s">
        <v>1914</v>
      </c>
      <c r="C954" s="9" t="s">
        <v>20</v>
      </c>
      <c r="D954" s="9">
        <v>285000</v>
      </c>
      <c r="E954" s="9" t="s">
        <v>2635</v>
      </c>
      <c r="F954" s="9" t="s">
        <v>62</v>
      </c>
      <c r="G954" s="9" t="s">
        <v>45</v>
      </c>
      <c r="H954" s="9" t="str">
        <f>_xlfn.XLOOKUP(G954,Employees!C:C,Employees!B:B,FALSE)</f>
        <v>T002</v>
      </c>
    </row>
    <row r="955" spans="2:8" x14ac:dyDescent="0.25">
      <c r="B955" s="9" t="s">
        <v>1916</v>
      </c>
      <c r="C955" s="9" t="s">
        <v>18</v>
      </c>
      <c r="D955" s="9">
        <v>115000</v>
      </c>
      <c r="E955" s="9" t="s">
        <v>2636</v>
      </c>
      <c r="F955" s="9" t="s">
        <v>65</v>
      </c>
      <c r="G955" s="9" t="s">
        <v>55</v>
      </c>
      <c r="H955" s="9" t="str">
        <f>_xlfn.XLOOKUP(G955,Employees!C:C,Employees!B:B,FALSE)</f>
        <v>T007</v>
      </c>
    </row>
    <row r="956" spans="2:8" x14ac:dyDescent="0.25">
      <c r="B956" s="9" t="s">
        <v>1918</v>
      </c>
      <c r="C956" s="9" t="s">
        <v>24</v>
      </c>
      <c r="D956" s="9">
        <v>232000</v>
      </c>
      <c r="E956" s="9" t="s">
        <v>2637</v>
      </c>
      <c r="F956" s="9" t="s">
        <v>65</v>
      </c>
      <c r="G956" s="9" t="s">
        <v>55</v>
      </c>
      <c r="H956" s="9" t="str">
        <f>_xlfn.XLOOKUP(G956,Employees!C:C,Employees!B:B,FALSE)</f>
        <v>T007</v>
      </c>
    </row>
    <row r="957" spans="2:8" x14ac:dyDescent="0.25">
      <c r="B957" s="9" t="s">
        <v>1920</v>
      </c>
      <c r="C957" s="9" t="s">
        <v>24</v>
      </c>
      <c r="D957" s="9">
        <v>279000</v>
      </c>
      <c r="E957" s="9" t="s">
        <v>2638</v>
      </c>
      <c r="F957" s="9" t="s">
        <v>65</v>
      </c>
      <c r="G957" s="9" t="s">
        <v>47</v>
      </c>
      <c r="H957" s="9" t="str">
        <f>_xlfn.XLOOKUP(G957,Employees!C:C,Employees!B:B,FALSE)</f>
        <v>T003</v>
      </c>
    </row>
    <row r="958" spans="2:8" x14ac:dyDescent="0.25">
      <c r="B958" s="9" t="s">
        <v>1922</v>
      </c>
      <c r="C958" s="9" t="s">
        <v>12</v>
      </c>
      <c r="D958" s="9">
        <v>275000</v>
      </c>
      <c r="E958" s="9" t="s">
        <v>2638</v>
      </c>
      <c r="F958" s="9" t="s">
        <v>64</v>
      </c>
      <c r="G958" s="9" t="s">
        <v>49</v>
      </c>
      <c r="H958" s="9" t="str">
        <f>_xlfn.XLOOKUP(G958,Employees!C:C,Employees!B:B,FALSE)</f>
        <v>T004</v>
      </c>
    </row>
    <row r="959" spans="2:8" x14ac:dyDescent="0.25">
      <c r="B959" s="9" t="s">
        <v>1923</v>
      </c>
      <c r="C959" s="9" t="s">
        <v>16</v>
      </c>
      <c r="D959" s="9">
        <v>181000</v>
      </c>
      <c r="E959" s="9" t="s">
        <v>2638</v>
      </c>
      <c r="F959" s="9" t="s">
        <v>64</v>
      </c>
      <c r="G959" s="9" t="s">
        <v>61</v>
      </c>
      <c r="H959" s="9" t="str">
        <f>_xlfn.XLOOKUP(G959,Employees!C:C,Employees!B:B,FALSE)</f>
        <v>T009</v>
      </c>
    </row>
    <row r="960" spans="2:8" x14ac:dyDescent="0.25">
      <c r="B960" s="9" t="s">
        <v>1924</v>
      </c>
      <c r="C960" s="9" t="s">
        <v>14</v>
      </c>
      <c r="D960" s="9">
        <v>257000</v>
      </c>
      <c r="E960" s="9" t="s">
        <v>2639</v>
      </c>
      <c r="F960" s="9" t="s">
        <v>67</v>
      </c>
      <c r="G960" s="9" t="s">
        <v>49</v>
      </c>
      <c r="H960" s="9" t="str">
        <f>_xlfn.XLOOKUP(G960,Employees!C:C,Employees!B:B,FALSE)</f>
        <v>T004</v>
      </c>
    </row>
    <row r="961" spans="2:8" x14ac:dyDescent="0.25">
      <c r="B961" s="9" t="s">
        <v>1926</v>
      </c>
      <c r="C961" s="9" t="s">
        <v>24</v>
      </c>
      <c r="D961" s="9">
        <v>178000</v>
      </c>
      <c r="E961" s="9" t="s">
        <v>2640</v>
      </c>
      <c r="F961" s="9" t="s">
        <v>65</v>
      </c>
      <c r="G961" s="9" t="s">
        <v>45</v>
      </c>
      <c r="H961" s="9" t="str">
        <f>_xlfn.XLOOKUP(G961,Employees!C:C,Employees!B:B,FALSE)</f>
        <v>T002</v>
      </c>
    </row>
    <row r="962" spans="2:8" x14ac:dyDescent="0.25">
      <c r="B962" s="9" t="s">
        <v>1928</v>
      </c>
      <c r="C962" s="9" t="s">
        <v>20</v>
      </c>
      <c r="D962" s="9">
        <v>271000</v>
      </c>
      <c r="E962" s="9" t="s">
        <v>2641</v>
      </c>
      <c r="F962" s="9" t="s">
        <v>63</v>
      </c>
      <c r="G962" s="9" t="s">
        <v>49</v>
      </c>
      <c r="H962" s="9" t="str">
        <f>_xlfn.XLOOKUP(G962,Employees!C:C,Employees!B:B,FALSE)</f>
        <v>T004</v>
      </c>
    </row>
    <row r="963" spans="2:8" x14ac:dyDescent="0.25">
      <c r="B963" s="9" t="s">
        <v>1930</v>
      </c>
      <c r="C963" s="9" t="s">
        <v>12</v>
      </c>
      <c r="D963" s="9">
        <v>299000</v>
      </c>
      <c r="E963" s="9" t="s">
        <v>2642</v>
      </c>
      <c r="F963" s="9" t="s">
        <v>66</v>
      </c>
      <c r="G963" s="9" t="s">
        <v>53</v>
      </c>
      <c r="H963" s="9" t="str">
        <f>_xlfn.XLOOKUP(G963,Employees!C:C,Employees!B:B,FALSE)</f>
        <v>T006</v>
      </c>
    </row>
    <row r="964" spans="2:8" x14ac:dyDescent="0.25">
      <c r="B964" s="9" t="s">
        <v>1932</v>
      </c>
      <c r="C964" s="9" t="s">
        <v>12</v>
      </c>
      <c r="D964" s="9">
        <v>110000</v>
      </c>
      <c r="E964" s="9" t="s">
        <v>2642</v>
      </c>
      <c r="F964" s="9" t="s">
        <v>63</v>
      </c>
      <c r="G964" s="9" t="s">
        <v>49</v>
      </c>
      <c r="H964" s="9" t="str">
        <f>_xlfn.XLOOKUP(G964,Employees!C:C,Employees!B:B,FALSE)</f>
        <v>T004</v>
      </c>
    </row>
    <row r="965" spans="2:8" x14ac:dyDescent="0.25">
      <c r="B965" s="9" t="s">
        <v>1933</v>
      </c>
      <c r="C965" s="9" t="s">
        <v>12</v>
      </c>
      <c r="D965" s="9">
        <v>276000</v>
      </c>
      <c r="E965" s="9" t="s">
        <v>2643</v>
      </c>
      <c r="F965" s="9" t="s">
        <v>65</v>
      </c>
      <c r="G965" s="9" t="s">
        <v>53</v>
      </c>
      <c r="H965" s="9" t="str">
        <f>_xlfn.XLOOKUP(G965,Employees!C:C,Employees!B:B,FALSE)</f>
        <v>T006</v>
      </c>
    </row>
    <row r="966" spans="2:8" x14ac:dyDescent="0.25">
      <c r="B966" s="9" t="s">
        <v>1935</v>
      </c>
      <c r="C966" s="9" t="s">
        <v>14</v>
      </c>
      <c r="D966" s="9">
        <v>268000</v>
      </c>
      <c r="E966" s="9" t="s">
        <v>2643</v>
      </c>
      <c r="F966" s="9" t="s">
        <v>66</v>
      </c>
      <c r="G966" s="9" t="s">
        <v>61</v>
      </c>
      <c r="H966" s="9" t="str">
        <f>_xlfn.XLOOKUP(G966,Employees!C:C,Employees!B:B,FALSE)</f>
        <v>T009</v>
      </c>
    </row>
    <row r="967" spans="2:8" x14ac:dyDescent="0.25">
      <c r="B967" s="9" t="s">
        <v>1936</v>
      </c>
      <c r="C967" s="9" t="s">
        <v>20</v>
      </c>
      <c r="D967" s="9">
        <v>210000</v>
      </c>
      <c r="E967" s="9" t="s">
        <v>2644</v>
      </c>
      <c r="F967" s="9" t="s">
        <v>62</v>
      </c>
      <c r="G967" s="9" t="s">
        <v>55</v>
      </c>
      <c r="H967" s="9" t="str">
        <f>_xlfn.XLOOKUP(G967,Employees!C:C,Employees!B:B,FALSE)</f>
        <v>T007</v>
      </c>
    </row>
    <row r="968" spans="2:8" x14ac:dyDescent="0.25">
      <c r="B968" s="9" t="s">
        <v>1938</v>
      </c>
      <c r="C968" s="9" t="s">
        <v>22</v>
      </c>
      <c r="D968" s="9">
        <v>169000</v>
      </c>
      <c r="E968" s="9" t="s">
        <v>2645</v>
      </c>
      <c r="F968" s="9" t="s">
        <v>67</v>
      </c>
      <c r="G968" s="9" t="s">
        <v>45</v>
      </c>
      <c r="H968" s="9" t="str">
        <f>_xlfn.XLOOKUP(G968,Employees!C:C,Employees!B:B,FALSE)</f>
        <v>T002</v>
      </c>
    </row>
    <row r="969" spans="2:8" x14ac:dyDescent="0.25">
      <c r="B969" s="9" t="s">
        <v>1940</v>
      </c>
      <c r="C969" s="9" t="s">
        <v>18</v>
      </c>
      <c r="D969" s="9">
        <v>284000</v>
      </c>
      <c r="E969" s="9" t="s">
        <v>2645</v>
      </c>
      <c r="F969" s="9" t="s">
        <v>66</v>
      </c>
      <c r="G969" s="9" t="s">
        <v>61</v>
      </c>
      <c r="H969" s="9" t="str">
        <f>_xlfn.XLOOKUP(G969,Employees!C:C,Employees!B:B,FALSE)</f>
        <v>T009</v>
      </c>
    </row>
    <row r="970" spans="2:8" x14ac:dyDescent="0.25">
      <c r="B970" s="9" t="s">
        <v>1941</v>
      </c>
      <c r="C970" s="9" t="s">
        <v>12</v>
      </c>
      <c r="D970" s="9">
        <v>160000</v>
      </c>
      <c r="E970" s="9" t="s">
        <v>2645</v>
      </c>
      <c r="F970" s="9" t="s">
        <v>63</v>
      </c>
      <c r="G970" s="9" t="s">
        <v>51</v>
      </c>
      <c r="H970" s="9" t="str">
        <f>_xlfn.XLOOKUP(G970,Employees!C:C,Employees!B:B,FALSE)</f>
        <v>T005</v>
      </c>
    </row>
    <row r="971" spans="2:8" x14ac:dyDescent="0.25">
      <c r="B971" s="9" t="s">
        <v>1942</v>
      </c>
      <c r="C971" s="9" t="s">
        <v>22</v>
      </c>
      <c r="D971" s="9">
        <v>288000</v>
      </c>
      <c r="E971" s="9" t="s">
        <v>2646</v>
      </c>
      <c r="F971" s="9" t="s">
        <v>67</v>
      </c>
      <c r="G971" s="9" t="s">
        <v>49</v>
      </c>
      <c r="H971" s="9" t="str">
        <f>_xlfn.XLOOKUP(G971,Employees!C:C,Employees!B:B,FALSE)</f>
        <v>T004</v>
      </c>
    </row>
    <row r="972" spans="2:8" x14ac:dyDescent="0.25">
      <c r="B972" s="9" t="s">
        <v>1944</v>
      </c>
      <c r="C972" s="9" t="s">
        <v>12</v>
      </c>
      <c r="D972" s="9">
        <v>92000</v>
      </c>
      <c r="E972" s="9" t="s">
        <v>2647</v>
      </c>
      <c r="F972" s="9" t="s">
        <v>63</v>
      </c>
      <c r="G972" s="9" t="s">
        <v>55</v>
      </c>
      <c r="H972" s="9" t="str">
        <f>_xlfn.XLOOKUP(G972,Employees!C:C,Employees!B:B,FALSE)</f>
        <v>T007</v>
      </c>
    </row>
    <row r="973" spans="2:8" x14ac:dyDescent="0.25">
      <c r="B973" s="9" t="s">
        <v>1946</v>
      </c>
      <c r="C973" s="9" t="s">
        <v>18</v>
      </c>
      <c r="D973" s="9">
        <v>61000</v>
      </c>
      <c r="E973" s="9" t="s">
        <v>2648</v>
      </c>
      <c r="F973" s="9" t="s">
        <v>62</v>
      </c>
      <c r="G973" s="9" t="s">
        <v>45</v>
      </c>
      <c r="H973" s="9" t="str">
        <f>_xlfn.XLOOKUP(G973,Employees!C:C,Employees!B:B,FALSE)</f>
        <v>T002</v>
      </c>
    </row>
    <row r="974" spans="2:8" x14ac:dyDescent="0.25">
      <c r="B974" s="9" t="s">
        <v>1948</v>
      </c>
      <c r="C974" s="9" t="s">
        <v>12</v>
      </c>
      <c r="D974" s="9">
        <v>137000</v>
      </c>
      <c r="E974" s="9" t="s">
        <v>2649</v>
      </c>
      <c r="F974" s="9" t="s">
        <v>63</v>
      </c>
      <c r="G974" s="9" t="s">
        <v>51</v>
      </c>
      <c r="H974" s="9" t="str">
        <f>_xlfn.XLOOKUP(G974,Employees!C:C,Employees!B:B,FALSE)</f>
        <v>T005</v>
      </c>
    </row>
    <row r="975" spans="2:8" x14ac:dyDescent="0.25">
      <c r="B975" s="9" t="s">
        <v>1950</v>
      </c>
      <c r="C975" s="9" t="s">
        <v>18</v>
      </c>
      <c r="D975" s="9">
        <v>263000</v>
      </c>
      <c r="E975" s="9" t="s">
        <v>2650</v>
      </c>
      <c r="F975" s="9" t="s">
        <v>62</v>
      </c>
      <c r="G975" s="9" t="s">
        <v>45</v>
      </c>
      <c r="H975" s="9" t="str">
        <f>_xlfn.XLOOKUP(G975,Employees!C:C,Employees!B:B,FALSE)</f>
        <v>T002</v>
      </c>
    </row>
    <row r="976" spans="2:8" x14ac:dyDescent="0.25">
      <c r="B976" s="9" t="s">
        <v>1952</v>
      </c>
      <c r="C976" s="9" t="s">
        <v>22</v>
      </c>
      <c r="D976" s="9">
        <v>234000</v>
      </c>
      <c r="E976" s="9" t="s">
        <v>2651</v>
      </c>
      <c r="F976" s="9" t="s">
        <v>67</v>
      </c>
      <c r="G976" s="9" t="s">
        <v>43</v>
      </c>
      <c r="H976" s="9" t="str">
        <f>_xlfn.XLOOKUP(G976,Employees!C:C,Employees!B:B,FALSE)</f>
        <v>T001</v>
      </c>
    </row>
    <row r="977" spans="2:8" x14ac:dyDescent="0.25">
      <c r="B977" s="9" t="s">
        <v>1954</v>
      </c>
      <c r="C977" s="9" t="s">
        <v>18</v>
      </c>
      <c r="D977" s="9">
        <v>270000</v>
      </c>
      <c r="E977" s="9" t="s">
        <v>2652</v>
      </c>
      <c r="F977" s="9" t="s">
        <v>62</v>
      </c>
      <c r="G977" s="9" t="s">
        <v>47</v>
      </c>
      <c r="H977" s="9" t="str">
        <f>_xlfn.XLOOKUP(G977,Employees!C:C,Employees!B:B,FALSE)</f>
        <v>T003</v>
      </c>
    </row>
    <row r="978" spans="2:8" x14ac:dyDescent="0.25">
      <c r="B978" s="9" t="s">
        <v>1956</v>
      </c>
      <c r="C978" s="9" t="s">
        <v>18</v>
      </c>
      <c r="D978" s="9">
        <v>114000</v>
      </c>
      <c r="E978" s="9" t="s">
        <v>2652</v>
      </c>
      <c r="F978" s="9" t="s">
        <v>67</v>
      </c>
      <c r="G978" s="9" t="s">
        <v>43</v>
      </c>
      <c r="H978" s="9" t="str">
        <f>_xlfn.XLOOKUP(G978,Employees!C:C,Employees!B:B,FALSE)</f>
        <v>T001</v>
      </c>
    </row>
    <row r="979" spans="2:8" x14ac:dyDescent="0.25">
      <c r="B979" s="9" t="s">
        <v>1957</v>
      </c>
      <c r="C979" s="9" t="s">
        <v>16</v>
      </c>
      <c r="D979" s="9">
        <v>224000</v>
      </c>
      <c r="E979" s="9" t="s">
        <v>2653</v>
      </c>
      <c r="F979" s="9" t="s">
        <v>67</v>
      </c>
      <c r="G979" s="9" t="s">
        <v>58</v>
      </c>
      <c r="H979" s="9" t="str">
        <f>_xlfn.XLOOKUP(G979,Employees!C:C,Employees!B:B,FALSE)</f>
        <v>T008</v>
      </c>
    </row>
    <row r="980" spans="2:8" x14ac:dyDescent="0.25">
      <c r="B980" s="9" t="s">
        <v>1959</v>
      </c>
      <c r="C980" s="9" t="s">
        <v>20</v>
      </c>
      <c r="D980" s="9">
        <v>207000</v>
      </c>
      <c r="E980" s="9" t="s">
        <v>2653</v>
      </c>
      <c r="F980" s="9" t="s">
        <v>63</v>
      </c>
      <c r="G980" s="9" t="s">
        <v>51</v>
      </c>
      <c r="H980" s="9" t="str">
        <f>_xlfn.XLOOKUP(G980,Employees!C:C,Employees!B:B,FALSE)</f>
        <v>T005</v>
      </c>
    </row>
    <row r="981" spans="2:8" x14ac:dyDescent="0.25">
      <c r="B981" s="9" t="s">
        <v>1960</v>
      </c>
      <c r="C981" s="9" t="s">
        <v>16</v>
      </c>
      <c r="D981" s="9">
        <v>137000</v>
      </c>
      <c r="E981" s="9" t="s">
        <v>2654</v>
      </c>
      <c r="F981" s="9" t="s">
        <v>65</v>
      </c>
      <c r="G981" s="9" t="s">
        <v>58</v>
      </c>
      <c r="H981" s="9" t="str">
        <f>_xlfn.XLOOKUP(G981,Employees!C:C,Employees!B:B,FALSE)</f>
        <v>T008</v>
      </c>
    </row>
    <row r="982" spans="2:8" x14ac:dyDescent="0.25">
      <c r="B982" s="9" t="s">
        <v>1962</v>
      </c>
      <c r="C982" s="9" t="s">
        <v>16</v>
      </c>
      <c r="D982" s="9">
        <v>257000</v>
      </c>
      <c r="E982" s="9" t="s">
        <v>2655</v>
      </c>
      <c r="F982" s="9" t="s">
        <v>64</v>
      </c>
      <c r="G982" s="9" t="s">
        <v>47</v>
      </c>
      <c r="H982" s="9" t="str">
        <f>_xlfn.XLOOKUP(G982,Employees!C:C,Employees!B:B,FALSE)</f>
        <v>T003</v>
      </c>
    </row>
    <row r="983" spans="2:8" x14ac:dyDescent="0.25">
      <c r="B983" s="9" t="s">
        <v>1964</v>
      </c>
      <c r="C983" s="9" t="s">
        <v>18</v>
      </c>
      <c r="D983" s="9">
        <v>46000</v>
      </c>
      <c r="E983" s="9" t="s">
        <v>2656</v>
      </c>
      <c r="F983" s="9" t="s">
        <v>62</v>
      </c>
      <c r="G983" s="9" t="s">
        <v>53</v>
      </c>
      <c r="H983" s="9" t="str">
        <f>_xlfn.XLOOKUP(G983,Employees!C:C,Employees!B:B,FALSE)</f>
        <v>T006</v>
      </c>
    </row>
    <row r="984" spans="2:8" x14ac:dyDescent="0.25">
      <c r="B984" s="9" t="s">
        <v>1966</v>
      </c>
      <c r="C984" s="9" t="s">
        <v>14</v>
      </c>
      <c r="D984" s="9">
        <v>155000</v>
      </c>
      <c r="E984" s="9" t="s">
        <v>2657</v>
      </c>
      <c r="F984" s="9" t="s">
        <v>67</v>
      </c>
      <c r="G984" s="9" t="s">
        <v>49</v>
      </c>
      <c r="H984" s="9" t="str">
        <f>_xlfn.XLOOKUP(G984,Employees!C:C,Employees!B:B,FALSE)</f>
        <v>T004</v>
      </c>
    </row>
    <row r="985" spans="2:8" x14ac:dyDescent="0.25">
      <c r="B985" s="9" t="s">
        <v>1968</v>
      </c>
      <c r="C985" s="9" t="s">
        <v>14</v>
      </c>
      <c r="D985" s="9">
        <v>121000</v>
      </c>
      <c r="E985" s="9" t="s">
        <v>2658</v>
      </c>
      <c r="F985" s="9" t="s">
        <v>62</v>
      </c>
      <c r="G985" s="9" t="s">
        <v>49</v>
      </c>
      <c r="H985" s="9" t="str">
        <f>_xlfn.XLOOKUP(G985,Employees!C:C,Employees!B:B,FALSE)</f>
        <v>T004</v>
      </c>
    </row>
    <row r="986" spans="2:8" x14ac:dyDescent="0.25">
      <c r="B986" s="9" t="s">
        <v>1970</v>
      </c>
      <c r="C986" s="9" t="s">
        <v>14</v>
      </c>
      <c r="D986" s="9">
        <v>283000</v>
      </c>
      <c r="E986" s="9" t="s">
        <v>2658</v>
      </c>
      <c r="F986" s="9" t="s">
        <v>65</v>
      </c>
      <c r="G986" s="9" t="s">
        <v>45</v>
      </c>
      <c r="H986" s="9" t="str">
        <f>_xlfn.XLOOKUP(G986,Employees!C:C,Employees!B:B,FALSE)</f>
        <v>T002</v>
      </c>
    </row>
    <row r="987" spans="2:8" x14ac:dyDescent="0.25">
      <c r="B987" s="9" t="s">
        <v>1971</v>
      </c>
      <c r="C987" s="9" t="s">
        <v>22</v>
      </c>
      <c r="D987" s="9">
        <v>289000</v>
      </c>
      <c r="E987" s="9" t="s">
        <v>2659</v>
      </c>
      <c r="F987" s="9" t="s">
        <v>65</v>
      </c>
      <c r="G987" s="9" t="s">
        <v>43</v>
      </c>
      <c r="H987" s="9" t="str">
        <f>_xlfn.XLOOKUP(G987,Employees!C:C,Employees!B:B,FALSE)</f>
        <v>T001</v>
      </c>
    </row>
    <row r="988" spans="2:8" x14ac:dyDescent="0.25">
      <c r="B988" s="9" t="s">
        <v>1973</v>
      </c>
      <c r="C988" s="9" t="s">
        <v>14</v>
      </c>
      <c r="D988" s="9">
        <v>120000</v>
      </c>
      <c r="E988" s="9" t="s">
        <v>2660</v>
      </c>
      <c r="F988" s="9" t="s">
        <v>65</v>
      </c>
      <c r="G988" s="9" t="s">
        <v>58</v>
      </c>
      <c r="H988" s="9" t="str">
        <f>_xlfn.XLOOKUP(G988,Employees!C:C,Employees!B:B,FALSE)</f>
        <v>T008</v>
      </c>
    </row>
    <row r="989" spans="2:8" x14ac:dyDescent="0.25">
      <c r="B989" s="9" t="s">
        <v>1975</v>
      </c>
      <c r="C989" s="9" t="s">
        <v>18</v>
      </c>
      <c r="D989" s="9">
        <v>236000</v>
      </c>
      <c r="E989" s="9" t="s">
        <v>2660</v>
      </c>
      <c r="F989" s="9" t="s">
        <v>66</v>
      </c>
      <c r="G989" s="9" t="s">
        <v>55</v>
      </c>
      <c r="H989" s="9" t="str">
        <f>_xlfn.XLOOKUP(G989,Employees!C:C,Employees!B:B,FALSE)</f>
        <v>T007</v>
      </c>
    </row>
    <row r="990" spans="2:8" x14ac:dyDescent="0.25">
      <c r="B990" s="9" t="s">
        <v>1976</v>
      </c>
      <c r="C990" s="9" t="s">
        <v>24</v>
      </c>
      <c r="D990" s="9">
        <v>227000</v>
      </c>
      <c r="E990" s="9" t="s">
        <v>2661</v>
      </c>
      <c r="F990" s="9" t="s">
        <v>62</v>
      </c>
      <c r="G990" s="9" t="s">
        <v>58</v>
      </c>
      <c r="H990" s="9" t="str">
        <f>_xlfn.XLOOKUP(G990,Employees!C:C,Employees!B:B,FALSE)</f>
        <v>T008</v>
      </c>
    </row>
    <row r="991" spans="2:8" x14ac:dyDescent="0.25">
      <c r="B991" s="9" t="s">
        <v>1978</v>
      </c>
      <c r="C991" s="9" t="s">
        <v>12</v>
      </c>
      <c r="D991" s="9">
        <v>278000</v>
      </c>
      <c r="E991" s="9" t="s">
        <v>2661</v>
      </c>
      <c r="F991" s="9" t="s">
        <v>64</v>
      </c>
      <c r="G991" s="9" t="s">
        <v>47</v>
      </c>
      <c r="H991" s="9" t="str">
        <f>_xlfn.XLOOKUP(G991,Employees!C:C,Employees!B:B,FALSE)</f>
        <v>T003</v>
      </c>
    </row>
    <row r="992" spans="2:8" x14ac:dyDescent="0.25">
      <c r="B992" s="9" t="s">
        <v>1979</v>
      </c>
      <c r="C992" s="9" t="s">
        <v>14</v>
      </c>
      <c r="D992" s="9">
        <v>126000</v>
      </c>
      <c r="E992" s="9" t="s">
        <v>2662</v>
      </c>
      <c r="F992" s="9" t="s">
        <v>66</v>
      </c>
      <c r="G992" s="9" t="s">
        <v>51</v>
      </c>
      <c r="H992" s="9" t="str">
        <f>_xlfn.XLOOKUP(G992,Employees!C:C,Employees!B:B,FALSE)</f>
        <v>T005</v>
      </c>
    </row>
    <row r="993" spans="2:8" x14ac:dyDescent="0.25">
      <c r="B993" s="9" t="s">
        <v>1981</v>
      </c>
      <c r="C993" s="9" t="s">
        <v>20</v>
      </c>
      <c r="D993" s="9">
        <v>96000</v>
      </c>
      <c r="E993" s="9" t="s">
        <v>2663</v>
      </c>
      <c r="F993" s="9" t="s">
        <v>67</v>
      </c>
      <c r="G993" s="9" t="s">
        <v>61</v>
      </c>
      <c r="H993" s="9" t="str">
        <f>_xlfn.XLOOKUP(G993,Employees!C:C,Employees!B:B,FALSE)</f>
        <v>T009</v>
      </c>
    </row>
    <row r="994" spans="2:8" x14ac:dyDescent="0.25">
      <c r="B994" s="9" t="s">
        <v>1983</v>
      </c>
      <c r="C994" s="9" t="s">
        <v>12</v>
      </c>
      <c r="D994" s="9">
        <v>291000</v>
      </c>
      <c r="E994" s="9" t="s">
        <v>2664</v>
      </c>
      <c r="F994" s="9" t="s">
        <v>64</v>
      </c>
      <c r="G994" s="9" t="s">
        <v>49</v>
      </c>
      <c r="H994" s="9" t="str">
        <f>_xlfn.XLOOKUP(G994,Employees!C:C,Employees!B:B,FALSE)</f>
        <v>T004</v>
      </c>
    </row>
    <row r="995" spans="2:8" x14ac:dyDescent="0.25">
      <c r="B995" s="9" t="s">
        <v>1985</v>
      </c>
      <c r="C995" s="9" t="s">
        <v>22</v>
      </c>
      <c r="D995" s="9">
        <v>106000</v>
      </c>
      <c r="E995" s="9" t="s">
        <v>2665</v>
      </c>
      <c r="F995" s="9" t="s">
        <v>63</v>
      </c>
      <c r="G995" s="9" t="s">
        <v>53</v>
      </c>
      <c r="H995" s="9" t="str">
        <f>_xlfn.XLOOKUP(G995,Employees!C:C,Employees!B:B,FALSE)</f>
        <v>T006</v>
      </c>
    </row>
    <row r="996" spans="2:8" x14ac:dyDescent="0.25">
      <c r="B996" s="9" t="s">
        <v>1987</v>
      </c>
      <c r="C996" s="9" t="s">
        <v>18</v>
      </c>
      <c r="D996" s="9">
        <v>126000</v>
      </c>
      <c r="E996" s="9" t="s">
        <v>2666</v>
      </c>
      <c r="F996" s="9" t="s">
        <v>62</v>
      </c>
      <c r="G996" s="9" t="s">
        <v>51</v>
      </c>
      <c r="H996" s="9" t="str">
        <f>_xlfn.XLOOKUP(G996,Employees!C:C,Employees!B:B,FALSE)</f>
        <v>T005</v>
      </c>
    </row>
    <row r="997" spans="2:8" x14ac:dyDescent="0.25">
      <c r="B997" s="9" t="s">
        <v>1989</v>
      </c>
      <c r="C997" s="9" t="s">
        <v>16</v>
      </c>
      <c r="D997" s="9">
        <v>279000</v>
      </c>
      <c r="E997" s="9" t="s">
        <v>2667</v>
      </c>
      <c r="F997" s="9" t="s">
        <v>64</v>
      </c>
      <c r="G997" s="9" t="s">
        <v>58</v>
      </c>
      <c r="H997" s="9" t="str">
        <f>_xlfn.XLOOKUP(G997,Employees!C:C,Employees!B:B,FALSE)</f>
        <v>T008</v>
      </c>
    </row>
    <row r="998" spans="2:8" x14ac:dyDescent="0.25">
      <c r="B998" s="9" t="s">
        <v>1991</v>
      </c>
      <c r="C998" s="9" t="s">
        <v>24</v>
      </c>
      <c r="D998" s="9">
        <v>277000</v>
      </c>
      <c r="E998" s="9" t="s">
        <v>2668</v>
      </c>
      <c r="F998" s="9" t="s">
        <v>65</v>
      </c>
      <c r="G998" s="9" t="s">
        <v>53</v>
      </c>
      <c r="H998" s="9" t="str">
        <f>_xlfn.XLOOKUP(G998,Employees!C:C,Employees!B:B,FALSE)</f>
        <v>T006</v>
      </c>
    </row>
    <row r="999" spans="2:8" x14ac:dyDescent="0.25">
      <c r="B999" s="9" t="s">
        <v>1993</v>
      </c>
      <c r="C999" s="9" t="s">
        <v>20</v>
      </c>
      <c r="D999" s="9">
        <v>248000</v>
      </c>
      <c r="E999" s="9" t="s">
        <v>2669</v>
      </c>
      <c r="F999" s="9" t="s">
        <v>64</v>
      </c>
      <c r="G999" s="9" t="s">
        <v>43</v>
      </c>
      <c r="H999" s="9" t="str">
        <f>_xlfn.XLOOKUP(G999,Employees!C:C,Employees!B:B,FALSE)</f>
        <v>T001</v>
      </c>
    </row>
    <row r="1000" spans="2:8" x14ac:dyDescent="0.25">
      <c r="B1000" s="9" t="s">
        <v>1995</v>
      </c>
      <c r="C1000" s="9" t="s">
        <v>12</v>
      </c>
      <c r="D1000" s="9">
        <v>183000</v>
      </c>
      <c r="E1000" s="9" t="s">
        <v>2670</v>
      </c>
      <c r="F1000" s="9" t="s">
        <v>65</v>
      </c>
      <c r="G1000" s="9" t="s">
        <v>51</v>
      </c>
      <c r="H1000" s="9" t="str">
        <f>_xlfn.XLOOKUP(G1000,Employees!C:C,Employees!B:B,FALSE)</f>
        <v>T005</v>
      </c>
    </row>
    <row r="1001" spans="2:8" x14ac:dyDescent="0.25">
      <c r="B1001" s="9" t="s">
        <v>1997</v>
      </c>
      <c r="C1001" s="9" t="s">
        <v>24</v>
      </c>
      <c r="D1001" s="9">
        <v>77000</v>
      </c>
      <c r="E1001" s="9" t="s">
        <v>2671</v>
      </c>
      <c r="F1001" s="9" t="s">
        <v>66</v>
      </c>
      <c r="G1001" s="9" t="s">
        <v>53</v>
      </c>
      <c r="H1001" s="9" t="str">
        <f>_xlfn.XLOOKUP(G1001,Employees!C:C,Employees!B:B,FALSE)</f>
        <v>T006</v>
      </c>
    </row>
  </sheetData>
  <mergeCells count="2">
    <mergeCell ref="N3:S6"/>
    <mergeCell ref="N7:S9"/>
  </mergeCells>
  <phoneticPr fontId="2" type="noConversion"/>
  <conditionalFormatting sqref="L3:L11">
    <cfRule type="containsText" dxfId="8" priority="1" operator="containsText" text="績效優良">
      <formula>NOT(ISERROR(SEARCH("績效優良",L3)))</formula>
    </cfRule>
    <cfRule type="containsText" dxfId="7" priority="2" operator="containsText" text="已達標">
      <formula>NOT(ISERROR(SEARCH("已達標",L3)))</formula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2D7A-D8D1-47A8-A6F2-72A2C48A2B41}">
  <dimension ref="B1:M1001"/>
  <sheetViews>
    <sheetView showGridLines="0" tabSelected="1" workbookViewId="0">
      <selection activeCell="H7" sqref="H7"/>
    </sheetView>
  </sheetViews>
  <sheetFormatPr defaultRowHeight="16.5" x14ac:dyDescent="0.25"/>
  <cols>
    <col min="2" max="7" width="9" style="9"/>
    <col min="10" max="10" width="16.125" bestFit="1" customWidth="1"/>
    <col min="11" max="11" width="12" bestFit="1" customWidth="1"/>
    <col min="12" max="12" width="12.625" bestFit="1" customWidth="1"/>
    <col min="13" max="13" width="15.625" bestFit="1" customWidth="1"/>
  </cols>
  <sheetData>
    <row r="1" spans="2:13" x14ac:dyDescent="0.25">
      <c r="B1" s="9" t="s">
        <v>9</v>
      </c>
      <c r="C1" s="9" t="s">
        <v>1999</v>
      </c>
      <c r="D1" s="9" t="s">
        <v>71</v>
      </c>
      <c r="E1" s="9" t="s">
        <v>72</v>
      </c>
      <c r="F1" s="9" t="s">
        <v>2000</v>
      </c>
      <c r="G1" s="9" t="s">
        <v>2001</v>
      </c>
      <c r="H1" s="27" t="s">
        <v>2707</v>
      </c>
    </row>
    <row r="2" spans="2:13" x14ac:dyDescent="0.25">
      <c r="B2" s="9" t="s">
        <v>34</v>
      </c>
      <c r="C2" s="9" t="s">
        <v>18</v>
      </c>
      <c r="D2" s="24">
        <v>41000</v>
      </c>
      <c r="E2" s="9" t="s">
        <v>2002</v>
      </c>
      <c r="F2" s="9" t="s">
        <v>67</v>
      </c>
      <c r="G2" s="9" t="s">
        <v>61</v>
      </c>
      <c r="H2" t="str" cm="1">
        <f t="array" ref="H2">_xlfn.IFS(D2&gt;=250000,"高額",D2&gt;=150000,"中額",TRUE,"低額")</f>
        <v>低額</v>
      </c>
      <c r="J2" s="13" t="s">
        <v>2683</v>
      </c>
      <c r="K2" t="s">
        <v>2706</v>
      </c>
      <c r="L2" t="s">
        <v>2705</v>
      </c>
      <c r="M2" t="s">
        <v>2708</v>
      </c>
    </row>
    <row r="3" spans="2:13" x14ac:dyDescent="0.25">
      <c r="B3" s="9" t="s">
        <v>35</v>
      </c>
      <c r="C3" s="9" t="s">
        <v>22</v>
      </c>
      <c r="D3" s="24">
        <v>230000</v>
      </c>
      <c r="E3" s="9" t="s">
        <v>2003</v>
      </c>
      <c r="F3" s="9" t="s">
        <v>65</v>
      </c>
      <c r="G3" s="9" t="s">
        <v>49</v>
      </c>
      <c r="H3" t="str" cm="1">
        <f t="array" ref="H3">_xlfn.IFS(D3&gt;=250000,"高額",D3&gt;=150000,"中額",TRUE,"低額")</f>
        <v>中額</v>
      </c>
      <c r="J3" s="6" t="s">
        <v>12</v>
      </c>
      <c r="K3" s="25">
        <v>27017000</v>
      </c>
      <c r="L3" s="26">
        <v>0.16170969228651291</v>
      </c>
      <c r="M3" s="25">
        <v>1</v>
      </c>
    </row>
    <row r="4" spans="2:13" x14ac:dyDescent="0.25">
      <c r="B4" s="9" t="s">
        <v>36</v>
      </c>
      <c r="C4" s="9" t="s">
        <v>12</v>
      </c>
      <c r="D4" s="24">
        <v>154000</v>
      </c>
      <c r="E4" s="9" t="s">
        <v>2004</v>
      </c>
      <c r="F4" s="9" t="s">
        <v>64</v>
      </c>
      <c r="G4" s="9" t="s">
        <v>45</v>
      </c>
      <c r="H4" t="str" cm="1">
        <f t="array" ref="H4">_xlfn.IFS(D4&gt;=250000,"高額",D4&gt;=150000,"中額",TRUE,"低額")</f>
        <v>中額</v>
      </c>
      <c r="J4" s="6" t="s">
        <v>16</v>
      </c>
      <c r="K4" s="25">
        <v>26950000</v>
      </c>
      <c r="L4" s="26">
        <v>0.16130866517827749</v>
      </c>
      <c r="M4" s="25">
        <v>2</v>
      </c>
    </row>
    <row r="5" spans="2:13" x14ac:dyDescent="0.25">
      <c r="B5" s="9" t="s">
        <v>37</v>
      </c>
      <c r="C5" s="9" t="s">
        <v>16</v>
      </c>
      <c r="D5" s="24">
        <v>170000</v>
      </c>
      <c r="E5" s="9" t="s">
        <v>2005</v>
      </c>
      <c r="F5" s="9" t="s">
        <v>64</v>
      </c>
      <c r="G5" s="9" t="s">
        <v>58</v>
      </c>
      <c r="H5" t="str" cm="1">
        <f t="array" ref="H5">_xlfn.IFS(D5&gt;=250000,"高額",D5&gt;=150000,"中額",TRUE,"低額")</f>
        <v>中額</v>
      </c>
      <c r="J5" s="6" t="s">
        <v>14</v>
      </c>
      <c r="K5" s="25">
        <v>26310000</v>
      </c>
      <c r="L5" s="26">
        <v>0.15747795847274512</v>
      </c>
      <c r="M5" s="25">
        <v>3</v>
      </c>
    </row>
    <row r="6" spans="2:13" x14ac:dyDescent="0.25">
      <c r="B6" s="9" t="s">
        <v>38</v>
      </c>
      <c r="C6" s="9" t="s">
        <v>20</v>
      </c>
      <c r="D6" s="24">
        <v>100000</v>
      </c>
      <c r="E6" s="9" t="s">
        <v>2005</v>
      </c>
      <c r="F6" s="9" t="s">
        <v>63</v>
      </c>
      <c r="G6" s="9" t="s">
        <v>43</v>
      </c>
      <c r="H6" t="str" cm="1">
        <f t="array" ref="H6">_xlfn.IFS(D6&gt;=250000,"高額",D6&gt;=150000,"中額",TRUE,"低額")</f>
        <v>低額</v>
      </c>
      <c r="J6" s="6" t="s">
        <v>18</v>
      </c>
      <c r="K6" s="25">
        <v>25627000</v>
      </c>
      <c r="L6" s="26">
        <v>0.15338987616043478</v>
      </c>
      <c r="M6" s="25">
        <v>4</v>
      </c>
    </row>
    <row r="7" spans="2:13" x14ac:dyDescent="0.25">
      <c r="B7" s="9" t="s">
        <v>39</v>
      </c>
      <c r="C7" s="9" t="s">
        <v>14</v>
      </c>
      <c r="D7" s="24">
        <v>139000</v>
      </c>
      <c r="E7" s="9" t="s">
        <v>2006</v>
      </c>
      <c r="F7" s="9" t="s">
        <v>65</v>
      </c>
      <c r="G7" s="9" t="s">
        <v>53</v>
      </c>
      <c r="H7" t="str" cm="1">
        <f t="array" ref="H7">_xlfn.IFS(D7&gt;=250000,"高額",D7&gt;=150000,"中額",TRUE,"低額")</f>
        <v>低額</v>
      </c>
      <c r="J7" s="6" t="s">
        <v>22</v>
      </c>
      <c r="K7" s="25">
        <v>22289000</v>
      </c>
      <c r="L7" s="26">
        <v>0.13341034649939248</v>
      </c>
      <c r="M7" s="25">
        <v>5</v>
      </c>
    </row>
    <row r="8" spans="2:13" x14ac:dyDescent="0.25">
      <c r="B8" s="9" t="s">
        <v>40</v>
      </c>
      <c r="C8" s="9" t="s">
        <v>12</v>
      </c>
      <c r="D8" s="24">
        <v>93000</v>
      </c>
      <c r="E8" s="9" t="s">
        <v>2007</v>
      </c>
      <c r="F8" s="9" t="s">
        <v>62</v>
      </c>
      <c r="G8" s="9" t="s">
        <v>55</v>
      </c>
      <c r="H8" t="str" cm="1">
        <f t="array" ref="H8">_xlfn.IFS(D8&gt;=250000,"高額",D8&gt;=150000,"中額",TRUE,"低額")</f>
        <v>低額</v>
      </c>
      <c r="J8" s="6" t="s">
        <v>20</v>
      </c>
      <c r="K8" s="25">
        <v>20949000</v>
      </c>
      <c r="L8" s="26">
        <v>0.12538980433468405</v>
      </c>
      <c r="M8" s="25">
        <v>6</v>
      </c>
    </row>
    <row r="9" spans="2:13" x14ac:dyDescent="0.25">
      <c r="B9" s="9" t="s">
        <v>56</v>
      </c>
      <c r="C9" s="9" t="s">
        <v>12</v>
      </c>
      <c r="D9" s="24">
        <v>247000</v>
      </c>
      <c r="E9" s="9" t="s">
        <v>2008</v>
      </c>
      <c r="F9" s="9" t="s">
        <v>64</v>
      </c>
      <c r="G9" s="9" t="s">
        <v>61</v>
      </c>
      <c r="H9" t="str" cm="1">
        <f t="array" ref="H9">_xlfn.IFS(D9&gt;=250000,"高額",D9&gt;=150000,"中額",TRUE,"低額")</f>
        <v>中額</v>
      </c>
      <c r="J9" s="6" t="s">
        <v>24</v>
      </c>
      <c r="K9" s="25">
        <v>17929000</v>
      </c>
      <c r="L9" s="26">
        <v>0.10731365706795315</v>
      </c>
      <c r="M9" s="25">
        <v>7</v>
      </c>
    </row>
    <row r="10" spans="2:13" x14ac:dyDescent="0.25">
      <c r="B10" s="9" t="s">
        <v>59</v>
      </c>
      <c r="C10" s="9" t="s">
        <v>16</v>
      </c>
      <c r="D10" s="24">
        <v>58000</v>
      </c>
      <c r="E10" s="9" t="s">
        <v>2009</v>
      </c>
      <c r="F10" s="9" t="s">
        <v>66</v>
      </c>
      <c r="G10" s="9" t="s">
        <v>49</v>
      </c>
      <c r="H10" t="str" cm="1">
        <f t="array" ref="H10">_xlfn.IFS(D10&gt;=250000,"高額",D10&gt;=150000,"中額",TRUE,"低額")</f>
        <v>低額</v>
      </c>
      <c r="J10" s="6" t="s">
        <v>2680</v>
      </c>
      <c r="K10" s="25">
        <v>167071000</v>
      </c>
      <c r="L10" s="26">
        <v>1</v>
      </c>
      <c r="M10" s="25"/>
    </row>
    <row r="11" spans="2:13" x14ac:dyDescent="0.25">
      <c r="B11" s="9" t="s">
        <v>90</v>
      </c>
      <c r="C11" s="9" t="s">
        <v>16</v>
      </c>
      <c r="D11" s="24">
        <v>231000</v>
      </c>
      <c r="E11" s="9" t="s">
        <v>2009</v>
      </c>
      <c r="F11" s="9" t="s">
        <v>62</v>
      </c>
      <c r="G11" s="9" t="s">
        <v>45</v>
      </c>
      <c r="H11" t="str" cm="1">
        <f t="array" ref="H11">_xlfn.IFS(D11&gt;=250000,"高額",D11&gt;=150000,"中額",TRUE,"低額")</f>
        <v>中額</v>
      </c>
    </row>
    <row r="12" spans="2:13" x14ac:dyDescent="0.25">
      <c r="B12" s="9" t="s">
        <v>92</v>
      </c>
      <c r="C12" s="9" t="s">
        <v>22</v>
      </c>
      <c r="D12" s="24">
        <v>183000</v>
      </c>
      <c r="E12" s="9" t="s">
        <v>2009</v>
      </c>
      <c r="F12" s="9" t="s">
        <v>67</v>
      </c>
      <c r="G12" s="9" t="s">
        <v>58</v>
      </c>
      <c r="H12" t="str" cm="1">
        <f t="array" ref="H12">_xlfn.IFS(D12&gt;=250000,"高額",D12&gt;=150000,"中額",TRUE,"低額")</f>
        <v>中額</v>
      </c>
      <c r="J12" s="19" t="s">
        <v>2709</v>
      </c>
      <c r="K12" s="19"/>
      <c r="L12" s="19"/>
      <c r="M12" s="19"/>
    </row>
    <row r="13" spans="2:13" x14ac:dyDescent="0.25">
      <c r="B13" s="9" t="s">
        <v>94</v>
      </c>
      <c r="C13" s="9" t="s">
        <v>14</v>
      </c>
      <c r="D13" s="24">
        <v>156000</v>
      </c>
      <c r="E13" s="9" t="s">
        <v>2010</v>
      </c>
      <c r="F13" s="9" t="s">
        <v>64</v>
      </c>
      <c r="G13" s="9" t="s">
        <v>58</v>
      </c>
      <c r="H13" t="str" cm="1">
        <f t="array" ref="H13">_xlfn.IFS(D13&gt;=250000,"高額",D13&gt;=150000,"中額",TRUE,"低額")</f>
        <v>中額</v>
      </c>
      <c r="J13" s="19"/>
      <c r="K13" s="19"/>
      <c r="L13" s="19"/>
      <c r="M13" s="19"/>
    </row>
    <row r="14" spans="2:13" x14ac:dyDescent="0.25">
      <c r="B14" s="9" t="s">
        <v>97</v>
      </c>
      <c r="C14" s="9" t="s">
        <v>18</v>
      </c>
      <c r="D14" s="24">
        <v>66000</v>
      </c>
      <c r="E14" s="9" t="s">
        <v>2010</v>
      </c>
      <c r="F14" s="9" t="s">
        <v>64</v>
      </c>
      <c r="G14" s="9" t="s">
        <v>55</v>
      </c>
      <c r="H14" t="str" cm="1">
        <f t="array" ref="H14">_xlfn.IFS(D14&gt;=250000,"高額",D14&gt;=150000,"中額",TRUE,"低額")</f>
        <v>低額</v>
      </c>
      <c r="J14" s="19"/>
      <c r="K14" s="19"/>
      <c r="L14" s="19"/>
      <c r="M14" s="19"/>
    </row>
    <row r="15" spans="2:13" x14ac:dyDescent="0.25">
      <c r="B15" s="9" t="s">
        <v>99</v>
      </c>
      <c r="C15" s="9" t="s">
        <v>20</v>
      </c>
      <c r="D15" s="24">
        <v>80000</v>
      </c>
      <c r="E15" s="9" t="s">
        <v>2011</v>
      </c>
      <c r="F15" s="9" t="s">
        <v>63</v>
      </c>
      <c r="G15" s="9" t="s">
        <v>45</v>
      </c>
      <c r="H15" t="str" cm="1">
        <f t="array" ref="H15">_xlfn.IFS(D15&gt;=250000,"高額",D15&gt;=150000,"中額",TRUE,"低額")</f>
        <v>低額</v>
      </c>
      <c r="J15" s="19"/>
      <c r="K15" s="19"/>
      <c r="L15" s="19"/>
      <c r="M15" s="19"/>
    </row>
    <row r="16" spans="2:13" x14ac:dyDescent="0.25">
      <c r="B16" s="9" t="s">
        <v>102</v>
      </c>
      <c r="C16" s="9" t="s">
        <v>22</v>
      </c>
      <c r="D16" s="24">
        <v>31000</v>
      </c>
      <c r="E16" s="9" t="s">
        <v>2011</v>
      </c>
      <c r="F16" s="9" t="s">
        <v>65</v>
      </c>
      <c r="G16" s="9" t="s">
        <v>51</v>
      </c>
      <c r="H16" t="str" cm="1">
        <f t="array" ref="H16">_xlfn.IFS(D16&gt;=250000,"高額",D16&gt;=150000,"中額",TRUE,"低額")</f>
        <v>低額</v>
      </c>
    </row>
    <row r="17" spans="2:8" x14ac:dyDescent="0.25">
      <c r="B17" s="9" t="s">
        <v>104</v>
      </c>
      <c r="C17" s="9" t="s">
        <v>14</v>
      </c>
      <c r="D17" s="24">
        <v>217000</v>
      </c>
      <c r="E17" s="9" t="s">
        <v>2011</v>
      </c>
      <c r="F17" s="9" t="s">
        <v>66</v>
      </c>
      <c r="G17" s="9" t="s">
        <v>61</v>
      </c>
      <c r="H17" t="str" cm="1">
        <f t="array" ref="H17">_xlfn.IFS(D17&gt;=250000,"高額",D17&gt;=150000,"中額",TRUE,"低額")</f>
        <v>中額</v>
      </c>
    </row>
    <row r="18" spans="2:8" x14ac:dyDescent="0.25">
      <c r="B18" s="9" t="s">
        <v>106</v>
      </c>
      <c r="C18" s="9" t="s">
        <v>16</v>
      </c>
      <c r="D18" s="24">
        <v>239000</v>
      </c>
      <c r="E18" s="9" t="s">
        <v>2011</v>
      </c>
      <c r="F18" s="9" t="s">
        <v>62</v>
      </c>
      <c r="G18" s="9" t="s">
        <v>61</v>
      </c>
      <c r="H18" t="str" cm="1">
        <f t="array" ref="H18">_xlfn.IFS(D18&gt;=250000,"高額",D18&gt;=150000,"中額",TRUE,"低額")</f>
        <v>中額</v>
      </c>
    </row>
    <row r="19" spans="2:8" x14ac:dyDescent="0.25">
      <c r="B19" s="9" t="s">
        <v>108</v>
      </c>
      <c r="C19" s="9" t="s">
        <v>22</v>
      </c>
      <c r="D19" s="24">
        <v>120000</v>
      </c>
      <c r="E19" s="9" t="s">
        <v>2012</v>
      </c>
      <c r="F19" s="9" t="s">
        <v>65</v>
      </c>
      <c r="G19" s="9" t="s">
        <v>45</v>
      </c>
      <c r="H19" t="str" cm="1">
        <f t="array" ref="H19">_xlfn.IFS(D19&gt;=250000,"高額",D19&gt;=150000,"中額",TRUE,"低額")</f>
        <v>低額</v>
      </c>
    </row>
    <row r="20" spans="2:8" x14ac:dyDescent="0.25">
      <c r="B20" s="9" t="s">
        <v>111</v>
      </c>
      <c r="C20" s="9" t="s">
        <v>22</v>
      </c>
      <c r="D20" s="24">
        <v>246000</v>
      </c>
      <c r="E20" s="9" t="s">
        <v>2012</v>
      </c>
      <c r="F20" s="9" t="s">
        <v>62</v>
      </c>
      <c r="G20" s="9" t="s">
        <v>45</v>
      </c>
      <c r="H20" t="str" cm="1">
        <f t="array" ref="H20">_xlfn.IFS(D20&gt;=250000,"高額",D20&gt;=150000,"中額",TRUE,"低額")</f>
        <v>中額</v>
      </c>
    </row>
    <row r="21" spans="2:8" x14ac:dyDescent="0.25">
      <c r="B21" s="9" t="s">
        <v>113</v>
      </c>
      <c r="C21" s="9" t="s">
        <v>14</v>
      </c>
      <c r="D21" s="24">
        <v>79000</v>
      </c>
      <c r="E21" s="9" t="s">
        <v>2013</v>
      </c>
      <c r="F21" s="9" t="s">
        <v>66</v>
      </c>
      <c r="G21" s="9" t="s">
        <v>49</v>
      </c>
      <c r="H21" t="str" cm="1">
        <f t="array" ref="H21">_xlfn.IFS(D21&gt;=250000,"高額",D21&gt;=150000,"中額",TRUE,"低額")</f>
        <v>低額</v>
      </c>
    </row>
    <row r="22" spans="2:8" x14ac:dyDescent="0.25">
      <c r="B22" s="9" t="s">
        <v>116</v>
      </c>
      <c r="C22" s="9" t="s">
        <v>16</v>
      </c>
      <c r="D22" s="24">
        <v>167000</v>
      </c>
      <c r="E22" s="9" t="s">
        <v>2013</v>
      </c>
      <c r="F22" s="9" t="s">
        <v>65</v>
      </c>
      <c r="G22" s="9" t="s">
        <v>45</v>
      </c>
      <c r="H22" t="str" cm="1">
        <f t="array" ref="H22">_xlfn.IFS(D22&gt;=250000,"高額",D22&gt;=150000,"中額",TRUE,"低額")</f>
        <v>中額</v>
      </c>
    </row>
    <row r="23" spans="2:8" x14ac:dyDescent="0.25">
      <c r="B23" s="9" t="s">
        <v>118</v>
      </c>
      <c r="C23" s="9" t="s">
        <v>22</v>
      </c>
      <c r="D23" s="24">
        <v>111000</v>
      </c>
      <c r="E23" s="9" t="s">
        <v>2014</v>
      </c>
      <c r="F23" s="9" t="s">
        <v>67</v>
      </c>
      <c r="G23" s="9" t="s">
        <v>49</v>
      </c>
      <c r="H23" t="str" cm="1">
        <f t="array" ref="H23">_xlfn.IFS(D23&gt;=250000,"高額",D23&gt;=150000,"中額",TRUE,"低額")</f>
        <v>低額</v>
      </c>
    </row>
    <row r="24" spans="2:8" x14ac:dyDescent="0.25">
      <c r="B24" s="9" t="s">
        <v>121</v>
      </c>
      <c r="C24" s="9" t="s">
        <v>14</v>
      </c>
      <c r="D24" s="24">
        <v>215000</v>
      </c>
      <c r="E24" s="9" t="s">
        <v>2014</v>
      </c>
      <c r="F24" s="9" t="s">
        <v>66</v>
      </c>
      <c r="G24" s="9" t="s">
        <v>51</v>
      </c>
      <c r="H24" t="str" cm="1">
        <f t="array" ref="H24">_xlfn.IFS(D24&gt;=250000,"高額",D24&gt;=150000,"中額",TRUE,"低額")</f>
        <v>中額</v>
      </c>
    </row>
    <row r="25" spans="2:8" x14ac:dyDescent="0.25">
      <c r="B25" s="9" t="s">
        <v>123</v>
      </c>
      <c r="C25" s="9" t="s">
        <v>18</v>
      </c>
      <c r="D25" s="24">
        <v>84000</v>
      </c>
      <c r="E25" s="9" t="s">
        <v>2014</v>
      </c>
      <c r="F25" s="9" t="s">
        <v>63</v>
      </c>
      <c r="G25" s="9" t="s">
        <v>47</v>
      </c>
      <c r="H25" t="str" cm="1">
        <f t="array" ref="H25">_xlfn.IFS(D25&gt;=250000,"高額",D25&gt;=150000,"中額",TRUE,"低額")</f>
        <v>低額</v>
      </c>
    </row>
    <row r="26" spans="2:8" x14ac:dyDescent="0.25">
      <c r="B26" s="9" t="s">
        <v>125</v>
      </c>
      <c r="C26" s="9" t="s">
        <v>16</v>
      </c>
      <c r="D26" s="24">
        <v>275000</v>
      </c>
      <c r="E26" s="9" t="s">
        <v>2014</v>
      </c>
      <c r="F26" s="9" t="s">
        <v>62</v>
      </c>
      <c r="G26" s="9" t="s">
        <v>45</v>
      </c>
      <c r="H26" t="str" cm="1">
        <f t="array" ref="H26">_xlfn.IFS(D26&gt;=250000,"高額",D26&gt;=150000,"中額",TRUE,"低額")</f>
        <v>高額</v>
      </c>
    </row>
    <row r="27" spans="2:8" x14ac:dyDescent="0.25">
      <c r="B27" s="9" t="s">
        <v>127</v>
      </c>
      <c r="C27" s="9" t="s">
        <v>14</v>
      </c>
      <c r="D27" s="24">
        <v>119000</v>
      </c>
      <c r="E27" s="9" t="s">
        <v>2015</v>
      </c>
      <c r="F27" s="9" t="s">
        <v>63</v>
      </c>
      <c r="G27" s="9" t="s">
        <v>49</v>
      </c>
      <c r="H27" t="str" cm="1">
        <f t="array" ref="H27">_xlfn.IFS(D27&gt;=250000,"高額",D27&gt;=150000,"中額",TRUE,"低額")</f>
        <v>低額</v>
      </c>
    </row>
    <row r="28" spans="2:8" x14ac:dyDescent="0.25">
      <c r="B28" s="9" t="s">
        <v>130</v>
      </c>
      <c r="C28" s="9" t="s">
        <v>22</v>
      </c>
      <c r="D28" s="24">
        <v>88000</v>
      </c>
      <c r="E28" s="9" t="s">
        <v>2016</v>
      </c>
      <c r="F28" s="9" t="s">
        <v>63</v>
      </c>
      <c r="G28" s="9" t="s">
        <v>47</v>
      </c>
      <c r="H28" t="str" cm="1">
        <f t="array" ref="H28">_xlfn.IFS(D28&gt;=250000,"高額",D28&gt;=150000,"中額",TRUE,"低額")</f>
        <v>低額</v>
      </c>
    </row>
    <row r="29" spans="2:8" x14ac:dyDescent="0.25">
      <c r="B29" s="9" t="s">
        <v>133</v>
      </c>
      <c r="C29" s="9" t="s">
        <v>12</v>
      </c>
      <c r="D29" s="24">
        <v>199000</v>
      </c>
      <c r="E29" s="9" t="s">
        <v>2017</v>
      </c>
      <c r="F29" s="9" t="s">
        <v>64</v>
      </c>
      <c r="G29" s="9" t="s">
        <v>45</v>
      </c>
      <c r="H29" t="str" cm="1">
        <f t="array" ref="H29">_xlfn.IFS(D29&gt;=250000,"高額",D29&gt;=150000,"中額",TRUE,"低額")</f>
        <v>中額</v>
      </c>
    </row>
    <row r="30" spans="2:8" x14ac:dyDescent="0.25">
      <c r="B30" s="9" t="s">
        <v>136</v>
      </c>
      <c r="C30" s="9" t="s">
        <v>20</v>
      </c>
      <c r="D30" s="24">
        <v>47000</v>
      </c>
      <c r="E30" s="9" t="s">
        <v>2017</v>
      </c>
      <c r="F30" s="9" t="s">
        <v>64</v>
      </c>
      <c r="G30" s="9" t="s">
        <v>51</v>
      </c>
      <c r="H30" t="str" cm="1">
        <f t="array" ref="H30">_xlfn.IFS(D30&gt;=250000,"高額",D30&gt;=150000,"中額",TRUE,"低額")</f>
        <v>低額</v>
      </c>
    </row>
    <row r="31" spans="2:8" x14ac:dyDescent="0.25">
      <c r="B31" s="9" t="s">
        <v>138</v>
      </c>
      <c r="C31" s="9" t="s">
        <v>14</v>
      </c>
      <c r="D31" s="24">
        <v>52000</v>
      </c>
      <c r="E31" s="9" t="s">
        <v>2018</v>
      </c>
      <c r="F31" s="9" t="s">
        <v>62</v>
      </c>
      <c r="G31" s="9" t="s">
        <v>45</v>
      </c>
      <c r="H31" t="str" cm="1">
        <f t="array" ref="H31">_xlfn.IFS(D31&gt;=250000,"高額",D31&gt;=150000,"中額",TRUE,"低額")</f>
        <v>低額</v>
      </c>
    </row>
    <row r="32" spans="2:8" x14ac:dyDescent="0.25">
      <c r="B32" s="9" t="s">
        <v>141</v>
      </c>
      <c r="C32" s="9" t="s">
        <v>24</v>
      </c>
      <c r="D32" s="24">
        <v>141000</v>
      </c>
      <c r="E32" s="9" t="s">
        <v>2019</v>
      </c>
      <c r="F32" s="9" t="s">
        <v>64</v>
      </c>
      <c r="G32" s="9" t="s">
        <v>43</v>
      </c>
      <c r="H32" t="str" cm="1">
        <f t="array" ref="H32">_xlfn.IFS(D32&gt;=250000,"高額",D32&gt;=150000,"中額",TRUE,"低額")</f>
        <v>低額</v>
      </c>
    </row>
    <row r="33" spans="2:8" x14ac:dyDescent="0.25">
      <c r="B33" s="9" t="s">
        <v>144</v>
      </c>
      <c r="C33" s="9" t="s">
        <v>22</v>
      </c>
      <c r="D33" s="24">
        <v>273000</v>
      </c>
      <c r="E33" s="9" t="s">
        <v>2019</v>
      </c>
      <c r="F33" s="9" t="s">
        <v>63</v>
      </c>
      <c r="G33" s="9" t="s">
        <v>47</v>
      </c>
      <c r="H33" t="str" cm="1">
        <f t="array" ref="H33">_xlfn.IFS(D33&gt;=250000,"高額",D33&gt;=150000,"中額",TRUE,"低額")</f>
        <v>高額</v>
      </c>
    </row>
    <row r="34" spans="2:8" x14ac:dyDescent="0.25">
      <c r="B34" s="9" t="s">
        <v>146</v>
      </c>
      <c r="C34" s="9" t="s">
        <v>22</v>
      </c>
      <c r="D34" s="24">
        <v>268000</v>
      </c>
      <c r="E34" s="9" t="s">
        <v>2020</v>
      </c>
      <c r="F34" s="9" t="s">
        <v>66</v>
      </c>
      <c r="G34" s="9" t="s">
        <v>58</v>
      </c>
      <c r="H34" t="str" cm="1">
        <f t="array" ref="H34">_xlfn.IFS(D34&gt;=250000,"高額",D34&gt;=150000,"中額",TRUE,"低額")</f>
        <v>高額</v>
      </c>
    </row>
    <row r="35" spans="2:8" x14ac:dyDescent="0.25">
      <c r="B35" s="9" t="s">
        <v>149</v>
      </c>
      <c r="C35" s="9" t="s">
        <v>12</v>
      </c>
      <c r="D35" s="24">
        <v>255000</v>
      </c>
      <c r="E35" s="9" t="s">
        <v>2020</v>
      </c>
      <c r="F35" s="9" t="s">
        <v>66</v>
      </c>
      <c r="G35" s="9" t="s">
        <v>43</v>
      </c>
      <c r="H35" t="str" cm="1">
        <f t="array" ref="H35">_xlfn.IFS(D35&gt;=250000,"高額",D35&gt;=150000,"中額",TRUE,"低額")</f>
        <v>高額</v>
      </c>
    </row>
    <row r="36" spans="2:8" x14ac:dyDescent="0.25">
      <c r="B36" s="9" t="s">
        <v>151</v>
      </c>
      <c r="C36" s="9" t="s">
        <v>24</v>
      </c>
      <c r="D36" s="24">
        <v>105000</v>
      </c>
      <c r="E36" s="9" t="s">
        <v>2021</v>
      </c>
      <c r="F36" s="9" t="s">
        <v>67</v>
      </c>
      <c r="G36" s="9" t="s">
        <v>45</v>
      </c>
      <c r="H36" t="str" cm="1">
        <f t="array" ref="H36">_xlfn.IFS(D36&gt;=250000,"高額",D36&gt;=150000,"中額",TRUE,"低額")</f>
        <v>低額</v>
      </c>
    </row>
    <row r="37" spans="2:8" x14ac:dyDescent="0.25">
      <c r="B37" s="9" t="s">
        <v>154</v>
      </c>
      <c r="C37" s="9" t="s">
        <v>14</v>
      </c>
      <c r="D37" s="24">
        <v>238000</v>
      </c>
      <c r="E37" s="9" t="s">
        <v>2022</v>
      </c>
      <c r="F37" s="9" t="s">
        <v>67</v>
      </c>
      <c r="G37" s="9" t="s">
        <v>61</v>
      </c>
      <c r="H37" t="str" cm="1">
        <f t="array" ref="H37">_xlfn.IFS(D37&gt;=250000,"高額",D37&gt;=150000,"中額",TRUE,"低額")</f>
        <v>中額</v>
      </c>
    </row>
    <row r="38" spans="2:8" x14ac:dyDescent="0.25">
      <c r="B38" s="9" t="s">
        <v>157</v>
      </c>
      <c r="C38" s="9" t="s">
        <v>18</v>
      </c>
      <c r="D38" s="24">
        <v>222000</v>
      </c>
      <c r="E38" s="9" t="s">
        <v>2022</v>
      </c>
      <c r="F38" s="9" t="s">
        <v>64</v>
      </c>
      <c r="G38" s="9" t="s">
        <v>53</v>
      </c>
      <c r="H38" t="str" cm="1">
        <f t="array" ref="H38">_xlfn.IFS(D38&gt;=250000,"高額",D38&gt;=150000,"中額",TRUE,"低額")</f>
        <v>中額</v>
      </c>
    </row>
    <row r="39" spans="2:8" x14ac:dyDescent="0.25">
      <c r="B39" s="9" t="s">
        <v>159</v>
      </c>
      <c r="C39" s="9" t="s">
        <v>16</v>
      </c>
      <c r="D39" s="24">
        <v>270000</v>
      </c>
      <c r="E39" s="9" t="s">
        <v>2023</v>
      </c>
      <c r="F39" s="9" t="s">
        <v>63</v>
      </c>
      <c r="G39" s="9" t="s">
        <v>49</v>
      </c>
      <c r="H39" t="str" cm="1">
        <f t="array" ref="H39">_xlfn.IFS(D39&gt;=250000,"高額",D39&gt;=150000,"中額",TRUE,"低額")</f>
        <v>高額</v>
      </c>
    </row>
    <row r="40" spans="2:8" x14ac:dyDescent="0.25">
      <c r="B40" s="9" t="s">
        <v>162</v>
      </c>
      <c r="C40" s="9" t="s">
        <v>14</v>
      </c>
      <c r="D40" s="24">
        <v>244000</v>
      </c>
      <c r="E40" s="9" t="s">
        <v>2023</v>
      </c>
      <c r="F40" s="9" t="s">
        <v>67</v>
      </c>
      <c r="G40" s="9" t="s">
        <v>51</v>
      </c>
      <c r="H40" t="str" cm="1">
        <f t="array" ref="H40">_xlfn.IFS(D40&gt;=250000,"高額",D40&gt;=150000,"中額",TRUE,"低額")</f>
        <v>中額</v>
      </c>
    </row>
    <row r="41" spans="2:8" x14ac:dyDescent="0.25">
      <c r="B41" s="9" t="s">
        <v>164</v>
      </c>
      <c r="C41" s="9" t="s">
        <v>18</v>
      </c>
      <c r="D41" s="24">
        <v>64000</v>
      </c>
      <c r="E41" s="9" t="s">
        <v>2024</v>
      </c>
      <c r="F41" s="9" t="s">
        <v>67</v>
      </c>
      <c r="G41" s="9" t="s">
        <v>58</v>
      </c>
      <c r="H41" t="str" cm="1">
        <f t="array" ref="H41">_xlfn.IFS(D41&gt;=250000,"高額",D41&gt;=150000,"中額",TRUE,"低額")</f>
        <v>低額</v>
      </c>
    </row>
    <row r="42" spans="2:8" x14ac:dyDescent="0.25">
      <c r="B42" s="9" t="s">
        <v>167</v>
      </c>
      <c r="C42" s="9" t="s">
        <v>12</v>
      </c>
      <c r="D42" s="24">
        <v>130000</v>
      </c>
      <c r="E42" s="9" t="s">
        <v>2025</v>
      </c>
      <c r="F42" s="9" t="s">
        <v>67</v>
      </c>
      <c r="G42" s="9" t="s">
        <v>58</v>
      </c>
      <c r="H42" t="str" cm="1">
        <f t="array" ref="H42">_xlfn.IFS(D42&gt;=250000,"高額",D42&gt;=150000,"中額",TRUE,"低額")</f>
        <v>低額</v>
      </c>
    </row>
    <row r="43" spans="2:8" x14ac:dyDescent="0.25">
      <c r="B43" s="9" t="s">
        <v>170</v>
      </c>
      <c r="C43" s="9" t="s">
        <v>12</v>
      </c>
      <c r="D43" s="24">
        <v>296000</v>
      </c>
      <c r="E43" s="9" t="s">
        <v>2026</v>
      </c>
      <c r="F43" s="9" t="s">
        <v>62</v>
      </c>
      <c r="G43" s="9" t="s">
        <v>53</v>
      </c>
      <c r="H43" t="str" cm="1">
        <f t="array" ref="H43">_xlfn.IFS(D43&gt;=250000,"高額",D43&gt;=150000,"中額",TRUE,"低額")</f>
        <v>高額</v>
      </c>
    </row>
    <row r="44" spans="2:8" x14ac:dyDescent="0.25">
      <c r="B44" s="9" t="s">
        <v>173</v>
      </c>
      <c r="C44" s="9" t="s">
        <v>22</v>
      </c>
      <c r="D44" s="24">
        <v>173000</v>
      </c>
      <c r="E44" s="9" t="s">
        <v>2027</v>
      </c>
      <c r="F44" s="9" t="s">
        <v>66</v>
      </c>
      <c r="G44" s="9" t="s">
        <v>45</v>
      </c>
      <c r="H44" t="str" cm="1">
        <f t="array" ref="H44">_xlfn.IFS(D44&gt;=250000,"高額",D44&gt;=150000,"中額",TRUE,"低額")</f>
        <v>中額</v>
      </c>
    </row>
    <row r="45" spans="2:8" x14ac:dyDescent="0.25">
      <c r="B45" s="9" t="s">
        <v>176</v>
      </c>
      <c r="C45" s="9" t="s">
        <v>20</v>
      </c>
      <c r="D45" s="24">
        <v>108000</v>
      </c>
      <c r="E45" s="9" t="s">
        <v>2028</v>
      </c>
      <c r="F45" s="9" t="s">
        <v>67</v>
      </c>
      <c r="G45" s="9" t="s">
        <v>51</v>
      </c>
      <c r="H45" t="str" cm="1">
        <f t="array" ref="H45">_xlfn.IFS(D45&gt;=250000,"高額",D45&gt;=150000,"中額",TRUE,"低額")</f>
        <v>低額</v>
      </c>
    </row>
    <row r="46" spans="2:8" x14ac:dyDescent="0.25">
      <c r="B46" s="9" t="s">
        <v>179</v>
      </c>
      <c r="C46" s="9" t="s">
        <v>22</v>
      </c>
      <c r="D46" s="24">
        <v>138000</v>
      </c>
      <c r="E46" s="9" t="s">
        <v>2029</v>
      </c>
      <c r="F46" s="9" t="s">
        <v>64</v>
      </c>
      <c r="G46" s="9" t="s">
        <v>58</v>
      </c>
      <c r="H46" t="str" cm="1">
        <f t="array" ref="H46">_xlfn.IFS(D46&gt;=250000,"高額",D46&gt;=150000,"中額",TRUE,"低額")</f>
        <v>低額</v>
      </c>
    </row>
    <row r="47" spans="2:8" x14ac:dyDescent="0.25">
      <c r="B47" s="9" t="s">
        <v>182</v>
      </c>
      <c r="C47" s="9" t="s">
        <v>12</v>
      </c>
      <c r="D47" s="24">
        <v>228000</v>
      </c>
      <c r="E47" s="9" t="s">
        <v>2029</v>
      </c>
      <c r="F47" s="9" t="s">
        <v>62</v>
      </c>
      <c r="G47" s="9" t="s">
        <v>61</v>
      </c>
      <c r="H47" t="str" cm="1">
        <f t="array" ref="H47">_xlfn.IFS(D47&gt;=250000,"高額",D47&gt;=150000,"中額",TRUE,"低額")</f>
        <v>中額</v>
      </c>
    </row>
    <row r="48" spans="2:8" x14ac:dyDescent="0.25">
      <c r="B48" s="9" t="s">
        <v>184</v>
      </c>
      <c r="C48" s="9" t="s">
        <v>20</v>
      </c>
      <c r="D48" s="24">
        <v>60000</v>
      </c>
      <c r="E48" s="9" t="s">
        <v>2030</v>
      </c>
      <c r="F48" s="9" t="s">
        <v>66</v>
      </c>
      <c r="G48" s="9" t="s">
        <v>53</v>
      </c>
      <c r="H48" t="str" cm="1">
        <f t="array" ref="H48">_xlfn.IFS(D48&gt;=250000,"高額",D48&gt;=150000,"中額",TRUE,"低額")</f>
        <v>低額</v>
      </c>
    </row>
    <row r="49" spans="2:8" x14ac:dyDescent="0.25">
      <c r="B49" s="9" t="s">
        <v>187</v>
      </c>
      <c r="C49" s="9" t="s">
        <v>12</v>
      </c>
      <c r="D49" s="24">
        <v>98000</v>
      </c>
      <c r="E49" s="9" t="s">
        <v>2031</v>
      </c>
      <c r="F49" s="9" t="s">
        <v>67</v>
      </c>
      <c r="G49" s="9" t="s">
        <v>55</v>
      </c>
      <c r="H49" t="str" cm="1">
        <f t="array" ref="H49">_xlfn.IFS(D49&gt;=250000,"高額",D49&gt;=150000,"中額",TRUE,"低額")</f>
        <v>低額</v>
      </c>
    </row>
    <row r="50" spans="2:8" x14ac:dyDescent="0.25">
      <c r="B50" s="9" t="s">
        <v>190</v>
      </c>
      <c r="C50" s="9" t="s">
        <v>20</v>
      </c>
      <c r="D50" s="24">
        <v>251000</v>
      </c>
      <c r="E50" s="9" t="s">
        <v>2032</v>
      </c>
      <c r="F50" s="9" t="s">
        <v>66</v>
      </c>
      <c r="G50" s="9" t="s">
        <v>47</v>
      </c>
      <c r="H50" t="str" cm="1">
        <f t="array" ref="H50">_xlfn.IFS(D50&gt;=250000,"高額",D50&gt;=150000,"中額",TRUE,"低額")</f>
        <v>高額</v>
      </c>
    </row>
    <row r="51" spans="2:8" x14ac:dyDescent="0.25">
      <c r="B51" s="9" t="s">
        <v>193</v>
      </c>
      <c r="C51" s="9" t="s">
        <v>20</v>
      </c>
      <c r="D51" s="24">
        <v>256000</v>
      </c>
      <c r="E51" s="9" t="s">
        <v>2033</v>
      </c>
      <c r="F51" s="9" t="s">
        <v>63</v>
      </c>
      <c r="G51" s="9" t="s">
        <v>61</v>
      </c>
      <c r="H51" t="str" cm="1">
        <f t="array" ref="H51">_xlfn.IFS(D51&gt;=250000,"高額",D51&gt;=150000,"中額",TRUE,"低額")</f>
        <v>高額</v>
      </c>
    </row>
    <row r="52" spans="2:8" x14ac:dyDescent="0.25">
      <c r="B52" s="9" t="s">
        <v>196</v>
      </c>
      <c r="C52" s="9" t="s">
        <v>16</v>
      </c>
      <c r="D52" s="24">
        <v>120000</v>
      </c>
      <c r="E52" s="9" t="s">
        <v>2034</v>
      </c>
      <c r="F52" s="9" t="s">
        <v>63</v>
      </c>
      <c r="G52" s="9" t="s">
        <v>53</v>
      </c>
      <c r="H52" t="str" cm="1">
        <f t="array" ref="H52">_xlfn.IFS(D52&gt;=250000,"高額",D52&gt;=150000,"中額",TRUE,"低額")</f>
        <v>低額</v>
      </c>
    </row>
    <row r="53" spans="2:8" x14ac:dyDescent="0.25">
      <c r="B53" s="9" t="s">
        <v>198</v>
      </c>
      <c r="C53" s="9" t="s">
        <v>14</v>
      </c>
      <c r="D53" s="24">
        <v>70000</v>
      </c>
      <c r="E53" s="9" t="s">
        <v>2035</v>
      </c>
      <c r="F53" s="9" t="s">
        <v>63</v>
      </c>
      <c r="G53" s="9" t="s">
        <v>47</v>
      </c>
      <c r="H53" t="str" cm="1">
        <f t="array" ref="H53">_xlfn.IFS(D53&gt;=250000,"高額",D53&gt;=150000,"中額",TRUE,"低額")</f>
        <v>低額</v>
      </c>
    </row>
    <row r="54" spans="2:8" x14ac:dyDescent="0.25">
      <c r="B54" s="9" t="s">
        <v>201</v>
      </c>
      <c r="C54" s="9" t="s">
        <v>22</v>
      </c>
      <c r="D54" s="24">
        <v>33000</v>
      </c>
      <c r="E54" s="9" t="s">
        <v>2035</v>
      </c>
      <c r="F54" s="9" t="s">
        <v>62</v>
      </c>
      <c r="G54" s="9" t="s">
        <v>47</v>
      </c>
      <c r="H54" t="str" cm="1">
        <f t="array" ref="H54">_xlfn.IFS(D54&gt;=250000,"高額",D54&gt;=150000,"中額",TRUE,"低額")</f>
        <v>低額</v>
      </c>
    </row>
    <row r="55" spans="2:8" x14ac:dyDescent="0.25">
      <c r="B55" s="9" t="s">
        <v>203</v>
      </c>
      <c r="C55" s="9" t="s">
        <v>18</v>
      </c>
      <c r="D55" s="24">
        <v>186000</v>
      </c>
      <c r="E55" s="9" t="s">
        <v>2036</v>
      </c>
      <c r="F55" s="9" t="s">
        <v>63</v>
      </c>
      <c r="G55" s="9" t="s">
        <v>43</v>
      </c>
      <c r="H55" t="str" cm="1">
        <f t="array" ref="H55">_xlfn.IFS(D55&gt;=250000,"高額",D55&gt;=150000,"中額",TRUE,"低額")</f>
        <v>中額</v>
      </c>
    </row>
    <row r="56" spans="2:8" x14ac:dyDescent="0.25">
      <c r="B56" s="9" t="s">
        <v>206</v>
      </c>
      <c r="C56" s="9" t="s">
        <v>20</v>
      </c>
      <c r="D56" s="24">
        <v>204000</v>
      </c>
      <c r="E56" s="9" t="s">
        <v>2037</v>
      </c>
      <c r="F56" s="9" t="s">
        <v>63</v>
      </c>
      <c r="G56" s="9" t="s">
        <v>53</v>
      </c>
      <c r="H56" t="str" cm="1">
        <f t="array" ref="H56">_xlfn.IFS(D56&gt;=250000,"高額",D56&gt;=150000,"中額",TRUE,"低額")</f>
        <v>中額</v>
      </c>
    </row>
    <row r="57" spans="2:8" x14ac:dyDescent="0.25">
      <c r="B57" s="9" t="s">
        <v>209</v>
      </c>
      <c r="C57" s="9" t="s">
        <v>12</v>
      </c>
      <c r="D57" s="24">
        <v>239000</v>
      </c>
      <c r="E57" s="9" t="s">
        <v>2037</v>
      </c>
      <c r="F57" s="9" t="s">
        <v>66</v>
      </c>
      <c r="G57" s="9" t="s">
        <v>43</v>
      </c>
      <c r="H57" t="str" cm="1">
        <f t="array" ref="H57">_xlfn.IFS(D57&gt;=250000,"高額",D57&gt;=150000,"中額",TRUE,"低額")</f>
        <v>中額</v>
      </c>
    </row>
    <row r="58" spans="2:8" x14ac:dyDescent="0.25">
      <c r="B58" s="9" t="s">
        <v>210</v>
      </c>
      <c r="C58" s="9" t="s">
        <v>24</v>
      </c>
      <c r="D58" s="24">
        <v>258000</v>
      </c>
      <c r="E58" s="9" t="s">
        <v>2038</v>
      </c>
      <c r="F58" s="9" t="s">
        <v>67</v>
      </c>
      <c r="G58" s="9" t="s">
        <v>61</v>
      </c>
      <c r="H58" t="str" cm="1">
        <f t="array" ref="H58">_xlfn.IFS(D58&gt;=250000,"高額",D58&gt;=150000,"中額",TRUE,"低額")</f>
        <v>高額</v>
      </c>
    </row>
    <row r="59" spans="2:8" x14ac:dyDescent="0.25">
      <c r="B59" s="9" t="s">
        <v>213</v>
      </c>
      <c r="C59" s="9" t="s">
        <v>14</v>
      </c>
      <c r="D59" s="24">
        <v>264000</v>
      </c>
      <c r="E59" s="9" t="s">
        <v>2039</v>
      </c>
      <c r="F59" s="9" t="s">
        <v>67</v>
      </c>
      <c r="G59" s="9" t="s">
        <v>58</v>
      </c>
      <c r="H59" t="str" cm="1">
        <f t="array" ref="H59">_xlfn.IFS(D59&gt;=250000,"高額",D59&gt;=150000,"中額",TRUE,"低額")</f>
        <v>高額</v>
      </c>
    </row>
    <row r="60" spans="2:8" x14ac:dyDescent="0.25">
      <c r="B60" s="9" t="s">
        <v>216</v>
      </c>
      <c r="C60" s="9" t="s">
        <v>16</v>
      </c>
      <c r="D60" s="24">
        <v>287000</v>
      </c>
      <c r="E60" s="9" t="s">
        <v>2039</v>
      </c>
      <c r="F60" s="9" t="s">
        <v>62</v>
      </c>
      <c r="G60" s="9" t="s">
        <v>49</v>
      </c>
      <c r="H60" t="str" cm="1">
        <f t="array" ref="H60">_xlfn.IFS(D60&gt;=250000,"高額",D60&gt;=150000,"中額",TRUE,"低額")</f>
        <v>高額</v>
      </c>
    </row>
    <row r="61" spans="2:8" x14ac:dyDescent="0.25">
      <c r="B61" s="9" t="s">
        <v>218</v>
      </c>
      <c r="C61" s="9" t="s">
        <v>14</v>
      </c>
      <c r="D61" s="24">
        <v>226000</v>
      </c>
      <c r="E61" s="9" t="s">
        <v>2039</v>
      </c>
      <c r="F61" s="9" t="s">
        <v>64</v>
      </c>
      <c r="G61" s="9" t="s">
        <v>58</v>
      </c>
      <c r="H61" t="str" cm="1">
        <f t="array" ref="H61">_xlfn.IFS(D61&gt;=250000,"高額",D61&gt;=150000,"中額",TRUE,"低額")</f>
        <v>中額</v>
      </c>
    </row>
    <row r="62" spans="2:8" x14ac:dyDescent="0.25">
      <c r="B62" s="9" t="s">
        <v>220</v>
      </c>
      <c r="C62" s="9" t="s">
        <v>24</v>
      </c>
      <c r="D62" s="24">
        <v>246000</v>
      </c>
      <c r="E62" s="9" t="s">
        <v>2039</v>
      </c>
      <c r="F62" s="9" t="s">
        <v>62</v>
      </c>
      <c r="G62" s="9" t="s">
        <v>45</v>
      </c>
      <c r="H62" t="str" cm="1">
        <f t="array" ref="H62">_xlfn.IFS(D62&gt;=250000,"高額",D62&gt;=150000,"中額",TRUE,"低額")</f>
        <v>中額</v>
      </c>
    </row>
    <row r="63" spans="2:8" x14ac:dyDescent="0.25">
      <c r="B63" s="9" t="s">
        <v>221</v>
      </c>
      <c r="C63" s="9" t="s">
        <v>16</v>
      </c>
      <c r="D63" s="24">
        <v>213000</v>
      </c>
      <c r="E63" s="9" t="s">
        <v>2040</v>
      </c>
      <c r="F63" s="9" t="s">
        <v>65</v>
      </c>
      <c r="G63" s="9" t="s">
        <v>61</v>
      </c>
      <c r="H63" t="str" cm="1">
        <f t="array" ref="H63">_xlfn.IFS(D63&gt;=250000,"高額",D63&gt;=150000,"中額",TRUE,"低額")</f>
        <v>中額</v>
      </c>
    </row>
    <row r="64" spans="2:8" x14ac:dyDescent="0.25">
      <c r="B64" s="9" t="s">
        <v>224</v>
      </c>
      <c r="C64" s="9" t="s">
        <v>16</v>
      </c>
      <c r="D64" s="24">
        <v>249000</v>
      </c>
      <c r="E64" s="9" t="s">
        <v>2041</v>
      </c>
      <c r="F64" s="9" t="s">
        <v>64</v>
      </c>
      <c r="G64" s="9" t="s">
        <v>45</v>
      </c>
      <c r="H64" t="str" cm="1">
        <f t="array" ref="H64">_xlfn.IFS(D64&gt;=250000,"高額",D64&gt;=150000,"中額",TRUE,"低額")</f>
        <v>中額</v>
      </c>
    </row>
    <row r="65" spans="2:8" x14ac:dyDescent="0.25">
      <c r="B65" s="9" t="s">
        <v>227</v>
      </c>
      <c r="C65" s="9" t="s">
        <v>18</v>
      </c>
      <c r="D65" s="24">
        <v>297000</v>
      </c>
      <c r="E65" s="9" t="s">
        <v>2041</v>
      </c>
      <c r="F65" s="9" t="s">
        <v>66</v>
      </c>
      <c r="G65" s="9" t="s">
        <v>49</v>
      </c>
      <c r="H65" t="str" cm="1">
        <f t="array" ref="H65">_xlfn.IFS(D65&gt;=250000,"高額",D65&gt;=150000,"中額",TRUE,"低額")</f>
        <v>高額</v>
      </c>
    </row>
    <row r="66" spans="2:8" x14ac:dyDescent="0.25">
      <c r="B66" s="9" t="s">
        <v>229</v>
      </c>
      <c r="C66" s="9" t="s">
        <v>16</v>
      </c>
      <c r="D66" s="24">
        <v>180000</v>
      </c>
      <c r="E66" s="9" t="s">
        <v>2042</v>
      </c>
      <c r="F66" s="9" t="s">
        <v>63</v>
      </c>
      <c r="G66" s="9" t="s">
        <v>55</v>
      </c>
      <c r="H66" t="str" cm="1">
        <f t="array" ref="H66">_xlfn.IFS(D66&gt;=250000,"高額",D66&gt;=150000,"中額",TRUE,"低額")</f>
        <v>中額</v>
      </c>
    </row>
    <row r="67" spans="2:8" x14ac:dyDescent="0.25">
      <c r="B67" s="9" t="s">
        <v>232</v>
      </c>
      <c r="C67" s="9" t="s">
        <v>20</v>
      </c>
      <c r="D67" s="24">
        <v>30000</v>
      </c>
      <c r="E67" s="9" t="s">
        <v>2043</v>
      </c>
      <c r="F67" s="9" t="s">
        <v>63</v>
      </c>
      <c r="G67" s="9" t="s">
        <v>58</v>
      </c>
      <c r="H67" t="str" cm="1">
        <f t="array" ref="H67">_xlfn.IFS(D67&gt;=250000,"高額",D67&gt;=150000,"中額",TRUE,"低額")</f>
        <v>低額</v>
      </c>
    </row>
    <row r="68" spans="2:8" x14ac:dyDescent="0.25">
      <c r="B68" s="9" t="s">
        <v>235</v>
      </c>
      <c r="C68" s="9" t="s">
        <v>14</v>
      </c>
      <c r="D68" s="24">
        <v>106000</v>
      </c>
      <c r="E68" s="9" t="s">
        <v>2044</v>
      </c>
      <c r="F68" s="9" t="s">
        <v>67</v>
      </c>
      <c r="G68" s="9" t="s">
        <v>49</v>
      </c>
      <c r="H68" t="str" cm="1">
        <f t="array" ref="H68">_xlfn.IFS(D68&gt;=250000,"高額",D68&gt;=150000,"中額",TRUE,"低額")</f>
        <v>低額</v>
      </c>
    </row>
    <row r="69" spans="2:8" x14ac:dyDescent="0.25">
      <c r="B69" s="9" t="s">
        <v>238</v>
      </c>
      <c r="C69" s="9" t="s">
        <v>20</v>
      </c>
      <c r="D69" s="24">
        <v>281000</v>
      </c>
      <c r="E69" s="9" t="s">
        <v>2045</v>
      </c>
      <c r="F69" s="9" t="s">
        <v>64</v>
      </c>
      <c r="G69" s="9" t="s">
        <v>45</v>
      </c>
      <c r="H69" t="str" cm="1">
        <f t="array" ref="H69">_xlfn.IFS(D69&gt;=250000,"高額",D69&gt;=150000,"中額",TRUE,"低額")</f>
        <v>高額</v>
      </c>
    </row>
    <row r="70" spans="2:8" x14ac:dyDescent="0.25">
      <c r="B70" s="9" t="s">
        <v>241</v>
      </c>
      <c r="C70" s="9" t="s">
        <v>18</v>
      </c>
      <c r="D70" s="24">
        <v>92000</v>
      </c>
      <c r="E70" s="9" t="s">
        <v>2045</v>
      </c>
      <c r="F70" s="9" t="s">
        <v>66</v>
      </c>
      <c r="G70" s="9" t="s">
        <v>61</v>
      </c>
      <c r="H70" t="str" cm="1">
        <f t="array" ref="H70">_xlfn.IFS(D70&gt;=250000,"高額",D70&gt;=150000,"中額",TRUE,"低額")</f>
        <v>低額</v>
      </c>
    </row>
    <row r="71" spans="2:8" x14ac:dyDescent="0.25">
      <c r="B71" s="9" t="s">
        <v>243</v>
      </c>
      <c r="C71" s="9" t="s">
        <v>16</v>
      </c>
      <c r="D71" s="24">
        <v>78000</v>
      </c>
      <c r="E71" s="9" t="s">
        <v>2046</v>
      </c>
      <c r="F71" s="9" t="s">
        <v>65</v>
      </c>
      <c r="G71" s="9" t="s">
        <v>45</v>
      </c>
      <c r="H71" t="str" cm="1">
        <f t="array" ref="H71">_xlfn.IFS(D71&gt;=250000,"高額",D71&gt;=150000,"中額",TRUE,"低額")</f>
        <v>低額</v>
      </c>
    </row>
    <row r="72" spans="2:8" x14ac:dyDescent="0.25">
      <c r="B72" s="9" t="s">
        <v>246</v>
      </c>
      <c r="C72" s="9" t="s">
        <v>18</v>
      </c>
      <c r="D72" s="24">
        <v>192000</v>
      </c>
      <c r="E72" s="9" t="s">
        <v>2046</v>
      </c>
      <c r="F72" s="9" t="s">
        <v>67</v>
      </c>
      <c r="G72" s="9" t="s">
        <v>47</v>
      </c>
      <c r="H72" t="str" cm="1">
        <f t="array" ref="H72">_xlfn.IFS(D72&gt;=250000,"高額",D72&gt;=150000,"中額",TRUE,"低額")</f>
        <v>中額</v>
      </c>
    </row>
    <row r="73" spans="2:8" x14ac:dyDescent="0.25">
      <c r="B73" s="9" t="s">
        <v>248</v>
      </c>
      <c r="C73" s="9" t="s">
        <v>14</v>
      </c>
      <c r="D73" s="24">
        <v>126000</v>
      </c>
      <c r="E73" s="9" t="s">
        <v>2047</v>
      </c>
      <c r="F73" s="9" t="s">
        <v>63</v>
      </c>
      <c r="G73" s="9" t="s">
        <v>51</v>
      </c>
      <c r="H73" t="str" cm="1">
        <f t="array" ref="H73">_xlfn.IFS(D73&gt;=250000,"高額",D73&gt;=150000,"中額",TRUE,"低額")</f>
        <v>低額</v>
      </c>
    </row>
    <row r="74" spans="2:8" x14ac:dyDescent="0.25">
      <c r="B74" s="9" t="s">
        <v>251</v>
      </c>
      <c r="C74" s="9" t="s">
        <v>14</v>
      </c>
      <c r="D74" s="24">
        <v>115000</v>
      </c>
      <c r="E74" s="9" t="s">
        <v>2047</v>
      </c>
      <c r="F74" s="9" t="s">
        <v>67</v>
      </c>
      <c r="G74" s="9" t="s">
        <v>58</v>
      </c>
      <c r="H74" t="str" cm="1">
        <f t="array" ref="H74">_xlfn.IFS(D74&gt;=250000,"高額",D74&gt;=150000,"中額",TRUE,"低額")</f>
        <v>低額</v>
      </c>
    </row>
    <row r="75" spans="2:8" x14ac:dyDescent="0.25">
      <c r="B75" s="9" t="s">
        <v>253</v>
      </c>
      <c r="C75" s="9" t="s">
        <v>20</v>
      </c>
      <c r="D75" s="24">
        <v>191000</v>
      </c>
      <c r="E75" s="9" t="s">
        <v>2048</v>
      </c>
      <c r="F75" s="9" t="s">
        <v>62</v>
      </c>
      <c r="G75" s="9" t="s">
        <v>49</v>
      </c>
      <c r="H75" t="str" cm="1">
        <f t="array" ref="H75">_xlfn.IFS(D75&gt;=250000,"高額",D75&gt;=150000,"中額",TRUE,"低額")</f>
        <v>中額</v>
      </c>
    </row>
    <row r="76" spans="2:8" x14ac:dyDescent="0.25">
      <c r="B76" s="9" t="s">
        <v>256</v>
      </c>
      <c r="C76" s="9" t="s">
        <v>18</v>
      </c>
      <c r="D76" s="24">
        <v>289000</v>
      </c>
      <c r="E76" s="9" t="s">
        <v>2049</v>
      </c>
      <c r="F76" s="9" t="s">
        <v>65</v>
      </c>
      <c r="G76" s="9" t="s">
        <v>51</v>
      </c>
      <c r="H76" t="str" cm="1">
        <f t="array" ref="H76">_xlfn.IFS(D76&gt;=250000,"高額",D76&gt;=150000,"中額",TRUE,"低額")</f>
        <v>高額</v>
      </c>
    </row>
    <row r="77" spans="2:8" x14ac:dyDescent="0.25">
      <c r="B77" s="9" t="s">
        <v>259</v>
      </c>
      <c r="C77" s="9" t="s">
        <v>20</v>
      </c>
      <c r="D77" s="24">
        <v>127000</v>
      </c>
      <c r="E77" s="9" t="s">
        <v>2049</v>
      </c>
      <c r="F77" s="9" t="s">
        <v>67</v>
      </c>
      <c r="G77" s="9" t="s">
        <v>53</v>
      </c>
      <c r="H77" t="str" cm="1">
        <f t="array" ref="H77">_xlfn.IFS(D77&gt;=250000,"高額",D77&gt;=150000,"中額",TRUE,"低額")</f>
        <v>低額</v>
      </c>
    </row>
    <row r="78" spans="2:8" x14ac:dyDescent="0.25">
      <c r="B78" s="9" t="s">
        <v>261</v>
      </c>
      <c r="C78" s="9" t="s">
        <v>14</v>
      </c>
      <c r="D78" s="24">
        <v>207000</v>
      </c>
      <c r="E78" s="9" t="s">
        <v>2049</v>
      </c>
      <c r="F78" s="9" t="s">
        <v>66</v>
      </c>
      <c r="G78" s="9" t="s">
        <v>45</v>
      </c>
      <c r="H78" t="str" cm="1">
        <f t="array" ref="H78">_xlfn.IFS(D78&gt;=250000,"高額",D78&gt;=150000,"中額",TRUE,"低額")</f>
        <v>中額</v>
      </c>
    </row>
    <row r="79" spans="2:8" x14ac:dyDescent="0.25">
      <c r="B79" s="9" t="s">
        <v>263</v>
      </c>
      <c r="C79" s="9" t="s">
        <v>18</v>
      </c>
      <c r="D79" s="24">
        <v>152000</v>
      </c>
      <c r="E79" s="9" t="s">
        <v>2050</v>
      </c>
      <c r="F79" s="9" t="s">
        <v>65</v>
      </c>
      <c r="G79" s="9" t="s">
        <v>45</v>
      </c>
      <c r="H79" t="str" cm="1">
        <f t="array" ref="H79">_xlfn.IFS(D79&gt;=250000,"高額",D79&gt;=150000,"中額",TRUE,"低額")</f>
        <v>中額</v>
      </c>
    </row>
    <row r="80" spans="2:8" x14ac:dyDescent="0.25">
      <c r="B80" s="9" t="s">
        <v>266</v>
      </c>
      <c r="C80" s="9" t="s">
        <v>22</v>
      </c>
      <c r="D80" s="24">
        <v>113000</v>
      </c>
      <c r="E80" s="9" t="s">
        <v>2051</v>
      </c>
      <c r="F80" s="9" t="s">
        <v>65</v>
      </c>
      <c r="G80" s="9" t="s">
        <v>55</v>
      </c>
      <c r="H80" t="str" cm="1">
        <f t="array" ref="H80">_xlfn.IFS(D80&gt;=250000,"高額",D80&gt;=150000,"中額",TRUE,"低額")</f>
        <v>低額</v>
      </c>
    </row>
    <row r="81" spans="2:8" x14ac:dyDescent="0.25">
      <c r="B81" s="9" t="s">
        <v>269</v>
      </c>
      <c r="C81" s="9" t="s">
        <v>16</v>
      </c>
      <c r="D81" s="24">
        <v>112000</v>
      </c>
      <c r="E81" s="9" t="s">
        <v>2052</v>
      </c>
      <c r="F81" s="9" t="s">
        <v>65</v>
      </c>
      <c r="G81" s="9" t="s">
        <v>53</v>
      </c>
      <c r="H81" t="str" cm="1">
        <f t="array" ref="H81">_xlfn.IFS(D81&gt;=250000,"高額",D81&gt;=150000,"中額",TRUE,"低額")</f>
        <v>低額</v>
      </c>
    </row>
    <row r="82" spans="2:8" x14ac:dyDescent="0.25">
      <c r="B82" s="9" t="s">
        <v>272</v>
      </c>
      <c r="C82" s="9" t="s">
        <v>24</v>
      </c>
      <c r="D82" s="24">
        <v>256000</v>
      </c>
      <c r="E82" s="9" t="s">
        <v>2053</v>
      </c>
      <c r="F82" s="9" t="s">
        <v>65</v>
      </c>
      <c r="G82" s="9" t="s">
        <v>49</v>
      </c>
      <c r="H82" t="str" cm="1">
        <f t="array" ref="H82">_xlfn.IFS(D82&gt;=250000,"高額",D82&gt;=150000,"中額",TRUE,"低額")</f>
        <v>高額</v>
      </c>
    </row>
    <row r="83" spans="2:8" x14ac:dyDescent="0.25">
      <c r="B83" s="9" t="s">
        <v>274</v>
      </c>
      <c r="C83" s="9" t="s">
        <v>14</v>
      </c>
      <c r="D83" s="24">
        <v>202000</v>
      </c>
      <c r="E83" s="9" t="s">
        <v>2054</v>
      </c>
      <c r="F83" s="9" t="s">
        <v>67</v>
      </c>
      <c r="G83" s="9" t="s">
        <v>47</v>
      </c>
      <c r="H83" t="str" cm="1">
        <f t="array" ref="H83">_xlfn.IFS(D83&gt;=250000,"高額",D83&gt;=150000,"中額",TRUE,"低額")</f>
        <v>中額</v>
      </c>
    </row>
    <row r="84" spans="2:8" x14ac:dyDescent="0.25">
      <c r="B84" s="9" t="s">
        <v>277</v>
      </c>
      <c r="C84" s="9" t="s">
        <v>18</v>
      </c>
      <c r="D84" s="24">
        <v>163000</v>
      </c>
      <c r="E84" s="9" t="s">
        <v>2054</v>
      </c>
      <c r="F84" s="9" t="s">
        <v>65</v>
      </c>
      <c r="G84" s="9" t="s">
        <v>43</v>
      </c>
      <c r="H84" t="str" cm="1">
        <f t="array" ref="H84">_xlfn.IFS(D84&gt;=250000,"高額",D84&gt;=150000,"中額",TRUE,"低額")</f>
        <v>中額</v>
      </c>
    </row>
    <row r="85" spans="2:8" x14ac:dyDescent="0.25">
      <c r="B85" s="9" t="s">
        <v>279</v>
      </c>
      <c r="C85" s="9" t="s">
        <v>22</v>
      </c>
      <c r="D85" s="24">
        <v>188000</v>
      </c>
      <c r="E85" s="9" t="s">
        <v>2055</v>
      </c>
      <c r="F85" s="9" t="s">
        <v>63</v>
      </c>
      <c r="G85" s="9" t="s">
        <v>61</v>
      </c>
      <c r="H85" t="str" cm="1">
        <f t="array" ref="H85">_xlfn.IFS(D85&gt;=250000,"高額",D85&gt;=150000,"中額",TRUE,"低額")</f>
        <v>中額</v>
      </c>
    </row>
    <row r="86" spans="2:8" x14ac:dyDescent="0.25">
      <c r="B86" s="9" t="s">
        <v>282</v>
      </c>
      <c r="C86" s="9" t="s">
        <v>24</v>
      </c>
      <c r="D86" s="24">
        <v>199000</v>
      </c>
      <c r="E86" s="9" t="s">
        <v>2055</v>
      </c>
      <c r="F86" s="9" t="s">
        <v>63</v>
      </c>
      <c r="G86" s="9" t="s">
        <v>43</v>
      </c>
      <c r="H86" t="str" cm="1">
        <f t="array" ref="H86">_xlfn.IFS(D86&gt;=250000,"高額",D86&gt;=150000,"中額",TRUE,"低額")</f>
        <v>中額</v>
      </c>
    </row>
    <row r="87" spans="2:8" x14ac:dyDescent="0.25">
      <c r="B87" s="9" t="s">
        <v>283</v>
      </c>
      <c r="C87" s="9" t="s">
        <v>24</v>
      </c>
      <c r="D87" s="24">
        <v>174000</v>
      </c>
      <c r="E87" s="9" t="s">
        <v>2055</v>
      </c>
      <c r="F87" s="9" t="s">
        <v>63</v>
      </c>
      <c r="G87" s="9" t="s">
        <v>55</v>
      </c>
      <c r="H87" t="str" cm="1">
        <f t="array" ref="H87">_xlfn.IFS(D87&gt;=250000,"高額",D87&gt;=150000,"中額",TRUE,"低額")</f>
        <v>中額</v>
      </c>
    </row>
    <row r="88" spans="2:8" x14ac:dyDescent="0.25">
      <c r="B88" s="9" t="s">
        <v>285</v>
      </c>
      <c r="C88" s="9" t="s">
        <v>24</v>
      </c>
      <c r="D88" s="24">
        <v>55000</v>
      </c>
      <c r="E88" s="9" t="s">
        <v>2056</v>
      </c>
      <c r="F88" s="9" t="s">
        <v>62</v>
      </c>
      <c r="G88" s="9" t="s">
        <v>53</v>
      </c>
      <c r="H88" t="str" cm="1">
        <f t="array" ref="H88">_xlfn.IFS(D88&gt;=250000,"高額",D88&gt;=150000,"中額",TRUE,"低額")</f>
        <v>低額</v>
      </c>
    </row>
    <row r="89" spans="2:8" x14ac:dyDescent="0.25">
      <c r="B89" s="9" t="s">
        <v>288</v>
      </c>
      <c r="C89" s="9" t="s">
        <v>18</v>
      </c>
      <c r="D89" s="24">
        <v>147000</v>
      </c>
      <c r="E89" s="9" t="s">
        <v>2056</v>
      </c>
      <c r="F89" s="9" t="s">
        <v>63</v>
      </c>
      <c r="G89" s="9" t="s">
        <v>55</v>
      </c>
      <c r="H89" t="str" cm="1">
        <f t="array" ref="H89">_xlfn.IFS(D89&gt;=250000,"高額",D89&gt;=150000,"中額",TRUE,"低額")</f>
        <v>低額</v>
      </c>
    </row>
    <row r="90" spans="2:8" x14ac:dyDescent="0.25">
      <c r="B90" s="9" t="s">
        <v>290</v>
      </c>
      <c r="C90" s="9" t="s">
        <v>14</v>
      </c>
      <c r="D90" s="24">
        <v>54000</v>
      </c>
      <c r="E90" s="9" t="s">
        <v>2057</v>
      </c>
      <c r="F90" s="9" t="s">
        <v>67</v>
      </c>
      <c r="G90" s="9" t="s">
        <v>49</v>
      </c>
      <c r="H90" t="str" cm="1">
        <f t="array" ref="H90">_xlfn.IFS(D90&gt;=250000,"高額",D90&gt;=150000,"中額",TRUE,"低額")</f>
        <v>低額</v>
      </c>
    </row>
    <row r="91" spans="2:8" x14ac:dyDescent="0.25">
      <c r="B91" s="9" t="s">
        <v>293</v>
      </c>
      <c r="C91" s="9" t="s">
        <v>24</v>
      </c>
      <c r="D91" s="24">
        <v>100000</v>
      </c>
      <c r="E91" s="9" t="s">
        <v>2057</v>
      </c>
      <c r="F91" s="9" t="s">
        <v>66</v>
      </c>
      <c r="G91" s="9" t="s">
        <v>53</v>
      </c>
      <c r="H91" t="str" cm="1">
        <f t="array" ref="H91">_xlfn.IFS(D91&gt;=250000,"高額",D91&gt;=150000,"中額",TRUE,"低額")</f>
        <v>低額</v>
      </c>
    </row>
    <row r="92" spans="2:8" x14ac:dyDescent="0.25">
      <c r="B92" s="9" t="s">
        <v>294</v>
      </c>
      <c r="C92" s="9" t="s">
        <v>22</v>
      </c>
      <c r="D92" s="24">
        <v>51000</v>
      </c>
      <c r="E92" s="9" t="s">
        <v>2057</v>
      </c>
      <c r="F92" s="9" t="s">
        <v>62</v>
      </c>
      <c r="G92" s="9" t="s">
        <v>47</v>
      </c>
      <c r="H92" t="str" cm="1">
        <f t="array" ref="H92">_xlfn.IFS(D92&gt;=250000,"高額",D92&gt;=150000,"中額",TRUE,"低額")</f>
        <v>低額</v>
      </c>
    </row>
    <row r="93" spans="2:8" x14ac:dyDescent="0.25">
      <c r="B93" s="9" t="s">
        <v>296</v>
      </c>
      <c r="C93" s="9" t="s">
        <v>24</v>
      </c>
      <c r="D93" s="24">
        <v>116000</v>
      </c>
      <c r="E93" s="9" t="s">
        <v>2058</v>
      </c>
      <c r="F93" s="9" t="s">
        <v>62</v>
      </c>
      <c r="G93" s="9" t="s">
        <v>47</v>
      </c>
      <c r="H93" t="str" cm="1">
        <f t="array" ref="H93">_xlfn.IFS(D93&gt;=250000,"高額",D93&gt;=150000,"中額",TRUE,"低額")</f>
        <v>低額</v>
      </c>
    </row>
    <row r="94" spans="2:8" x14ac:dyDescent="0.25">
      <c r="B94" s="9" t="s">
        <v>299</v>
      </c>
      <c r="C94" s="9" t="s">
        <v>14</v>
      </c>
      <c r="D94" s="24">
        <v>125000</v>
      </c>
      <c r="E94" s="9" t="s">
        <v>2059</v>
      </c>
      <c r="F94" s="9" t="s">
        <v>62</v>
      </c>
      <c r="G94" s="9" t="s">
        <v>47</v>
      </c>
      <c r="H94" t="str" cm="1">
        <f t="array" ref="H94">_xlfn.IFS(D94&gt;=250000,"高額",D94&gt;=150000,"中額",TRUE,"低額")</f>
        <v>低額</v>
      </c>
    </row>
    <row r="95" spans="2:8" x14ac:dyDescent="0.25">
      <c r="B95" s="9" t="s">
        <v>302</v>
      </c>
      <c r="C95" s="9" t="s">
        <v>20</v>
      </c>
      <c r="D95" s="24">
        <v>196000</v>
      </c>
      <c r="E95" s="9" t="s">
        <v>2060</v>
      </c>
      <c r="F95" s="9" t="s">
        <v>67</v>
      </c>
      <c r="G95" s="9" t="s">
        <v>45</v>
      </c>
      <c r="H95" t="str" cm="1">
        <f t="array" ref="H95">_xlfn.IFS(D95&gt;=250000,"高額",D95&gt;=150000,"中額",TRUE,"低額")</f>
        <v>中額</v>
      </c>
    </row>
    <row r="96" spans="2:8" x14ac:dyDescent="0.25">
      <c r="B96" s="9" t="s">
        <v>305</v>
      </c>
      <c r="C96" s="9" t="s">
        <v>14</v>
      </c>
      <c r="D96" s="24">
        <v>138000</v>
      </c>
      <c r="E96" s="9" t="s">
        <v>2060</v>
      </c>
      <c r="F96" s="9" t="s">
        <v>63</v>
      </c>
      <c r="G96" s="9" t="s">
        <v>55</v>
      </c>
      <c r="H96" t="str" cm="1">
        <f t="array" ref="H96">_xlfn.IFS(D96&gt;=250000,"高額",D96&gt;=150000,"中額",TRUE,"低額")</f>
        <v>低額</v>
      </c>
    </row>
    <row r="97" spans="2:8" x14ac:dyDescent="0.25">
      <c r="B97" s="9" t="s">
        <v>306</v>
      </c>
      <c r="C97" s="9" t="s">
        <v>14</v>
      </c>
      <c r="D97" s="24">
        <v>69000</v>
      </c>
      <c r="E97" s="9" t="s">
        <v>2061</v>
      </c>
      <c r="F97" s="9" t="s">
        <v>67</v>
      </c>
      <c r="G97" s="9" t="s">
        <v>45</v>
      </c>
      <c r="H97" t="str" cm="1">
        <f t="array" ref="H97">_xlfn.IFS(D97&gt;=250000,"高額",D97&gt;=150000,"中額",TRUE,"低額")</f>
        <v>低額</v>
      </c>
    </row>
    <row r="98" spans="2:8" x14ac:dyDescent="0.25">
      <c r="B98" s="9" t="s">
        <v>309</v>
      </c>
      <c r="C98" s="9" t="s">
        <v>20</v>
      </c>
      <c r="D98" s="24">
        <v>60000</v>
      </c>
      <c r="E98" s="9" t="s">
        <v>2062</v>
      </c>
      <c r="F98" s="9" t="s">
        <v>65</v>
      </c>
      <c r="G98" s="9" t="s">
        <v>49</v>
      </c>
      <c r="H98" t="str" cm="1">
        <f t="array" ref="H98">_xlfn.IFS(D98&gt;=250000,"高額",D98&gt;=150000,"中額",TRUE,"低額")</f>
        <v>低額</v>
      </c>
    </row>
    <row r="99" spans="2:8" x14ac:dyDescent="0.25">
      <c r="B99" s="9" t="s">
        <v>311</v>
      </c>
      <c r="C99" s="9" t="s">
        <v>16</v>
      </c>
      <c r="D99" s="24">
        <v>216000</v>
      </c>
      <c r="E99" s="9" t="s">
        <v>2063</v>
      </c>
      <c r="F99" s="9" t="s">
        <v>67</v>
      </c>
      <c r="G99" s="9" t="s">
        <v>43</v>
      </c>
      <c r="H99" t="str" cm="1">
        <f t="array" ref="H99">_xlfn.IFS(D99&gt;=250000,"高額",D99&gt;=150000,"中額",TRUE,"低額")</f>
        <v>中額</v>
      </c>
    </row>
    <row r="100" spans="2:8" x14ac:dyDescent="0.25">
      <c r="B100" s="9" t="s">
        <v>314</v>
      </c>
      <c r="C100" s="9" t="s">
        <v>22</v>
      </c>
      <c r="D100" s="24">
        <v>193000</v>
      </c>
      <c r="E100" s="9" t="s">
        <v>2064</v>
      </c>
      <c r="F100" s="9" t="s">
        <v>64</v>
      </c>
      <c r="G100" s="9" t="s">
        <v>55</v>
      </c>
      <c r="H100" t="str" cm="1">
        <f t="array" ref="H100">_xlfn.IFS(D100&gt;=250000,"高額",D100&gt;=150000,"中額",TRUE,"低額")</f>
        <v>中額</v>
      </c>
    </row>
    <row r="101" spans="2:8" x14ac:dyDescent="0.25">
      <c r="B101" s="9" t="s">
        <v>317</v>
      </c>
      <c r="C101" s="9" t="s">
        <v>16</v>
      </c>
      <c r="D101" s="24">
        <v>88000</v>
      </c>
      <c r="E101" s="9" t="s">
        <v>2065</v>
      </c>
      <c r="F101" s="9" t="s">
        <v>67</v>
      </c>
      <c r="G101" s="9" t="s">
        <v>58</v>
      </c>
      <c r="H101" t="str" cm="1">
        <f t="array" ref="H101">_xlfn.IFS(D101&gt;=250000,"高額",D101&gt;=150000,"中額",TRUE,"低額")</f>
        <v>低額</v>
      </c>
    </row>
    <row r="102" spans="2:8" x14ac:dyDescent="0.25">
      <c r="B102" s="9" t="s">
        <v>319</v>
      </c>
      <c r="C102" s="9" t="s">
        <v>24</v>
      </c>
      <c r="D102" s="24">
        <v>239000</v>
      </c>
      <c r="E102" s="9" t="s">
        <v>2066</v>
      </c>
      <c r="F102" s="9" t="s">
        <v>63</v>
      </c>
      <c r="G102" s="9" t="s">
        <v>53</v>
      </c>
      <c r="H102" t="str" cm="1">
        <f t="array" ref="H102">_xlfn.IFS(D102&gt;=250000,"高額",D102&gt;=150000,"中額",TRUE,"低額")</f>
        <v>中額</v>
      </c>
    </row>
    <row r="103" spans="2:8" x14ac:dyDescent="0.25">
      <c r="B103" s="9" t="s">
        <v>321</v>
      </c>
      <c r="C103" s="9" t="s">
        <v>12</v>
      </c>
      <c r="D103" s="24">
        <v>41000</v>
      </c>
      <c r="E103" s="9" t="s">
        <v>2067</v>
      </c>
      <c r="F103" s="9" t="s">
        <v>64</v>
      </c>
      <c r="G103" s="9" t="s">
        <v>51</v>
      </c>
      <c r="H103" t="str" cm="1">
        <f t="array" ref="H103">_xlfn.IFS(D103&gt;=250000,"高額",D103&gt;=150000,"中額",TRUE,"低額")</f>
        <v>低額</v>
      </c>
    </row>
    <row r="104" spans="2:8" x14ac:dyDescent="0.25">
      <c r="B104" s="9" t="s">
        <v>323</v>
      </c>
      <c r="C104" s="9" t="s">
        <v>14</v>
      </c>
      <c r="D104" s="24">
        <v>155000</v>
      </c>
      <c r="E104" s="9" t="s">
        <v>2067</v>
      </c>
      <c r="F104" s="9" t="s">
        <v>65</v>
      </c>
      <c r="G104" s="9" t="s">
        <v>45</v>
      </c>
      <c r="H104" t="str" cm="1">
        <f t="array" ref="H104">_xlfn.IFS(D104&gt;=250000,"高額",D104&gt;=150000,"中額",TRUE,"低額")</f>
        <v>中額</v>
      </c>
    </row>
    <row r="105" spans="2:8" x14ac:dyDescent="0.25">
      <c r="B105" s="9" t="s">
        <v>325</v>
      </c>
      <c r="C105" s="9" t="s">
        <v>14</v>
      </c>
      <c r="D105" s="24">
        <v>51000</v>
      </c>
      <c r="E105" s="9" t="s">
        <v>2068</v>
      </c>
      <c r="F105" s="9" t="s">
        <v>65</v>
      </c>
      <c r="G105" s="9" t="s">
        <v>51</v>
      </c>
      <c r="H105" t="str" cm="1">
        <f t="array" ref="H105">_xlfn.IFS(D105&gt;=250000,"高額",D105&gt;=150000,"中額",TRUE,"低額")</f>
        <v>低額</v>
      </c>
    </row>
    <row r="106" spans="2:8" x14ac:dyDescent="0.25">
      <c r="B106" s="9" t="s">
        <v>327</v>
      </c>
      <c r="C106" s="9" t="s">
        <v>12</v>
      </c>
      <c r="D106" s="24">
        <v>99000</v>
      </c>
      <c r="E106" s="9" t="s">
        <v>2069</v>
      </c>
      <c r="F106" s="9" t="s">
        <v>64</v>
      </c>
      <c r="G106" s="9" t="s">
        <v>43</v>
      </c>
      <c r="H106" t="str" cm="1">
        <f t="array" ref="H106">_xlfn.IFS(D106&gt;=250000,"高額",D106&gt;=150000,"中額",TRUE,"低額")</f>
        <v>低額</v>
      </c>
    </row>
    <row r="107" spans="2:8" x14ac:dyDescent="0.25">
      <c r="B107" s="9" t="s">
        <v>330</v>
      </c>
      <c r="C107" s="9" t="s">
        <v>22</v>
      </c>
      <c r="D107" s="24">
        <v>213000</v>
      </c>
      <c r="E107" s="9" t="s">
        <v>2070</v>
      </c>
      <c r="F107" s="9" t="s">
        <v>62</v>
      </c>
      <c r="G107" s="9" t="s">
        <v>45</v>
      </c>
      <c r="H107" t="str" cm="1">
        <f t="array" ref="H107">_xlfn.IFS(D107&gt;=250000,"高額",D107&gt;=150000,"中額",TRUE,"低額")</f>
        <v>中額</v>
      </c>
    </row>
    <row r="108" spans="2:8" x14ac:dyDescent="0.25">
      <c r="B108" s="9" t="s">
        <v>332</v>
      </c>
      <c r="C108" s="9" t="s">
        <v>14</v>
      </c>
      <c r="D108" s="24">
        <v>91000</v>
      </c>
      <c r="E108" s="9" t="s">
        <v>2071</v>
      </c>
      <c r="F108" s="9" t="s">
        <v>63</v>
      </c>
      <c r="G108" s="9" t="s">
        <v>49</v>
      </c>
      <c r="H108" t="str" cm="1">
        <f t="array" ref="H108">_xlfn.IFS(D108&gt;=250000,"高額",D108&gt;=150000,"中額",TRUE,"低額")</f>
        <v>低額</v>
      </c>
    </row>
    <row r="109" spans="2:8" x14ac:dyDescent="0.25">
      <c r="B109" s="9" t="s">
        <v>335</v>
      </c>
      <c r="C109" s="9" t="s">
        <v>22</v>
      </c>
      <c r="D109" s="24">
        <v>155000</v>
      </c>
      <c r="E109" s="9" t="s">
        <v>2072</v>
      </c>
      <c r="F109" s="9" t="s">
        <v>63</v>
      </c>
      <c r="G109" s="9" t="s">
        <v>43</v>
      </c>
      <c r="H109" t="str" cm="1">
        <f t="array" ref="H109">_xlfn.IFS(D109&gt;=250000,"高額",D109&gt;=150000,"中額",TRUE,"低額")</f>
        <v>中額</v>
      </c>
    </row>
    <row r="110" spans="2:8" x14ac:dyDescent="0.25">
      <c r="B110" s="9" t="s">
        <v>337</v>
      </c>
      <c r="C110" s="9" t="s">
        <v>24</v>
      </c>
      <c r="D110" s="24">
        <v>124000</v>
      </c>
      <c r="E110" s="9" t="s">
        <v>2072</v>
      </c>
      <c r="F110" s="9" t="s">
        <v>62</v>
      </c>
      <c r="G110" s="9" t="s">
        <v>51</v>
      </c>
      <c r="H110" t="str" cm="1">
        <f t="array" ref="H110">_xlfn.IFS(D110&gt;=250000,"高額",D110&gt;=150000,"中額",TRUE,"低額")</f>
        <v>低額</v>
      </c>
    </row>
    <row r="111" spans="2:8" x14ac:dyDescent="0.25">
      <c r="B111" s="9" t="s">
        <v>339</v>
      </c>
      <c r="C111" s="9" t="s">
        <v>14</v>
      </c>
      <c r="D111" s="24">
        <v>198000</v>
      </c>
      <c r="E111" s="9" t="s">
        <v>2073</v>
      </c>
      <c r="F111" s="9" t="s">
        <v>67</v>
      </c>
      <c r="G111" s="9" t="s">
        <v>45</v>
      </c>
      <c r="H111" t="str" cm="1">
        <f t="array" ref="H111">_xlfn.IFS(D111&gt;=250000,"高額",D111&gt;=150000,"中額",TRUE,"低額")</f>
        <v>中額</v>
      </c>
    </row>
    <row r="112" spans="2:8" x14ac:dyDescent="0.25">
      <c r="B112" s="9" t="s">
        <v>342</v>
      </c>
      <c r="C112" s="9" t="s">
        <v>18</v>
      </c>
      <c r="D112" s="24">
        <v>279000</v>
      </c>
      <c r="E112" s="9" t="s">
        <v>2074</v>
      </c>
      <c r="F112" s="9" t="s">
        <v>67</v>
      </c>
      <c r="G112" s="9" t="s">
        <v>61</v>
      </c>
      <c r="H112" t="str" cm="1">
        <f t="array" ref="H112">_xlfn.IFS(D112&gt;=250000,"高額",D112&gt;=150000,"中額",TRUE,"低額")</f>
        <v>高額</v>
      </c>
    </row>
    <row r="113" spans="2:8" x14ac:dyDescent="0.25">
      <c r="B113" s="9" t="s">
        <v>345</v>
      </c>
      <c r="C113" s="9" t="s">
        <v>14</v>
      </c>
      <c r="D113" s="24">
        <v>271000</v>
      </c>
      <c r="E113" s="9" t="s">
        <v>2075</v>
      </c>
      <c r="F113" s="9" t="s">
        <v>64</v>
      </c>
      <c r="G113" s="9" t="s">
        <v>47</v>
      </c>
      <c r="H113" t="str" cm="1">
        <f t="array" ref="H113">_xlfn.IFS(D113&gt;=250000,"高額",D113&gt;=150000,"中額",TRUE,"低額")</f>
        <v>高額</v>
      </c>
    </row>
    <row r="114" spans="2:8" x14ac:dyDescent="0.25">
      <c r="B114" s="9" t="s">
        <v>348</v>
      </c>
      <c r="C114" s="9" t="s">
        <v>18</v>
      </c>
      <c r="D114" s="24">
        <v>98000</v>
      </c>
      <c r="E114" s="9" t="s">
        <v>2076</v>
      </c>
      <c r="F114" s="9" t="s">
        <v>63</v>
      </c>
      <c r="G114" s="9" t="s">
        <v>49</v>
      </c>
      <c r="H114" t="str" cm="1">
        <f t="array" ref="H114">_xlfn.IFS(D114&gt;=250000,"高額",D114&gt;=150000,"中額",TRUE,"低額")</f>
        <v>低額</v>
      </c>
    </row>
    <row r="115" spans="2:8" x14ac:dyDescent="0.25">
      <c r="B115" s="9" t="s">
        <v>350</v>
      </c>
      <c r="C115" s="9" t="s">
        <v>24</v>
      </c>
      <c r="D115" s="24">
        <v>82000</v>
      </c>
      <c r="E115" s="9" t="s">
        <v>2077</v>
      </c>
      <c r="F115" s="9" t="s">
        <v>66</v>
      </c>
      <c r="G115" s="9" t="s">
        <v>55</v>
      </c>
      <c r="H115" t="str" cm="1">
        <f t="array" ref="H115">_xlfn.IFS(D115&gt;=250000,"高額",D115&gt;=150000,"中額",TRUE,"低額")</f>
        <v>低額</v>
      </c>
    </row>
    <row r="116" spans="2:8" x14ac:dyDescent="0.25">
      <c r="B116" s="9" t="s">
        <v>353</v>
      </c>
      <c r="C116" s="9" t="s">
        <v>20</v>
      </c>
      <c r="D116" s="24">
        <v>257000</v>
      </c>
      <c r="E116" s="9" t="s">
        <v>2077</v>
      </c>
      <c r="F116" s="9" t="s">
        <v>62</v>
      </c>
      <c r="G116" s="9" t="s">
        <v>53</v>
      </c>
      <c r="H116" t="str" cm="1">
        <f t="array" ref="H116">_xlfn.IFS(D116&gt;=250000,"高額",D116&gt;=150000,"中額",TRUE,"低額")</f>
        <v>高額</v>
      </c>
    </row>
    <row r="117" spans="2:8" x14ac:dyDescent="0.25">
      <c r="B117" s="9" t="s">
        <v>355</v>
      </c>
      <c r="C117" s="9" t="s">
        <v>12</v>
      </c>
      <c r="D117" s="24">
        <v>239000</v>
      </c>
      <c r="E117" s="9" t="s">
        <v>2078</v>
      </c>
      <c r="F117" s="9" t="s">
        <v>67</v>
      </c>
      <c r="G117" s="9" t="s">
        <v>61</v>
      </c>
      <c r="H117" t="str" cm="1">
        <f t="array" ref="H117">_xlfn.IFS(D117&gt;=250000,"高額",D117&gt;=150000,"中額",TRUE,"低額")</f>
        <v>中額</v>
      </c>
    </row>
    <row r="118" spans="2:8" x14ac:dyDescent="0.25">
      <c r="B118" s="9" t="s">
        <v>357</v>
      </c>
      <c r="C118" s="9" t="s">
        <v>20</v>
      </c>
      <c r="D118" s="24">
        <v>98000</v>
      </c>
      <c r="E118" s="9" t="s">
        <v>2078</v>
      </c>
      <c r="F118" s="9" t="s">
        <v>62</v>
      </c>
      <c r="G118" s="9" t="s">
        <v>43</v>
      </c>
      <c r="H118" t="str" cm="1">
        <f t="array" ref="H118">_xlfn.IFS(D118&gt;=250000,"高額",D118&gt;=150000,"中額",TRUE,"低額")</f>
        <v>低額</v>
      </c>
    </row>
    <row r="119" spans="2:8" x14ac:dyDescent="0.25">
      <c r="B119" s="9" t="s">
        <v>358</v>
      </c>
      <c r="C119" s="9" t="s">
        <v>16</v>
      </c>
      <c r="D119" s="24">
        <v>188000</v>
      </c>
      <c r="E119" s="9" t="s">
        <v>2078</v>
      </c>
      <c r="F119" s="9" t="s">
        <v>66</v>
      </c>
      <c r="G119" s="9" t="s">
        <v>49</v>
      </c>
      <c r="H119" t="str" cm="1">
        <f t="array" ref="H119">_xlfn.IFS(D119&gt;=250000,"高額",D119&gt;=150000,"中額",TRUE,"低額")</f>
        <v>中額</v>
      </c>
    </row>
    <row r="120" spans="2:8" x14ac:dyDescent="0.25">
      <c r="B120" s="9" t="s">
        <v>359</v>
      </c>
      <c r="C120" s="9" t="s">
        <v>18</v>
      </c>
      <c r="D120" s="24">
        <v>246000</v>
      </c>
      <c r="E120" s="9" t="s">
        <v>2079</v>
      </c>
      <c r="F120" s="9" t="s">
        <v>67</v>
      </c>
      <c r="G120" s="9" t="s">
        <v>45</v>
      </c>
      <c r="H120" t="str" cm="1">
        <f t="array" ref="H120">_xlfn.IFS(D120&gt;=250000,"高額",D120&gt;=150000,"中額",TRUE,"低額")</f>
        <v>中額</v>
      </c>
    </row>
    <row r="121" spans="2:8" x14ac:dyDescent="0.25">
      <c r="B121" s="9" t="s">
        <v>361</v>
      </c>
      <c r="C121" s="9" t="s">
        <v>12</v>
      </c>
      <c r="D121" s="24">
        <v>156000</v>
      </c>
      <c r="E121" s="9" t="s">
        <v>2079</v>
      </c>
      <c r="F121" s="9" t="s">
        <v>62</v>
      </c>
      <c r="G121" s="9" t="s">
        <v>61</v>
      </c>
      <c r="H121" t="str" cm="1">
        <f t="array" ref="H121">_xlfn.IFS(D121&gt;=250000,"高額",D121&gt;=150000,"中額",TRUE,"低額")</f>
        <v>中額</v>
      </c>
    </row>
    <row r="122" spans="2:8" x14ac:dyDescent="0.25">
      <c r="B122" s="9" t="s">
        <v>362</v>
      </c>
      <c r="C122" s="9" t="s">
        <v>22</v>
      </c>
      <c r="D122" s="24">
        <v>252000</v>
      </c>
      <c r="E122" s="9" t="s">
        <v>2079</v>
      </c>
      <c r="F122" s="9" t="s">
        <v>64</v>
      </c>
      <c r="G122" s="9" t="s">
        <v>53</v>
      </c>
      <c r="H122" t="str" cm="1">
        <f t="array" ref="H122">_xlfn.IFS(D122&gt;=250000,"高額",D122&gt;=150000,"中額",TRUE,"低額")</f>
        <v>高額</v>
      </c>
    </row>
    <row r="123" spans="2:8" x14ac:dyDescent="0.25">
      <c r="B123" s="9" t="s">
        <v>364</v>
      </c>
      <c r="C123" s="9" t="s">
        <v>22</v>
      </c>
      <c r="D123" s="24">
        <v>161000</v>
      </c>
      <c r="E123" s="9" t="s">
        <v>2080</v>
      </c>
      <c r="F123" s="9" t="s">
        <v>66</v>
      </c>
      <c r="G123" s="9" t="s">
        <v>51</v>
      </c>
      <c r="H123" t="str" cm="1">
        <f t="array" ref="H123">_xlfn.IFS(D123&gt;=250000,"高額",D123&gt;=150000,"中額",TRUE,"低額")</f>
        <v>中額</v>
      </c>
    </row>
    <row r="124" spans="2:8" x14ac:dyDescent="0.25">
      <c r="B124" s="9" t="s">
        <v>367</v>
      </c>
      <c r="C124" s="9" t="s">
        <v>16</v>
      </c>
      <c r="D124" s="24">
        <v>79000</v>
      </c>
      <c r="E124" s="9" t="s">
        <v>2081</v>
      </c>
      <c r="F124" s="9" t="s">
        <v>67</v>
      </c>
      <c r="G124" s="9" t="s">
        <v>49</v>
      </c>
      <c r="H124" t="str" cm="1">
        <f t="array" ref="H124">_xlfn.IFS(D124&gt;=250000,"高額",D124&gt;=150000,"中額",TRUE,"低額")</f>
        <v>低額</v>
      </c>
    </row>
    <row r="125" spans="2:8" x14ac:dyDescent="0.25">
      <c r="B125" s="9" t="s">
        <v>369</v>
      </c>
      <c r="C125" s="9" t="s">
        <v>12</v>
      </c>
      <c r="D125" s="24">
        <v>91000</v>
      </c>
      <c r="E125" s="9" t="s">
        <v>2081</v>
      </c>
      <c r="F125" s="9" t="s">
        <v>64</v>
      </c>
      <c r="G125" s="9" t="s">
        <v>49</v>
      </c>
      <c r="H125" t="str" cm="1">
        <f t="array" ref="H125">_xlfn.IFS(D125&gt;=250000,"高額",D125&gt;=150000,"中額",TRUE,"低額")</f>
        <v>低額</v>
      </c>
    </row>
    <row r="126" spans="2:8" x14ac:dyDescent="0.25">
      <c r="B126" s="9" t="s">
        <v>370</v>
      </c>
      <c r="C126" s="9" t="s">
        <v>12</v>
      </c>
      <c r="D126" s="24">
        <v>274000</v>
      </c>
      <c r="E126" s="9" t="s">
        <v>2082</v>
      </c>
      <c r="F126" s="9" t="s">
        <v>66</v>
      </c>
      <c r="G126" s="9" t="s">
        <v>58</v>
      </c>
      <c r="H126" t="str" cm="1">
        <f t="array" ref="H126">_xlfn.IFS(D126&gt;=250000,"高額",D126&gt;=150000,"中額",TRUE,"低額")</f>
        <v>高額</v>
      </c>
    </row>
    <row r="127" spans="2:8" x14ac:dyDescent="0.25">
      <c r="B127" s="9" t="s">
        <v>373</v>
      </c>
      <c r="C127" s="9" t="s">
        <v>14</v>
      </c>
      <c r="D127" s="24">
        <v>225000</v>
      </c>
      <c r="E127" s="9" t="s">
        <v>2082</v>
      </c>
      <c r="F127" s="9" t="s">
        <v>64</v>
      </c>
      <c r="G127" s="9" t="s">
        <v>53</v>
      </c>
      <c r="H127" t="str" cm="1">
        <f t="array" ref="H127">_xlfn.IFS(D127&gt;=250000,"高額",D127&gt;=150000,"中額",TRUE,"低額")</f>
        <v>中額</v>
      </c>
    </row>
    <row r="128" spans="2:8" x14ac:dyDescent="0.25">
      <c r="B128" s="9" t="s">
        <v>375</v>
      </c>
      <c r="C128" s="9" t="s">
        <v>20</v>
      </c>
      <c r="D128" s="24">
        <v>60000</v>
      </c>
      <c r="E128" s="9" t="s">
        <v>2083</v>
      </c>
      <c r="F128" s="9" t="s">
        <v>65</v>
      </c>
      <c r="G128" s="9" t="s">
        <v>53</v>
      </c>
      <c r="H128" t="str" cm="1">
        <f t="array" ref="H128">_xlfn.IFS(D128&gt;=250000,"高額",D128&gt;=150000,"中額",TRUE,"低額")</f>
        <v>低額</v>
      </c>
    </row>
    <row r="129" spans="2:8" x14ac:dyDescent="0.25">
      <c r="B129" s="9" t="s">
        <v>377</v>
      </c>
      <c r="C129" s="9" t="s">
        <v>18</v>
      </c>
      <c r="D129" s="24">
        <v>232000</v>
      </c>
      <c r="E129" s="9" t="s">
        <v>2083</v>
      </c>
      <c r="F129" s="9" t="s">
        <v>66</v>
      </c>
      <c r="G129" s="9" t="s">
        <v>58</v>
      </c>
      <c r="H129" t="str" cm="1">
        <f t="array" ref="H129">_xlfn.IFS(D129&gt;=250000,"高額",D129&gt;=150000,"中額",TRUE,"低額")</f>
        <v>中額</v>
      </c>
    </row>
    <row r="130" spans="2:8" x14ac:dyDescent="0.25">
      <c r="B130" s="9" t="s">
        <v>379</v>
      </c>
      <c r="C130" s="9" t="s">
        <v>12</v>
      </c>
      <c r="D130" s="24">
        <v>258000</v>
      </c>
      <c r="E130" s="9" t="s">
        <v>2084</v>
      </c>
      <c r="F130" s="9" t="s">
        <v>63</v>
      </c>
      <c r="G130" s="9" t="s">
        <v>53</v>
      </c>
      <c r="H130" t="str" cm="1">
        <f t="array" ref="H130">_xlfn.IFS(D130&gt;=250000,"高額",D130&gt;=150000,"中額",TRUE,"低額")</f>
        <v>高額</v>
      </c>
    </row>
    <row r="131" spans="2:8" x14ac:dyDescent="0.25">
      <c r="B131" s="9" t="s">
        <v>381</v>
      </c>
      <c r="C131" s="9" t="s">
        <v>14</v>
      </c>
      <c r="D131" s="24">
        <v>214000</v>
      </c>
      <c r="E131" s="9" t="s">
        <v>2085</v>
      </c>
      <c r="F131" s="9" t="s">
        <v>66</v>
      </c>
      <c r="G131" s="9" t="s">
        <v>45</v>
      </c>
      <c r="H131" t="str" cm="1">
        <f t="array" ref="H131">_xlfn.IFS(D131&gt;=250000,"高額",D131&gt;=150000,"中額",TRUE,"低額")</f>
        <v>中額</v>
      </c>
    </row>
    <row r="132" spans="2:8" x14ac:dyDescent="0.25">
      <c r="B132" s="9" t="s">
        <v>384</v>
      </c>
      <c r="C132" s="9" t="s">
        <v>12</v>
      </c>
      <c r="D132" s="24">
        <v>160000</v>
      </c>
      <c r="E132" s="9" t="s">
        <v>2085</v>
      </c>
      <c r="F132" s="9" t="s">
        <v>62</v>
      </c>
      <c r="G132" s="9" t="s">
        <v>53</v>
      </c>
      <c r="H132" t="str" cm="1">
        <f t="array" ref="H132">_xlfn.IFS(D132&gt;=250000,"高額",D132&gt;=150000,"中額",TRUE,"低額")</f>
        <v>中額</v>
      </c>
    </row>
    <row r="133" spans="2:8" x14ac:dyDescent="0.25">
      <c r="B133" s="9" t="s">
        <v>386</v>
      </c>
      <c r="C133" s="9" t="s">
        <v>22</v>
      </c>
      <c r="D133" s="24">
        <v>172000</v>
      </c>
      <c r="E133" s="9" t="s">
        <v>2086</v>
      </c>
      <c r="F133" s="9" t="s">
        <v>65</v>
      </c>
      <c r="G133" s="9" t="s">
        <v>55</v>
      </c>
      <c r="H133" t="str" cm="1">
        <f t="array" ref="H133">_xlfn.IFS(D133&gt;=250000,"高額",D133&gt;=150000,"中額",TRUE,"低額")</f>
        <v>中額</v>
      </c>
    </row>
    <row r="134" spans="2:8" x14ac:dyDescent="0.25">
      <c r="B134" s="9" t="s">
        <v>389</v>
      </c>
      <c r="C134" s="9" t="s">
        <v>18</v>
      </c>
      <c r="D134" s="24">
        <v>218000</v>
      </c>
      <c r="E134" s="9" t="s">
        <v>2086</v>
      </c>
      <c r="F134" s="9" t="s">
        <v>62</v>
      </c>
      <c r="G134" s="9" t="s">
        <v>53</v>
      </c>
      <c r="H134" t="str" cm="1">
        <f t="array" ref="H134">_xlfn.IFS(D134&gt;=250000,"高額",D134&gt;=150000,"中額",TRUE,"低額")</f>
        <v>中額</v>
      </c>
    </row>
    <row r="135" spans="2:8" x14ac:dyDescent="0.25">
      <c r="B135" s="9" t="s">
        <v>391</v>
      </c>
      <c r="C135" s="9" t="s">
        <v>14</v>
      </c>
      <c r="D135" s="24">
        <v>99000</v>
      </c>
      <c r="E135" s="9" t="s">
        <v>2087</v>
      </c>
      <c r="F135" s="9" t="s">
        <v>62</v>
      </c>
      <c r="G135" s="9" t="s">
        <v>61</v>
      </c>
      <c r="H135" t="str" cm="1">
        <f t="array" ref="H135">_xlfn.IFS(D135&gt;=250000,"高額",D135&gt;=150000,"中額",TRUE,"低額")</f>
        <v>低額</v>
      </c>
    </row>
    <row r="136" spans="2:8" x14ac:dyDescent="0.25">
      <c r="B136" s="9" t="s">
        <v>393</v>
      </c>
      <c r="C136" s="9" t="s">
        <v>16</v>
      </c>
      <c r="D136" s="24">
        <v>252000</v>
      </c>
      <c r="E136" s="9" t="s">
        <v>2087</v>
      </c>
      <c r="F136" s="9" t="s">
        <v>66</v>
      </c>
      <c r="G136" s="9" t="s">
        <v>61</v>
      </c>
      <c r="H136" t="str" cm="1">
        <f t="array" ref="H136">_xlfn.IFS(D136&gt;=250000,"高額",D136&gt;=150000,"中額",TRUE,"低額")</f>
        <v>高額</v>
      </c>
    </row>
    <row r="137" spans="2:8" x14ac:dyDescent="0.25">
      <c r="B137" s="9" t="s">
        <v>394</v>
      </c>
      <c r="C137" s="9" t="s">
        <v>12</v>
      </c>
      <c r="D137" s="24">
        <v>58000</v>
      </c>
      <c r="E137" s="9" t="s">
        <v>2088</v>
      </c>
      <c r="F137" s="9" t="s">
        <v>62</v>
      </c>
      <c r="G137" s="9" t="s">
        <v>51</v>
      </c>
      <c r="H137" t="str" cm="1">
        <f t="array" ref="H137">_xlfn.IFS(D137&gt;=250000,"高額",D137&gt;=150000,"中額",TRUE,"低額")</f>
        <v>低額</v>
      </c>
    </row>
    <row r="138" spans="2:8" x14ac:dyDescent="0.25">
      <c r="B138" s="9" t="s">
        <v>396</v>
      </c>
      <c r="C138" s="9" t="s">
        <v>24</v>
      </c>
      <c r="D138" s="24">
        <v>272000</v>
      </c>
      <c r="E138" s="9" t="s">
        <v>2089</v>
      </c>
      <c r="F138" s="9" t="s">
        <v>62</v>
      </c>
      <c r="G138" s="9" t="s">
        <v>47</v>
      </c>
      <c r="H138" t="str" cm="1">
        <f t="array" ref="H138">_xlfn.IFS(D138&gt;=250000,"高額",D138&gt;=150000,"中額",TRUE,"低額")</f>
        <v>高額</v>
      </c>
    </row>
    <row r="139" spans="2:8" x14ac:dyDescent="0.25">
      <c r="B139" s="9" t="s">
        <v>399</v>
      </c>
      <c r="C139" s="9" t="s">
        <v>18</v>
      </c>
      <c r="D139" s="24">
        <v>245000</v>
      </c>
      <c r="E139" s="9" t="s">
        <v>2089</v>
      </c>
      <c r="F139" s="9" t="s">
        <v>64</v>
      </c>
      <c r="G139" s="9" t="s">
        <v>43</v>
      </c>
      <c r="H139" t="str" cm="1">
        <f t="array" ref="H139">_xlfn.IFS(D139&gt;=250000,"高額",D139&gt;=150000,"中額",TRUE,"低額")</f>
        <v>中額</v>
      </c>
    </row>
    <row r="140" spans="2:8" x14ac:dyDescent="0.25">
      <c r="B140" s="9" t="s">
        <v>401</v>
      </c>
      <c r="C140" s="9" t="s">
        <v>14</v>
      </c>
      <c r="D140" s="24">
        <v>199000</v>
      </c>
      <c r="E140" s="9" t="s">
        <v>2090</v>
      </c>
      <c r="F140" s="9" t="s">
        <v>62</v>
      </c>
      <c r="G140" s="9" t="s">
        <v>55</v>
      </c>
      <c r="H140" t="str" cm="1">
        <f t="array" ref="H140">_xlfn.IFS(D140&gt;=250000,"高額",D140&gt;=150000,"中額",TRUE,"低額")</f>
        <v>中額</v>
      </c>
    </row>
    <row r="141" spans="2:8" x14ac:dyDescent="0.25">
      <c r="B141" s="9" t="s">
        <v>403</v>
      </c>
      <c r="C141" s="9" t="s">
        <v>14</v>
      </c>
      <c r="D141" s="24">
        <v>55000</v>
      </c>
      <c r="E141" s="9" t="s">
        <v>2091</v>
      </c>
      <c r="F141" s="9" t="s">
        <v>66</v>
      </c>
      <c r="G141" s="9" t="s">
        <v>61</v>
      </c>
      <c r="H141" t="str" cm="1">
        <f t="array" ref="H141">_xlfn.IFS(D141&gt;=250000,"高額",D141&gt;=150000,"中額",TRUE,"低額")</f>
        <v>低額</v>
      </c>
    </row>
    <row r="142" spans="2:8" x14ac:dyDescent="0.25">
      <c r="B142" s="9" t="s">
        <v>405</v>
      </c>
      <c r="C142" s="9" t="s">
        <v>24</v>
      </c>
      <c r="D142" s="24">
        <v>167000</v>
      </c>
      <c r="E142" s="9" t="s">
        <v>2091</v>
      </c>
      <c r="F142" s="9" t="s">
        <v>63</v>
      </c>
      <c r="G142" s="9" t="s">
        <v>45</v>
      </c>
      <c r="H142" t="str" cm="1">
        <f t="array" ref="H142">_xlfn.IFS(D142&gt;=250000,"高額",D142&gt;=150000,"中額",TRUE,"低額")</f>
        <v>中額</v>
      </c>
    </row>
    <row r="143" spans="2:8" x14ac:dyDescent="0.25">
      <c r="B143" s="9" t="s">
        <v>406</v>
      </c>
      <c r="C143" s="9" t="s">
        <v>14</v>
      </c>
      <c r="D143" s="24">
        <v>270000</v>
      </c>
      <c r="E143" s="9" t="s">
        <v>2092</v>
      </c>
      <c r="F143" s="9" t="s">
        <v>62</v>
      </c>
      <c r="G143" s="9" t="s">
        <v>43</v>
      </c>
      <c r="H143" t="str" cm="1">
        <f t="array" ref="H143">_xlfn.IFS(D143&gt;=250000,"高額",D143&gt;=150000,"中額",TRUE,"低額")</f>
        <v>高額</v>
      </c>
    </row>
    <row r="144" spans="2:8" x14ac:dyDescent="0.25">
      <c r="B144" s="9" t="s">
        <v>408</v>
      </c>
      <c r="C144" s="9" t="s">
        <v>14</v>
      </c>
      <c r="D144" s="24">
        <v>208000</v>
      </c>
      <c r="E144" s="9" t="s">
        <v>2092</v>
      </c>
      <c r="F144" s="9" t="s">
        <v>63</v>
      </c>
      <c r="G144" s="9" t="s">
        <v>53</v>
      </c>
      <c r="H144" t="str" cm="1">
        <f t="array" ref="H144">_xlfn.IFS(D144&gt;=250000,"高額",D144&gt;=150000,"中額",TRUE,"低額")</f>
        <v>中額</v>
      </c>
    </row>
    <row r="145" spans="2:8" x14ac:dyDescent="0.25">
      <c r="B145" s="9" t="s">
        <v>410</v>
      </c>
      <c r="C145" s="9" t="s">
        <v>14</v>
      </c>
      <c r="D145" s="24">
        <v>269000</v>
      </c>
      <c r="E145" s="9" t="s">
        <v>2092</v>
      </c>
      <c r="F145" s="9" t="s">
        <v>62</v>
      </c>
      <c r="G145" s="9" t="s">
        <v>51</v>
      </c>
      <c r="H145" t="str" cm="1">
        <f t="array" ref="H145">_xlfn.IFS(D145&gt;=250000,"高額",D145&gt;=150000,"中額",TRUE,"低額")</f>
        <v>高額</v>
      </c>
    </row>
    <row r="146" spans="2:8" x14ac:dyDescent="0.25">
      <c r="B146" s="9" t="s">
        <v>412</v>
      </c>
      <c r="C146" s="9" t="s">
        <v>18</v>
      </c>
      <c r="D146" s="24">
        <v>200000</v>
      </c>
      <c r="E146" s="9" t="s">
        <v>2093</v>
      </c>
      <c r="F146" s="9" t="s">
        <v>66</v>
      </c>
      <c r="G146" s="9" t="s">
        <v>47</v>
      </c>
      <c r="H146" t="str" cm="1">
        <f t="array" ref="H146">_xlfn.IFS(D146&gt;=250000,"高額",D146&gt;=150000,"中額",TRUE,"低額")</f>
        <v>中額</v>
      </c>
    </row>
    <row r="147" spans="2:8" x14ac:dyDescent="0.25">
      <c r="B147" s="9" t="s">
        <v>415</v>
      </c>
      <c r="C147" s="9" t="s">
        <v>22</v>
      </c>
      <c r="D147" s="24">
        <v>213000</v>
      </c>
      <c r="E147" s="9" t="s">
        <v>2094</v>
      </c>
      <c r="F147" s="9" t="s">
        <v>64</v>
      </c>
      <c r="G147" s="9" t="s">
        <v>61</v>
      </c>
      <c r="H147" t="str" cm="1">
        <f t="array" ref="H147">_xlfn.IFS(D147&gt;=250000,"高額",D147&gt;=150000,"中額",TRUE,"低額")</f>
        <v>中額</v>
      </c>
    </row>
    <row r="148" spans="2:8" x14ac:dyDescent="0.25">
      <c r="B148" s="9" t="s">
        <v>417</v>
      </c>
      <c r="C148" s="9" t="s">
        <v>24</v>
      </c>
      <c r="D148" s="24">
        <v>144000</v>
      </c>
      <c r="E148" s="9" t="s">
        <v>2095</v>
      </c>
      <c r="F148" s="9" t="s">
        <v>65</v>
      </c>
      <c r="G148" s="9" t="s">
        <v>53</v>
      </c>
      <c r="H148" t="str" cm="1">
        <f t="array" ref="H148">_xlfn.IFS(D148&gt;=250000,"高額",D148&gt;=150000,"中額",TRUE,"低額")</f>
        <v>低額</v>
      </c>
    </row>
    <row r="149" spans="2:8" x14ac:dyDescent="0.25">
      <c r="B149" s="9" t="s">
        <v>420</v>
      </c>
      <c r="C149" s="9" t="s">
        <v>12</v>
      </c>
      <c r="D149" s="24">
        <v>149000</v>
      </c>
      <c r="E149" s="9" t="s">
        <v>2095</v>
      </c>
      <c r="F149" s="9" t="s">
        <v>67</v>
      </c>
      <c r="G149" s="9" t="s">
        <v>45</v>
      </c>
      <c r="H149" t="str" cm="1">
        <f t="array" ref="H149">_xlfn.IFS(D149&gt;=250000,"高額",D149&gt;=150000,"中額",TRUE,"低額")</f>
        <v>低額</v>
      </c>
    </row>
    <row r="150" spans="2:8" x14ac:dyDescent="0.25">
      <c r="B150" s="9" t="s">
        <v>422</v>
      </c>
      <c r="C150" s="9" t="s">
        <v>16</v>
      </c>
      <c r="D150" s="24">
        <v>102000</v>
      </c>
      <c r="E150" s="9" t="s">
        <v>2096</v>
      </c>
      <c r="F150" s="9" t="s">
        <v>63</v>
      </c>
      <c r="G150" s="9" t="s">
        <v>53</v>
      </c>
      <c r="H150" t="str" cm="1">
        <f t="array" ref="H150">_xlfn.IFS(D150&gt;=250000,"高額",D150&gt;=150000,"中額",TRUE,"低額")</f>
        <v>低額</v>
      </c>
    </row>
    <row r="151" spans="2:8" x14ac:dyDescent="0.25">
      <c r="B151" s="9" t="s">
        <v>425</v>
      </c>
      <c r="C151" s="9" t="s">
        <v>16</v>
      </c>
      <c r="D151" s="24">
        <v>120000</v>
      </c>
      <c r="E151" s="9" t="s">
        <v>2097</v>
      </c>
      <c r="F151" s="9" t="s">
        <v>67</v>
      </c>
      <c r="G151" s="9" t="s">
        <v>45</v>
      </c>
      <c r="H151" t="str" cm="1">
        <f t="array" ref="H151">_xlfn.IFS(D151&gt;=250000,"高額",D151&gt;=150000,"中額",TRUE,"低額")</f>
        <v>低額</v>
      </c>
    </row>
    <row r="152" spans="2:8" x14ac:dyDescent="0.25">
      <c r="B152" s="9" t="s">
        <v>427</v>
      </c>
      <c r="C152" s="9" t="s">
        <v>18</v>
      </c>
      <c r="D152" s="24">
        <v>102000</v>
      </c>
      <c r="E152" s="9" t="s">
        <v>2097</v>
      </c>
      <c r="F152" s="9" t="s">
        <v>62</v>
      </c>
      <c r="G152" s="9" t="s">
        <v>51</v>
      </c>
      <c r="H152" t="str" cm="1">
        <f t="array" ref="H152">_xlfn.IFS(D152&gt;=250000,"高額",D152&gt;=150000,"中額",TRUE,"低額")</f>
        <v>低額</v>
      </c>
    </row>
    <row r="153" spans="2:8" x14ac:dyDescent="0.25">
      <c r="B153" s="9" t="s">
        <v>428</v>
      </c>
      <c r="C153" s="9" t="s">
        <v>20</v>
      </c>
      <c r="D153" s="24">
        <v>106000</v>
      </c>
      <c r="E153" s="9" t="s">
        <v>2098</v>
      </c>
      <c r="F153" s="9" t="s">
        <v>65</v>
      </c>
      <c r="G153" s="9" t="s">
        <v>55</v>
      </c>
      <c r="H153" t="str" cm="1">
        <f t="array" ref="H153">_xlfn.IFS(D153&gt;=250000,"高額",D153&gt;=150000,"中額",TRUE,"低額")</f>
        <v>低額</v>
      </c>
    </row>
    <row r="154" spans="2:8" x14ac:dyDescent="0.25">
      <c r="B154" s="9" t="s">
        <v>430</v>
      </c>
      <c r="C154" s="9" t="s">
        <v>18</v>
      </c>
      <c r="D154" s="24">
        <v>172000</v>
      </c>
      <c r="E154" s="9" t="s">
        <v>2098</v>
      </c>
      <c r="F154" s="9" t="s">
        <v>66</v>
      </c>
      <c r="G154" s="9" t="s">
        <v>43</v>
      </c>
      <c r="H154" t="str" cm="1">
        <f t="array" ref="H154">_xlfn.IFS(D154&gt;=250000,"高額",D154&gt;=150000,"中額",TRUE,"低額")</f>
        <v>中額</v>
      </c>
    </row>
    <row r="155" spans="2:8" x14ac:dyDescent="0.25">
      <c r="B155" s="9" t="s">
        <v>431</v>
      </c>
      <c r="C155" s="9" t="s">
        <v>14</v>
      </c>
      <c r="D155" s="24">
        <v>199000</v>
      </c>
      <c r="E155" s="9" t="s">
        <v>2099</v>
      </c>
      <c r="F155" s="9" t="s">
        <v>65</v>
      </c>
      <c r="G155" s="9" t="s">
        <v>53</v>
      </c>
      <c r="H155" t="str" cm="1">
        <f t="array" ref="H155">_xlfn.IFS(D155&gt;=250000,"高額",D155&gt;=150000,"中額",TRUE,"低額")</f>
        <v>中額</v>
      </c>
    </row>
    <row r="156" spans="2:8" x14ac:dyDescent="0.25">
      <c r="B156" s="9" t="s">
        <v>433</v>
      </c>
      <c r="C156" s="9" t="s">
        <v>20</v>
      </c>
      <c r="D156" s="24">
        <v>75000</v>
      </c>
      <c r="E156" s="9" t="s">
        <v>2100</v>
      </c>
      <c r="F156" s="9" t="s">
        <v>63</v>
      </c>
      <c r="G156" s="9" t="s">
        <v>43</v>
      </c>
      <c r="H156" t="str" cm="1">
        <f t="array" ref="H156">_xlfn.IFS(D156&gt;=250000,"高額",D156&gt;=150000,"中額",TRUE,"低額")</f>
        <v>低額</v>
      </c>
    </row>
    <row r="157" spans="2:8" x14ac:dyDescent="0.25">
      <c r="B157" s="9" t="s">
        <v>436</v>
      </c>
      <c r="C157" s="9" t="s">
        <v>12</v>
      </c>
      <c r="D157" s="24">
        <v>273000</v>
      </c>
      <c r="E157" s="9" t="s">
        <v>2101</v>
      </c>
      <c r="F157" s="9" t="s">
        <v>63</v>
      </c>
      <c r="G157" s="9" t="s">
        <v>49</v>
      </c>
      <c r="H157" t="str" cm="1">
        <f t="array" ref="H157">_xlfn.IFS(D157&gt;=250000,"高額",D157&gt;=150000,"中額",TRUE,"低額")</f>
        <v>高額</v>
      </c>
    </row>
    <row r="158" spans="2:8" x14ac:dyDescent="0.25">
      <c r="B158" s="9" t="s">
        <v>438</v>
      </c>
      <c r="C158" s="9" t="s">
        <v>12</v>
      </c>
      <c r="D158" s="24">
        <v>228000</v>
      </c>
      <c r="E158" s="9" t="s">
        <v>2102</v>
      </c>
      <c r="F158" s="9" t="s">
        <v>65</v>
      </c>
      <c r="G158" s="9" t="s">
        <v>49</v>
      </c>
      <c r="H158" t="str" cm="1">
        <f t="array" ref="H158">_xlfn.IFS(D158&gt;=250000,"高額",D158&gt;=150000,"中額",TRUE,"低額")</f>
        <v>中額</v>
      </c>
    </row>
    <row r="159" spans="2:8" x14ac:dyDescent="0.25">
      <c r="B159" s="9" t="s">
        <v>440</v>
      </c>
      <c r="C159" s="9" t="s">
        <v>20</v>
      </c>
      <c r="D159" s="24">
        <v>228000</v>
      </c>
      <c r="E159" s="9" t="s">
        <v>2103</v>
      </c>
      <c r="F159" s="9" t="s">
        <v>64</v>
      </c>
      <c r="G159" s="9" t="s">
        <v>49</v>
      </c>
      <c r="H159" t="str" cm="1">
        <f t="array" ref="H159">_xlfn.IFS(D159&gt;=250000,"高額",D159&gt;=150000,"中額",TRUE,"低額")</f>
        <v>中額</v>
      </c>
    </row>
    <row r="160" spans="2:8" x14ac:dyDescent="0.25">
      <c r="B160" s="9" t="s">
        <v>442</v>
      </c>
      <c r="C160" s="9" t="s">
        <v>14</v>
      </c>
      <c r="D160" s="24">
        <v>94000</v>
      </c>
      <c r="E160" s="9" t="s">
        <v>2104</v>
      </c>
      <c r="F160" s="9" t="s">
        <v>66</v>
      </c>
      <c r="G160" s="9" t="s">
        <v>47</v>
      </c>
      <c r="H160" t="str" cm="1">
        <f t="array" ref="H160">_xlfn.IFS(D160&gt;=250000,"高額",D160&gt;=150000,"中額",TRUE,"低額")</f>
        <v>低額</v>
      </c>
    </row>
    <row r="161" spans="2:8" x14ac:dyDescent="0.25">
      <c r="B161" s="9" t="s">
        <v>445</v>
      </c>
      <c r="C161" s="9" t="s">
        <v>18</v>
      </c>
      <c r="D161" s="24">
        <v>104000</v>
      </c>
      <c r="E161" s="9" t="s">
        <v>2104</v>
      </c>
      <c r="F161" s="9" t="s">
        <v>63</v>
      </c>
      <c r="G161" s="9" t="s">
        <v>53</v>
      </c>
      <c r="H161" t="str" cm="1">
        <f t="array" ref="H161">_xlfn.IFS(D161&gt;=250000,"高額",D161&gt;=150000,"中額",TRUE,"低額")</f>
        <v>低額</v>
      </c>
    </row>
    <row r="162" spans="2:8" x14ac:dyDescent="0.25">
      <c r="B162" s="9" t="s">
        <v>447</v>
      </c>
      <c r="C162" s="9" t="s">
        <v>20</v>
      </c>
      <c r="D162" s="24">
        <v>79000</v>
      </c>
      <c r="E162" s="9" t="s">
        <v>2104</v>
      </c>
      <c r="F162" s="9" t="s">
        <v>63</v>
      </c>
      <c r="G162" s="9" t="s">
        <v>53</v>
      </c>
      <c r="H162" t="str" cm="1">
        <f t="array" ref="H162">_xlfn.IFS(D162&gt;=250000,"高額",D162&gt;=150000,"中額",TRUE,"低額")</f>
        <v>低額</v>
      </c>
    </row>
    <row r="163" spans="2:8" x14ac:dyDescent="0.25">
      <c r="B163" s="9" t="s">
        <v>448</v>
      </c>
      <c r="C163" s="9" t="s">
        <v>24</v>
      </c>
      <c r="D163" s="24">
        <v>30000</v>
      </c>
      <c r="E163" s="9" t="s">
        <v>2105</v>
      </c>
      <c r="F163" s="9" t="s">
        <v>63</v>
      </c>
      <c r="G163" s="9" t="s">
        <v>51</v>
      </c>
      <c r="H163" t="str" cm="1">
        <f t="array" ref="H163">_xlfn.IFS(D163&gt;=250000,"高額",D163&gt;=150000,"中額",TRUE,"低額")</f>
        <v>低額</v>
      </c>
    </row>
    <row r="164" spans="2:8" x14ac:dyDescent="0.25">
      <c r="B164" s="9" t="s">
        <v>450</v>
      </c>
      <c r="C164" s="9" t="s">
        <v>24</v>
      </c>
      <c r="D164" s="24">
        <v>225000</v>
      </c>
      <c r="E164" s="9" t="s">
        <v>2106</v>
      </c>
      <c r="F164" s="9" t="s">
        <v>63</v>
      </c>
      <c r="G164" s="9" t="s">
        <v>49</v>
      </c>
      <c r="H164" t="str" cm="1">
        <f t="array" ref="H164">_xlfn.IFS(D164&gt;=250000,"高額",D164&gt;=150000,"中額",TRUE,"低額")</f>
        <v>中額</v>
      </c>
    </row>
    <row r="165" spans="2:8" x14ac:dyDescent="0.25">
      <c r="B165" s="9" t="s">
        <v>452</v>
      </c>
      <c r="C165" s="9" t="s">
        <v>12</v>
      </c>
      <c r="D165" s="24">
        <v>121000</v>
      </c>
      <c r="E165" s="9" t="s">
        <v>2107</v>
      </c>
      <c r="F165" s="9" t="s">
        <v>67</v>
      </c>
      <c r="G165" s="9" t="s">
        <v>51</v>
      </c>
      <c r="H165" t="str" cm="1">
        <f t="array" ref="H165">_xlfn.IFS(D165&gt;=250000,"高額",D165&gt;=150000,"中額",TRUE,"低額")</f>
        <v>低額</v>
      </c>
    </row>
    <row r="166" spans="2:8" x14ac:dyDescent="0.25">
      <c r="B166" s="9" t="s">
        <v>455</v>
      </c>
      <c r="C166" s="9" t="s">
        <v>14</v>
      </c>
      <c r="D166" s="24">
        <v>286000</v>
      </c>
      <c r="E166" s="9" t="s">
        <v>2107</v>
      </c>
      <c r="F166" s="9" t="s">
        <v>64</v>
      </c>
      <c r="G166" s="9" t="s">
        <v>43</v>
      </c>
      <c r="H166" t="str" cm="1">
        <f t="array" ref="H166">_xlfn.IFS(D166&gt;=250000,"高額",D166&gt;=150000,"中額",TRUE,"低額")</f>
        <v>高額</v>
      </c>
    </row>
    <row r="167" spans="2:8" x14ac:dyDescent="0.25">
      <c r="B167" s="9" t="s">
        <v>457</v>
      </c>
      <c r="C167" s="9" t="s">
        <v>24</v>
      </c>
      <c r="D167" s="24">
        <v>152000</v>
      </c>
      <c r="E167" s="9" t="s">
        <v>2107</v>
      </c>
      <c r="F167" s="9" t="s">
        <v>62</v>
      </c>
      <c r="G167" s="9" t="s">
        <v>49</v>
      </c>
      <c r="H167" t="str" cm="1">
        <f t="array" ref="H167">_xlfn.IFS(D167&gt;=250000,"高額",D167&gt;=150000,"中額",TRUE,"低額")</f>
        <v>中額</v>
      </c>
    </row>
    <row r="168" spans="2:8" x14ac:dyDescent="0.25">
      <c r="B168" s="9" t="s">
        <v>458</v>
      </c>
      <c r="C168" s="9" t="s">
        <v>18</v>
      </c>
      <c r="D168" s="24">
        <v>264000</v>
      </c>
      <c r="E168" s="9" t="s">
        <v>2108</v>
      </c>
      <c r="F168" s="9" t="s">
        <v>64</v>
      </c>
      <c r="G168" s="9" t="s">
        <v>47</v>
      </c>
      <c r="H168" t="str" cm="1">
        <f t="array" ref="H168">_xlfn.IFS(D168&gt;=250000,"高額",D168&gt;=150000,"中額",TRUE,"低額")</f>
        <v>高額</v>
      </c>
    </row>
    <row r="169" spans="2:8" x14ac:dyDescent="0.25">
      <c r="B169" s="9" t="s">
        <v>460</v>
      </c>
      <c r="C169" s="9" t="s">
        <v>18</v>
      </c>
      <c r="D169" s="24">
        <v>172000</v>
      </c>
      <c r="E169" s="9" t="s">
        <v>2108</v>
      </c>
      <c r="F169" s="9" t="s">
        <v>67</v>
      </c>
      <c r="G169" s="9" t="s">
        <v>55</v>
      </c>
      <c r="H169" t="str" cm="1">
        <f t="array" ref="H169">_xlfn.IFS(D169&gt;=250000,"高額",D169&gt;=150000,"中額",TRUE,"低額")</f>
        <v>中額</v>
      </c>
    </row>
    <row r="170" spans="2:8" x14ac:dyDescent="0.25">
      <c r="B170" s="9" t="s">
        <v>461</v>
      </c>
      <c r="C170" s="9" t="s">
        <v>22</v>
      </c>
      <c r="D170" s="24">
        <v>170000</v>
      </c>
      <c r="E170" s="9" t="s">
        <v>2109</v>
      </c>
      <c r="F170" s="9" t="s">
        <v>63</v>
      </c>
      <c r="G170" s="9" t="s">
        <v>61</v>
      </c>
      <c r="H170" t="str" cm="1">
        <f t="array" ref="H170">_xlfn.IFS(D170&gt;=250000,"高額",D170&gt;=150000,"中額",TRUE,"低額")</f>
        <v>中額</v>
      </c>
    </row>
    <row r="171" spans="2:8" x14ac:dyDescent="0.25">
      <c r="B171" s="9" t="s">
        <v>463</v>
      </c>
      <c r="C171" s="9" t="s">
        <v>24</v>
      </c>
      <c r="D171" s="24">
        <v>111000</v>
      </c>
      <c r="E171" s="9" t="s">
        <v>2110</v>
      </c>
      <c r="F171" s="9" t="s">
        <v>66</v>
      </c>
      <c r="G171" s="9" t="s">
        <v>53</v>
      </c>
      <c r="H171" t="str" cm="1">
        <f t="array" ref="H171">_xlfn.IFS(D171&gt;=250000,"高額",D171&gt;=150000,"中額",TRUE,"低額")</f>
        <v>低額</v>
      </c>
    </row>
    <row r="172" spans="2:8" x14ac:dyDescent="0.25">
      <c r="B172" s="9" t="s">
        <v>465</v>
      </c>
      <c r="C172" s="9" t="s">
        <v>14</v>
      </c>
      <c r="D172" s="24">
        <v>153000</v>
      </c>
      <c r="E172" s="9" t="s">
        <v>2110</v>
      </c>
      <c r="F172" s="9" t="s">
        <v>62</v>
      </c>
      <c r="G172" s="9" t="s">
        <v>47</v>
      </c>
      <c r="H172" t="str" cm="1">
        <f t="array" ref="H172">_xlfn.IFS(D172&gt;=250000,"高額",D172&gt;=150000,"中額",TRUE,"低額")</f>
        <v>中額</v>
      </c>
    </row>
    <row r="173" spans="2:8" x14ac:dyDescent="0.25">
      <c r="B173" s="9" t="s">
        <v>467</v>
      </c>
      <c r="C173" s="9" t="s">
        <v>22</v>
      </c>
      <c r="D173" s="24">
        <v>273000</v>
      </c>
      <c r="E173" s="9" t="s">
        <v>2111</v>
      </c>
      <c r="F173" s="9" t="s">
        <v>65</v>
      </c>
      <c r="G173" s="9" t="s">
        <v>43</v>
      </c>
      <c r="H173" t="str" cm="1">
        <f t="array" ref="H173">_xlfn.IFS(D173&gt;=250000,"高額",D173&gt;=150000,"中額",TRUE,"低額")</f>
        <v>高額</v>
      </c>
    </row>
    <row r="174" spans="2:8" x14ac:dyDescent="0.25">
      <c r="B174" s="9" t="s">
        <v>469</v>
      </c>
      <c r="C174" s="9" t="s">
        <v>20</v>
      </c>
      <c r="D174" s="24">
        <v>261000</v>
      </c>
      <c r="E174" s="9" t="s">
        <v>2112</v>
      </c>
      <c r="F174" s="9" t="s">
        <v>63</v>
      </c>
      <c r="G174" s="9" t="s">
        <v>47</v>
      </c>
      <c r="H174" t="str" cm="1">
        <f t="array" ref="H174">_xlfn.IFS(D174&gt;=250000,"高額",D174&gt;=150000,"中額",TRUE,"低額")</f>
        <v>高額</v>
      </c>
    </row>
    <row r="175" spans="2:8" x14ac:dyDescent="0.25">
      <c r="B175" s="9" t="s">
        <v>472</v>
      </c>
      <c r="C175" s="9" t="s">
        <v>18</v>
      </c>
      <c r="D175" s="24">
        <v>124000</v>
      </c>
      <c r="E175" s="9" t="s">
        <v>2112</v>
      </c>
      <c r="F175" s="9" t="s">
        <v>65</v>
      </c>
      <c r="G175" s="9" t="s">
        <v>45</v>
      </c>
      <c r="H175" t="str" cm="1">
        <f t="array" ref="H175">_xlfn.IFS(D175&gt;=250000,"高額",D175&gt;=150000,"中額",TRUE,"低額")</f>
        <v>低額</v>
      </c>
    </row>
    <row r="176" spans="2:8" x14ac:dyDescent="0.25">
      <c r="B176" s="9" t="s">
        <v>473</v>
      </c>
      <c r="C176" s="9" t="s">
        <v>12</v>
      </c>
      <c r="D176" s="24">
        <v>249000</v>
      </c>
      <c r="E176" s="9" t="s">
        <v>2113</v>
      </c>
      <c r="F176" s="9" t="s">
        <v>67</v>
      </c>
      <c r="G176" s="9" t="s">
        <v>43</v>
      </c>
      <c r="H176" t="str" cm="1">
        <f t="array" ref="H176">_xlfn.IFS(D176&gt;=250000,"高額",D176&gt;=150000,"中額",TRUE,"低額")</f>
        <v>中額</v>
      </c>
    </row>
    <row r="177" spans="2:8" x14ac:dyDescent="0.25">
      <c r="B177" s="9" t="s">
        <v>475</v>
      </c>
      <c r="C177" s="9" t="s">
        <v>12</v>
      </c>
      <c r="D177" s="24">
        <v>30000</v>
      </c>
      <c r="E177" s="9" t="s">
        <v>2114</v>
      </c>
      <c r="F177" s="9" t="s">
        <v>63</v>
      </c>
      <c r="G177" s="9" t="s">
        <v>47</v>
      </c>
      <c r="H177" t="str" cm="1">
        <f t="array" ref="H177">_xlfn.IFS(D177&gt;=250000,"高額",D177&gt;=150000,"中額",TRUE,"低額")</f>
        <v>低額</v>
      </c>
    </row>
    <row r="178" spans="2:8" x14ac:dyDescent="0.25">
      <c r="B178" s="9" t="s">
        <v>477</v>
      </c>
      <c r="C178" s="9" t="s">
        <v>18</v>
      </c>
      <c r="D178" s="24">
        <v>166000</v>
      </c>
      <c r="E178" s="9" t="s">
        <v>2115</v>
      </c>
      <c r="F178" s="9" t="s">
        <v>66</v>
      </c>
      <c r="G178" s="9" t="s">
        <v>61</v>
      </c>
      <c r="H178" t="str" cm="1">
        <f t="array" ref="H178">_xlfn.IFS(D178&gt;=250000,"高額",D178&gt;=150000,"中額",TRUE,"低額")</f>
        <v>中額</v>
      </c>
    </row>
    <row r="179" spans="2:8" x14ac:dyDescent="0.25">
      <c r="B179" s="9" t="s">
        <v>480</v>
      </c>
      <c r="C179" s="9" t="s">
        <v>18</v>
      </c>
      <c r="D179" s="24">
        <v>71000</v>
      </c>
      <c r="E179" s="9" t="s">
        <v>2116</v>
      </c>
      <c r="F179" s="9" t="s">
        <v>64</v>
      </c>
      <c r="G179" s="9" t="s">
        <v>58</v>
      </c>
      <c r="H179" t="str" cm="1">
        <f t="array" ref="H179">_xlfn.IFS(D179&gt;=250000,"高額",D179&gt;=150000,"中額",TRUE,"低額")</f>
        <v>低額</v>
      </c>
    </row>
    <row r="180" spans="2:8" x14ac:dyDescent="0.25">
      <c r="B180" s="9" t="s">
        <v>483</v>
      </c>
      <c r="C180" s="9" t="s">
        <v>20</v>
      </c>
      <c r="D180" s="24">
        <v>136000</v>
      </c>
      <c r="E180" s="9" t="s">
        <v>2116</v>
      </c>
      <c r="F180" s="9" t="s">
        <v>67</v>
      </c>
      <c r="G180" s="9" t="s">
        <v>55</v>
      </c>
      <c r="H180" t="str" cm="1">
        <f t="array" ref="H180">_xlfn.IFS(D180&gt;=250000,"高額",D180&gt;=150000,"中額",TRUE,"低額")</f>
        <v>低額</v>
      </c>
    </row>
    <row r="181" spans="2:8" x14ac:dyDescent="0.25">
      <c r="B181" s="9" t="s">
        <v>485</v>
      </c>
      <c r="C181" s="9" t="s">
        <v>24</v>
      </c>
      <c r="D181" s="24">
        <v>102000</v>
      </c>
      <c r="E181" s="9" t="s">
        <v>2116</v>
      </c>
      <c r="F181" s="9" t="s">
        <v>62</v>
      </c>
      <c r="G181" s="9" t="s">
        <v>61</v>
      </c>
      <c r="H181" t="str" cm="1">
        <f t="array" ref="H181">_xlfn.IFS(D181&gt;=250000,"高額",D181&gt;=150000,"中額",TRUE,"低額")</f>
        <v>低額</v>
      </c>
    </row>
    <row r="182" spans="2:8" x14ac:dyDescent="0.25">
      <c r="B182" s="9" t="s">
        <v>486</v>
      </c>
      <c r="C182" s="9" t="s">
        <v>12</v>
      </c>
      <c r="D182" s="24">
        <v>238000</v>
      </c>
      <c r="E182" s="9" t="s">
        <v>2116</v>
      </c>
      <c r="F182" s="9" t="s">
        <v>64</v>
      </c>
      <c r="G182" s="9" t="s">
        <v>55</v>
      </c>
      <c r="H182" t="str" cm="1">
        <f t="array" ref="H182">_xlfn.IFS(D182&gt;=250000,"高額",D182&gt;=150000,"中額",TRUE,"低額")</f>
        <v>中額</v>
      </c>
    </row>
    <row r="183" spans="2:8" x14ac:dyDescent="0.25">
      <c r="B183" s="9" t="s">
        <v>487</v>
      </c>
      <c r="C183" s="9" t="s">
        <v>18</v>
      </c>
      <c r="D183" s="24">
        <v>100000</v>
      </c>
      <c r="E183" s="9" t="s">
        <v>2116</v>
      </c>
      <c r="F183" s="9" t="s">
        <v>63</v>
      </c>
      <c r="G183" s="9" t="s">
        <v>53</v>
      </c>
      <c r="H183" t="str" cm="1">
        <f t="array" ref="H183">_xlfn.IFS(D183&gt;=250000,"高額",D183&gt;=150000,"中額",TRUE,"低額")</f>
        <v>低額</v>
      </c>
    </row>
    <row r="184" spans="2:8" x14ac:dyDescent="0.25">
      <c r="B184" s="9" t="s">
        <v>488</v>
      </c>
      <c r="C184" s="9" t="s">
        <v>14</v>
      </c>
      <c r="D184" s="24">
        <v>63000</v>
      </c>
      <c r="E184" s="9" t="s">
        <v>2117</v>
      </c>
      <c r="F184" s="9" t="s">
        <v>62</v>
      </c>
      <c r="G184" s="9" t="s">
        <v>49</v>
      </c>
      <c r="H184" t="str" cm="1">
        <f t="array" ref="H184">_xlfn.IFS(D184&gt;=250000,"高額",D184&gt;=150000,"中額",TRUE,"低額")</f>
        <v>低額</v>
      </c>
    </row>
    <row r="185" spans="2:8" x14ac:dyDescent="0.25">
      <c r="B185" s="9" t="s">
        <v>491</v>
      </c>
      <c r="C185" s="9" t="s">
        <v>18</v>
      </c>
      <c r="D185" s="24">
        <v>65000</v>
      </c>
      <c r="E185" s="9" t="s">
        <v>2117</v>
      </c>
      <c r="F185" s="9" t="s">
        <v>65</v>
      </c>
      <c r="G185" s="9" t="s">
        <v>58</v>
      </c>
      <c r="H185" t="str" cm="1">
        <f t="array" ref="H185">_xlfn.IFS(D185&gt;=250000,"高額",D185&gt;=150000,"中額",TRUE,"低額")</f>
        <v>低額</v>
      </c>
    </row>
    <row r="186" spans="2:8" x14ac:dyDescent="0.25">
      <c r="B186" s="9" t="s">
        <v>493</v>
      </c>
      <c r="C186" s="9" t="s">
        <v>16</v>
      </c>
      <c r="D186" s="24">
        <v>266000</v>
      </c>
      <c r="E186" s="9" t="s">
        <v>2118</v>
      </c>
      <c r="F186" s="9" t="s">
        <v>64</v>
      </c>
      <c r="G186" s="9" t="s">
        <v>45</v>
      </c>
      <c r="H186" t="str" cm="1">
        <f t="array" ref="H186">_xlfn.IFS(D186&gt;=250000,"高額",D186&gt;=150000,"中額",TRUE,"低額")</f>
        <v>高額</v>
      </c>
    </row>
    <row r="187" spans="2:8" x14ac:dyDescent="0.25">
      <c r="B187" s="9" t="s">
        <v>496</v>
      </c>
      <c r="C187" s="9" t="s">
        <v>24</v>
      </c>
      <c r="D187" s="24">
        <v>259000</v>
      </c>
      <c r="E187" s="9" t="s">
        <v>2118</v>
      </c>
      <c r="F187" s="9" t="s">
        <v>62</v>
      </c>
      <c r="G187" s="9" t="s">
        <v>61</v>
      </c>
      <c r="H187" t="str" cm="1">
        <f t="array" ref="H187">_xlfn.IFS(D187&gt;=250000,"高額",D187&gt;=150000,"中額",TRUE,"低額")</f>
        <v>高額</v>
      </c>
    </row>
    <row r="188" spans="2:8" x14ac:dyDescent="0.25">
      <c r="B188" s="9" t="s">
        <v>498</v>
      </c>
      <c r="C188" s="9" t="s">
        <v>16</v>
      </c>
      <c r="D188" s="24">
        <v>216000</v>
      </c>
      <c r="E188" s="9" t="s">
        <v>2119</v>
      </c>
      <c r="F188" s="9" t="s">
        <v>66</v>
      </c>
      <c r="G188" s="9" t="s">
        <v>58</v>
      </c>
      <c r="H188" t="str" cm="1">
        <f t="array" ref="H188">_xlfn.IFS(D188&gt;=250000,"高額",D188&gt;=150000,"中額",TRUE,"低額")</f>
        <v>中額</v>
      </c>
    </row>
    <row r="189" spans="2:8" x14ac:dyDescent="0.25">
      <c r="B189" s="9" t="s">
        <v>500</v>
      </c>
      <c r="C189" s="9" t="s">
        <v>20</v>
      </c>
      <c r="D189" s="24">
        <v>260000</v>
      </c>
      <c r="E189" s="9" t="s">
        <v>2119</v>
      </c>
      <c r="F189" s="9" t="s">
        <v>63</v>
      </c>
      <c r="G189" s="9" t="s">
        <v>47</v>
      </c>
      <c r="H189" t="str" cm="1">
        <f t="array" ref="H189">_xlfn.IFS(D189&gt;=250000,"高額",D189&gt;=150000,"中額",TRUE,"低額")</f>
        <v>高額</v>
      </c>
    </row>
    <row r="190" spans="2:8" x14ac:dyDescent="0.25">
      <c r="B190" s="9" t="s">
        <v>502</v>
      </c>
      <c r="C190" s="9" t="s">
        <v>16</v>
      </c>
      <c r="D190" s="24">
        <v>132000</v>
      </c>
      <c r="E190" s="9" t="s">
        <v>2120</v>
      </c>
      <c r="F190" s="9" t="s">
        <v>67</v>
      </c>
      <c r="G190" s="9" t="s">
        <v>53</v>
      </c>
      <c r="H190" t="str" cm="1">
        <f t="array" ref="H190">_xlfn.IFS(D190&gt;=250000,"高額",D190&gt;=150000,"中額",TRUE,"低額")</f>
        <v>低額</v>
      </c>
    </row>
    <row r="191" spans="2:8" x14ac:dyDescent="0.25">
      <c r="B191" s="9" t="s">
        <v>505</v>
      </c>
      <c r="C191" s="9" t="s">
        <v>14</v>
      </c>
      <c r="D191" s="24">
        <v>139000</v>
      </c>
      <c r="E191" s="9" t="s">
        <v>2120</v>
      </c>
      <c r="F191" s="9" t="s">
        <v>66</v>
      </c>
      <c r="G191" s="9" t="s">
        <v>51</v>
      </c>
      <c r="H191" t="str" cm="1">
        <f t="array" ref="H191">_xlfn.IFS(D191&gt;=250000,"高額",D191&gt;=150000,"中額",TRUE,"低額")</f>
        <v>低額</v>
      </c>
    </row>
    <row r="192" spans="2:8" x14ac:dyDescent="0.25">
      <c r="B192" s="9" t="s">
        <v>506</v>
      </c>
      <c r="C192" s="9" t="s">
        <v>12</v>
      </c>
      <c r="D192" s="24">
        <v>145000</v>
      </c>
      <c r="E192" s="9" t="s">
        <v>2121</v>
      </c>
      <c r="F192" s="9" t="s">
        <v>63</v>
      </c>
      <c r="G192" s="9" t="s">
        <v>45</v>
      </c>
      <c r="H192" t="str" cm="1">
        <f t="array" ref="H192">_xlfn.IFS(D192&gt;=250000,"高額",D192&gt;=150000,"中額",TRUE,"低額")</f>
        <v>低額</v>
      </c>
    </row>
    <row r="193" spans="2:8" x14ac:dyDescent="0.25">
      <c r="B193" s="9" t="s">
        <v>509</v>
      </c>
      <c r="C193" s="9" t="s">
        <v>12</v>
      </c>
      <c r="D193" s="24">
        <v>92000</v>
      </c>
      <c r="E193" s="9" t="s">
        <v>2122</v>
      </c>
      <c r="F193" s="9" t="s">
        <v>66</v>
      </c>
      <c r="G193" s="9" t="s">
        <v>58</v>
      </c>
      <c r="H193" t="str" cm="1">
        <f t="array" ref="H193">_xlfn.IFS(D193&gt;=250000,"高額",D193&gt;=150000,"中額",TRUE,"低額")</f>
        <v>低額</v>
      </c>
    </row>
    <row r="194" spans="2:8" x14ac:dyDescent="0.25">
      <c r="B194" s="9" t="s">
        <v>511</v>
      </c>
      <c r="C194" s="9" t="s">
        <v>14</v>
      </c>
      <c r="D194" s="24">
        <v>197000</v>
      </c>
      <c r="E194" s="9" t="s">
        <v>2123</v>
      </c>
      <c r="F194" s="9" t="s">
        <v>62</v>
      </c>
      <c r="G194" s="9" t="s">
        <v>45</v>
      </c>
      <c r="H194" t="str" cm="1">
        <f t="array" ref="H194">_xlfn.IFS(D194&gt;=250000,"高額",D194&gt;=150000,"中額",TRUE,"低額")</f>
        <v>中額</v>
      </c>
    </row>
    <row r="195" spans="2:8" x14ac:dyDescent="0.25">
      <c r="B195" s="9" t="s">
        <v>514</v>
      </c>
      <c r="C195" s="9" t="s">
        <v>20</v>
      </c>
      <c r="D195" s="24">
        <v>234000</v>
      </c>
      <c r="E195" s="9" t="s">
        <v>2123</v>
      </c>
      <c r="F195" s="9" t="s">
        <v>62</v>
      </c>
      <c r="G195" s="9" t="s">
        <v>43</v>
      </c>
      <c r="H195" t="str" cm="1">
        <f t="array" ref="H195">_xlfn.IFS(D195&gt;=250000,"高額",D195&gt;=150000,"中額",TRUE,"低額")</f>
        <v>中額</v>
      </c>
    </row>
    <row r="196" spans="2:8" x14ac:dyDescent="0.25">
      <c r="B196" s="9" t="s">
        <v>516</v>
      </c>
      <c r="C196" s="9" t="s">
        <v>18</v>
      </c>
      <c r="D196" s="24">
        <v>142000</v>
      </c>
      <c r="E196" s="9" t="s">
        <v>2124</v>
      </c>
      <c r="F196" s="9" t="s">
        <v>65</v>
      </c>
      <c r="G196" s="9" t="s">
        <v>61</v>
      </c>
      <c r="H196" t="str" cm="1">
        <f t="array" ref="H196">_xlfn.IFS(D196&gt;=250000,"高額",D196&gt;=150000,"中額",TRUE,"低額")</f>
        <v>低額</v>
      </c>
    </row>
    <row r="197" spans="2:8" x14ac:dyDescent="0.25">
      <c r="B197" s="9" t="s">
        <v>519</v>
      </c>
      <c r="C197" s="9" t="s">
        <v>18</v>
      </c>
      <c r="D197" s="24">
        <v>84000</v>
      </c>
      <c r="E197" s="9" t="s">
        <v>2125</v>
      </c>
      <c r="F197" s="9" t="s">
        <v>62</v>
      </c>
      <c r="G197" s="9" t="s">
        <v>45</v>
      </c>
      <c r="H197" t="str" cm="1">
        <f t="array" ref="H197">_xlfn.IFS(D197&gt;=250000,"高額",D197&gt;=150000,"中額",TRUE,"低額")</f>
        <v>低額</v>
      </c>
    </row>
    <row r="198" spans="2:8" x14ac:dyDescent="0.25">
      <c r="B198" s="9" t="s">
        <v>521</v>
      </c>
      <c r="C198" s="9" t="s">
        <v>12</v>
      </c>
      <c r="D198" s="24">
        <v>243000</v>
      </c>
      <c r="E198" s="9" t="s">
        <v>2126</v>
      </c>
      <c r="F198" s="9" t="s">
        <v>62</v>
      </c>
      <c r="G198" s="9" t="s">
        <v>53</v>
      </c>
      <c r="H198" t="str" cm="1">
        <f t="array" ref="H198">_xlfn.IFS(D198&gt;=250000,"高額",D198&gt;=150000,"中額",TRUE,"低額")</f>
        <v>中額</v>
      </c>
    </row>
    <row r="199" spans="2:8" x14ac:dyDescent="0.25">
      <c r="B199" s="9" t="s">
        <v>524</v>
      </c>
      <c r="C199" s="9" t="s">
        <v>24</v>
      </c>
      <c r="D199" s="24">
        <v>104000</v>
      </c>
      <c r="E199" s="9" t="s">
        <v>2126</v>
      </c>
      <c r="F199" s="9" t="s">
        <v>67</v>
      </c>
      <c r="G199" s="9" t="s">
        <v>49</v>
      </c>
      <c r="H199" t="str" cm="1">
        <f t="array" ref="H199">_xlfn.IFS(D199&gt;=250000,"高額",D199&gt;=150000,"中額",TRUE,"低額")</f>
        <v>低額</v>
      </c>
    </row>
    <row r="200" spans="2:8" x14ac:dyDescent="0.25">
      <c r="B200" s="9" t="s">
        <v>525</v>
      </c>
      <c r="C200" s="9" t="s">
        <v>18</v>
      </c>
      <c r="D200" s="24">
        <v>252000</v>
      </c>
      <c r="E200" s="9" t="s">
        <v>2127</v>
      </c>
      <c r="F200" s="9" t="s">
        <v>66</v>
      </c>
      <c r="G200" s="9" t="s">
        <v>51</v>
      </c>
      <c r="H200" t="str" cm="1">
        <f t="array" ref="H200">_xlfn.IFS(D200&gt;=250000,"高額",D200&gt;=150000,"中額",TRUE,"低額")</f>
        <v>高額</v>
      </c>
    </row>
    <row r="201" spans="2:8" x14ac:dyDescent="0.25">
      <c r="B201" s="9" t="s">
        <v>527</v>
      </c>
      <c r="C201" s="9" t="s">
        <v>14</v>
      </c>
      <c r="D201" s="24">
        <v>274000</v>
      </c>
      <c r="E201" s="9" t="s">
        <v>2128</v>
      </c>
      <c r="F201" s="9" t="s">
        <v>65</v>
      </c>
      <c r="G201" s="9" t="s">
        <v>58</v>
      </c>
      <c r="H201" t="str" cm="1">
        <f t="array" ref="H201">_xlfn.IFS(D201&gt;=250000,"高額",D201&gt;=150000,"中額",TRUE,"低額")</f>
        <v>高額</v>
      </c>
    </row>
    <row r="202" spans="2:8" x14ac:dyDescent="0.25">
      <c r="B202" s="9" t="s">
        <v>529</v>
      </c>
      <c r="C202" s="9" t="s">
        <v>22</v>
      </c>
      <c r="D202" s="24">
        <v>46000</v>
      </c>
      <c r="E202" s="9" t="s">
        <v>2128</v>
      </c>
      <c r="F202" s="9" t="s">
        <v>67</v>
      </c>
      <c r="G202" s="9" t="s">
        <v>53</v>
      </c>
      <c r="H202" t="str" cm="1">
        <f t="array" ref="H202">_xlfn.IFS(D202&gt;=250000,"高額",D202&gt;=150000,"中額",TRUE,"低額")</f>
        <v>低額</v>
      </c>
    </row>
    <row r="203" spans="2:8" x14ac:dyDescent="0.25">
      <c r="B203" s="9" t="s">
        <v>531</v>
      </c>
      <c r="C203" s="9" t="s">
        <v>16</v>
      </c>
      <c r="D203" s="24">
        <v>259000</v>
      </c>
      <c r="E203" s="9" t="s">
        <v>2128</v>
      </c>
      <c r="F203" s="9" t="s">
        <v>66</v>
      </c>
      <c r="G203" s="9" t="s">
        <v>53</v>
      </c>
      <c r="H203" t="str" cm="1">
        <f t="array" ref="H203">_xlfn.IFS(D203&gt;=250000,"高額",D203&gt;=150000,"中額",TRUE,"低額")</f>
        <v>高額</v>
      </c>
    </row>
    <row r="204" spans="2:8" x14ac:dyDescent="0.25">
      <c r="B204" s="9" t="s">
        <v>532</v>
      </c>
      <c r="C204" s="9" t="s">
        <v>22</v>
      </c>
      <c r="D204" s="24">
        <v>218000</v>
      </c>
      <c r="E204" s="9" t="s">
        <v>2129</v>
      </c>
      <c r="F204" s="9" t="s">
        <v>63</v>
      </c>
      <c r="G204" s="9" t="s">
        <v>55</v>
      </c>
      <c r="H204" t="str" cm="1">
        <f t="array" ref="H204">_xlfn.IFS(D204&gt;=250000,"高額",D204&gt;=150000,"中額",TRUE,"低額")</f>
        <v>中額</v>
      </c>
    </row>
    <row r="205" spans="2:8" x14ac:dyDescent="0.25">
      <c r="B205" s="9" t="s">
        <v>534</v>
      </c>
      <c r="C205" s="9" t="s">
        <v>18</v>
      </c>
      <c r="D205" s="24">
        <v>57000</v>
      </c>
      <c r="E205" s="9" t="s">
        <v>2129</v>
      </c>
      <c r="F205" s="9" t="s">
        <v>64</v>
      </c>
      <c r="G205" s="9" t="s">
        <v>43</v>
      </c>
      <c r="H205" t="str" cm="1">
        <f t="array" ref="H205">_xlfn.IFS(D205&gt;=250000,"高額",D205&gt;=150000,"中額",TRUE,"低額")</f>
        <v>低額</v>
      </c>
    </row>
    <row r="206" spans="2:8" x14ac:dyDescent="0.25">
      <c r="B206" s="9" t="s">
        <v>536</v>
      </c>
      <c r="C206" s="9" t="s">
        <v>18</v>
      </c>
      <c r="D206" s="24">
        <v>33000</v>
      </c>
      <c r="E206" s="9" t="s">
        <v>2130</v>
      </c>
      <c r="F206" s="9" t="s">
        <v>66</v>
      </c>
      <c r="G206" s="9" t="s">
        <v>53</v>
      </c>
      <c r="H206" t="str" cm="1">
        <f t="array" ref="H206">_xlfn.IFS(D206&gt;=250000,"高額",D206&gt;=150000,"中額",TRUE,"低額")</f>
        <v>低額</v>
      </c>
    </row>
    <row r="207" spans="2:8" x14ac:dyDescent="0.25">
      <c r="B207" s="9" t="s">
        <v>538</v>
      </c>
      <c r="C207" s="9" t="s">
        <v>20</v>
      </c>
      <c r="D207" s="24">
        <v>168000</v>
      </c>
      <c r="E207" s="9" t="s">
        <v>2131</v>
      </c>
      <c r="F207" s="9" t="s">
        <v>63</v>
      </c>
      <c r="G207" s="9" t="s">
        <v>45</v>
      </c>
      <c r="H207" t="str" cm="1">
        <f t="array" ref="H207">_xlfn.IFS(D207&gt;=250000,"高額",D207&gt;=150000,"中額",TRUE,"低額")</f>
        <v>中額</v>
      </c>
    </row>
    <row r="208" spans="2:8" x14ac:dyDescent="0.25">
      <c r="B208" s="9" t="s">
        <v>541</v>
      </c>
      <c r="C208" s="9" t="s">
        <v>20</v>
      </c>
      <c r="D208" s="24">
        <v>48000</v>
      </c>
      <c r="E208" s="9" t="s">
        <v>2132</v>
      </c>
      <c r="F208" s="9" t="s">
        <v>64</v>
      </c>
      <c r="G208" s="9" t="s">
        <v>49</v>
      </c>
      <c r="H208" t="str" cm="1">
        <f t="array" ref="H208">_xlfn.IFS(D208&gt;=250000,"高額",D208&gt;=150000,"中額",TRUE,"低額")</f>
        <v>低額</v>
      </c>
    </row>
    <row r="209" spans="2:8" x14ac:dyDescent="0.25">
      <c r="B209" s="9" t="s">
        <v>544</v>
      </c>
      <c r="C209" s="9" t="s">
        <v>12</v>
      </c>
      <c r="D209" s="24">
        <v>72000</v>
      </c>
      <c r="E209" s="9" t="s">
        <v>2132</v>
      </c>
      <c r="F209" s="9" t="s">
        <v>65</v>
      </c>
      <c r="G209" s="9" t="s">
        <v>58</v>
      </c>
      <c r="H209" t="str" cm="1">
        <f t="array" ref="H209">_xlfn.IFS(D209&gt;=250000,"高額",D209&gt;=150000,"中額",TRUE,"低額")</f>
        <v>低額</v>
      </c>
    </row>
    <row r="210" spans="2:8" x14ac:dyDescent="0.25">
      <c r="B210" s="9" t="s">
        <v>546</v>
      </c>
      <c r="C210" s="9" t="s">
        <v>20</v>
      </c>
      <c r="D210" s="24">
        <v>123000</v>
      </c>
      <c r="E210" s="9" t="s">
        <v>2133</v>
      </c>
      <c r="F210" s="9" t="s">
        <v>65</v>
      </c>
      <c r="G210" s="9" t="s">
        <v>51</v>
      </c>
      <c r="H210" t="str" cm="1">
        <f t="array" ref="H210">_xlfn.IFS(D210&gt;=250000,"高額",D210&gt;=150000,"中額",TRUE,"低額")</f>
        <v>低額</v>
      </c>
    </row>
    <row r="211" spans="2:8" x14ac:dyDescent="0.25">
      <c r="B211" s="9" t="s">
        <v>549</v>
      </c>
      <c r="C211" s="9" t="s">
        <v>14</v>
      </c>
      <c r="D211" s="24">
        <v>230000</v>
      </c>
      <c r="E211" s="9" t="s">
        <v>2134</v>
      </c>
      <c r="F211" s="9" t="s">
        <v>62</v>
      </c>
      <c r="G211" s="9" t="s">
        <v>51</v>
      </c>
      <c r="H211" t="str" cm="1">
        <f t="array" ref="H211">_xlfn.IFS(D211&gt;=250000,"高額",D211&gt;=150000,"中額",TRUE,"低額")</f>
        <v>中額</v>
      </c>
    </row>
    <row r="212" spans="2:8" x14ac:dyDescent="0.25">
      <c r="B212" s="9" t="s">
        <v>551</v>
      </c>
      <c r="C212" s="9" t="s">
        <v>20</v>
      </c>
      <c r="D212" s="24">
        <v>43000</v>
      </c>
      <c r="E212" s="9" t="s">
        <v>2135</v>
      </c>
      <c r="F212" s="9" t="s">
        <v>63</v>
      </c>
      <c r="G212" s="9" t="s">
        <v>61</v>
      </c>
      <c r="H212" t="str" cm="1">
        <f t="array" ref="H212">_xlfn.IFS(D212&gt;=250000,"高額",D212&gt;=150000,"中額",TRUE,"低額")</f>
        <v>低額</v>
      </c>
    </row>
    <row r="213" spans="2:8" x14ac:dyDescent="0.25">
      <c r="B213" s="9" t="s">
        <v>554</v>
      </c>
      <c r="C213" s="9" t="s">
        <v>16</v>
      </c>
      <c r="D213" s="24">
        <v>273000</v>
      </c>
      <c r="E213" s="9" t="s">
        <v>2136</v>
      </c>
      <c r="F213" s="9" t="s">
        <v>63</v>
      </c>
      <c r="G213" s="9" t="s">
        <v>43</v>
      </c>
      <c r="H213" t="str" cm="1">
        <f t="array" ref="H213">_xlfn.IFS(D213&gt;=250000,"高額",D213&gt;=150000,"中額",TRUE,"低額")</f>
        <v>高額</v>
      </c>
    </row>
    <row r="214" spans="2:8" x14ac:dyDescent="0.25">
      <c r="B214" s="9" t="s">
        <v>556</v>
      </c>
      <c r="C214" s="9" t="s">
        <v>20</v>
      </c>
      <c r="D214" s="24">
        <v>100000</v>
      </c>
      <c r="E214" s="9" t="s">
        <v>2137</v>
      </c>
      <c r="F214" s="9" t="s">
        <v>65</v>
      </c>
      <c r="G214" s="9" t="s">
        <v>45</v>
      </c>
      <c r="H214" t="str" cm="1">
        <f t="array" ref="H214">_xlfn.IFS(D214&gt;=250000,"高額",D214&gt;=150000,"中額",TRUE,"低額")</f>
        <v>低額</v>
      </c>
    </row>
    <row r="215" spans="2:8" x14ac:dyDescent="0.25">
      <c r="B215" s="9" t="s">
        <v>558</v>
      </c>
      <c r="C215" s="9" t="s">
        <v>18</v>
      </c>
      <c r="D215" s="24">
        <v>282000</v>
      </c>
      <c r="E215" s="9" t="s">
        <v>2137</v>
      </c>
      <c r="F215" s="9" t="s">
        <v>65</v>
      </c>
      <c r="G215" s="9" t="s">
        <v>51</v>
      </c>
      <c r="H215" t="str" cm="1">
        <f t="array" ref="H215">_xlfn.IFS(D215&gt;=250000,"高額",D215&gt;=150000,"中額",TRUE,"低額")</f>
        <v>高額</v>
      </c>
    </row>
    <row r="216" spans="2:8" x14ac:dyDescent="0.25">
      <c r="B216" s="9" t="s">
        <v>560</v>
      </c>
      <c r="C216" s="9" t="s">
        <v>16</v>
      </c>
      <c r="D216" s="24">
        <v>296000</v>
      </c>
      <c r="E216" s="9" t="s">
        <v>2137</v>
      </c>
      <c r="F216" s="9" t="s">
        <v>66</v>
      </c>
      <c r="G216" s="9" t="s">
        <v>55</v>
      </c>
      <c r="H216" t="str" cm="1">
        <f t="array" ref="H216">_xlfn.IFS(D216&gt;=250000,"高額",D216&gt;=150000,"中額",TRUE,"低額")</f>
        <v>高額</v>
      </c>
    </row>
    <row r="217" spans="2:8" x14ac:dyDescent="0.25">
      <c r="B217" s="9" t="s">
        <v>561</v>
      </c>
      <c r="C217" s="9" t="s">
        <v>12</v>
      </c>
      <c r="D217" s="24">
        <v>208000</v>
      </c>
      <c r="E217" s="9" t="s">
        <v>2138</v>
      </c>
      <c r="F217" s="9" t="s">
        <v>63</v>
      </c>
      <c r="G217" s="9" t="s">
        <v>49</v>
      </c>
      <c r="H217" t="str" cm="1">
        <f t="array" ref="H217">_xlfn.IFS(D217&gt;=250000,"高額",D217&gt;=150000,"中額",TRUE,"低額")</f>
        <v>中額</v>
      </c>
    </row>
    <row r="218" spans="2:8" x14ac:dyDescent="0.25">
      <c r="B218" s="9" t="s">
        <v>563</v>
      </c>
      <c r="C218" s="9" t="s">
        <v>20</v>
      </c>
      <c r="D218" s="24">
        <v>218000</v>
      </c>
      <c r="E218" s="9" t="s">
        <v>2138</v>
      </c>
      <c r="F218" s="9" t="s">
        <v>62</v>
      </c>
      <c r="G218" s="9" t="s">
        <v>55</v>
      </c>
      <c r="H218" t="str" cm="1">
        <f t="array" ref="H218">_xlfn.IFS(D218&gt;=250000,"高額",D218&gt;=150000,"中額",TRUE,"低額")</f>
        <v>中額</v>
      </c>
    </row>
    <row r="219" spans="2:8" x14ac:dyDescent="0.25">
      <c r="B219" s="9" t="s">
        <v>564</v>
      </c>
      <c r="C219" s="9" t="s">
        <v>24</v>
      </c>
      <c r="D219" s="24">
        <v>229000</v>
      </c>
      <c r="E219" s="9" t="s">
        <v>2139</v>
      </c>
      <c r="F219" s="9" t="s">
        <v>66</v>
      </c>
      <c r="G219" s="9" t="s">
        <v>47</v>
      </c>
      <c r="H219" t="str" cm="1">
        <f t="array" ref="H219">_xlfn.IFS(D219&gt;=250000,"高額",D219&gt;=150000,"中額",TRUE,"低額")</f>
        <v>中額</v>
      </c>
    </row>
    <row r="220" spans="2:8" x14ac:dyDescent="0.25">
      <c r="B220" s="9" t="s">
        <v>567</v>
      </c>
      <c r="C220" s="9" t="s">
        <v>14</v>
      </c>
      <c r="D220" s="24">
        <v>238000</v>
      </c>
      <c r="E220" s="9" t="s">
        <v>2140</v>
      </c>
      <c r="F220" s="9" t="s">
        <v>67</v>
      </c>
      <c r="G220" s="9" t="s">
        <v>61</v>
      </c>
      <c r="H220" t="str" cm="1">
        <f t="array" ref="H220">_xlfn.IFS(D220&gt;=250000,"高額",D220&gt;=150000,"中額",TRUE,"低額")</f>
        <v>中額</v>
      </c>
    </row>
    <row r="221" spans="2:8" x14ac:dyDescent="0.25">
      <c r="B221" s="9" t="s">
        <v>569</v>
      </c>
      <c r="C221" s="9" t="s">
        <v>18</v>
      </c>
      <c r="D221" s="24">
        <v>266000</v>
      </c>
      <c r="E221" s="9" t="s">
        <v>2140</v>
      </c>
      <c r="F221" s="9" t="s">
        <v>63</v>
      </c>
      <c r="G221" s="9" t="s">
        <v>45</v>
      </c>
      <c r="H221" t="str" cm="1">
        <f t="array" ref="H221">_xlfn.IFS(D221&gt;=250000,"高額",D221&gt;=150000,"中額",TRUE,"低額")</f>
        <v>高額</v>
      </c>
    </row>
    <row r="222" spans="2:8" x14ac:dyDescent="0.25">
      <c r="B222" s="9" t="s">
        <v>570</v>
      </c>
      <c r="C222" s="9" t="s">
        <v>22</v>
      </c>
      <c r="D222" s="24">
        <v>279000</v>
      </c>
      <c r="E222" s="9" t="s">
        <v>2141</v>
      </c>
      <c r="F222" s="9" t="s">
        <v>63</v>
      </c>
      <c r="G222" s="9" t="s">
        <v>58</v>
      </c>
      <c r="H222" t="str" cm="1">
        <f t="array" ref="H222">_xlfn.IFS(D222&gt;=250000,"高額",D222&gt;=150000,"中額",TRUE,"低額")</f>
        <v>高額</v>
      </c>
    </row>
    <row r="223" spans="2:8" x14ac:dyDescent="0.25">
      <c r="B223" s="9" t="s">
        <v>572</v>
      </c>
      <c r="C223" s="9" t="s">
        <v>20</v>
      </c>
      <c r="D223" s="24">
        <v>251000</v>
      </c>
      <c r="E223" s="9" t="s">
        <v>2142</v>
      </c>
      <c r="F223" s="9" t="s">
        <v>63</v>
      </c>
      <c r="G223" s="9" t="s">
        <v>49</v>
      </c>
      <c r="H223" t="str" cm="1">
        <f t="array" ref="H223">_xlfn.IFS(D223&gt;=250000,"高額",D223&gt;=150000,"中額",TRUE,"低額")</f>
        <v>高額</v>
      </c>
    </row>
    <row r="224" spans="2:8" x14ac:dyDescent="0.25">
      <c r="B224" s="9" t="s">
        <v>574</v>
      </c>
      <c r="C224" s="9" t="s">
        <v>16</v>
      </c>
      <c r="D224" s="24">
        <v>231000</v>
      </c>
      <c r="E224" s="9" t="s">
        <v>2142</v>
      </c>
      <c r="F224" s="9" t="s">
        <v>66</v>
      </c>
      <c r="G224" s="9" t="s">
        <v>58</v>
      </c>
      <c r="H224" t="str" cm="1">
        <f t="array" ref="H224">_xlfn.IFS(D224&gt;=250000,"高額",D224&gt;=150000,"中額",TRUE,"低額")</f>
        <v>中額</v>
      </c>
    </row>
    <row r="225" spans="2:8" x14ac:dyDescent="0.25">
      <c r="B225" s="9" t="s">
        <v>575</v>
      </c>
      <c r="C225" s="9" t="s">
        <v>18</v>
      </c>
      <c r="D225" s="24">
        <v>244000</v>
      </c>
      <c r="E225" s="9" t="s">
        <v>2142</v>
      </c>
      <c r="F225" s="9" t="s">
        <v>64</v>
      </c>
      <c r="G225" s="9" t="s">
        <v>55</v>
      </c>
      <c r="H225" t="str" cm="1">
        <f t="array" ref="H225">_xlfn.IFS(D225&gt;=250000,"高額",D225&gt;=150000,"中額",TRUE,"低額")</f>
        <v>中額</v>
      </c>
    </row>
    <row r="226" spans="2:8" x14ac:dyDescent="0.25">
      <c r="B226" s="9" t="s">
        <v>576</v>
      </c>
      <c r="C226" s="9" t="s">
        <v>20</v>
      </c>
      <c r="D226" s="24">
        <v>104000</v>
      </c>
      <c r="E226" s="9" t="s">
        <v>2143</v>
      </c>
      <c r="F226" s="9" t="s">
        <v>66</v>
      </c>
      <c r="G226" s="9" t="s">
        <v>47</v>
      </c>
      <c r="H226" t="str" cm="1">
        <f t="array" ref="H226">_xlfn.IFS(D226&gt;=250000,"高額",D226&gt;=150000,"中額",TRUE,"低額")</f>
        <v>低額</v>
      </c>
    </row>
    <row r="227" spans="2:8" x14ac:dyDescent="0.25">
      <c r="B227" s="9" t="s">
        <v>578</v>
      </c>
      <c r="C227" s="9" t="s">
        <v>20</v>
      </c>
      <c r="D227" s="24">
        <v>213000</v>
      </c>
      <c r="E227" s="9" t="s">
        <v>2143</v>
      </c>
      <c r="F227" s="9" t="s">
        <v>65</v>
      </c>
      <c r="G227" s="9" t="s">
        <v>51</v>
      </c>
      <c r="H227" t="str" cm="1">
        <f t="array" ref="H227">_xlfn.IFS(D227&gt;=250000,"高額",D227&gt;=150000,"中額",TRUE,"低額")</f>
        <v>中額</v>
      </c>
    </row>
    <row r="228" spans="2:8" x14ac:dyDescent="0.25">
      <c r="B228" s="9" t="s">
        <v>579</v>
      </c>
      <c r="C228" s="9" t="s">
        <v>20</v>
      </c>
      <c r="D228" s="24">
        <v>211000</v>
      </c>
      <c r="E228" s="9" t="s">
        <v>2144</v>
      </c>
      <c r="F228" s="9" t="s">
        <v>65</v>
      </c>
      <c r="G228" s="9" t="s">
        <v>43</v>
      </c>
      <c r="H228" t="str" cm="1">
        <f t="array" ref="H228">_xlfn.IFS(D228&gt;=250000,"高額",D228&gt;=150000,"中額",TRUE,"低額")</f>
        <v>中額</v>
      </c>
    </row>
    <row r="229" spans="2:8" x14ac:dyDescent="0.25">
      <c r="B229" s="9" t="s">
        <v>582</v>
      </c>
      <c r="C229" s="9" t="s">
        <v>16</v>
      </c>
      <c r="D229" s="24">
        <v>154000</v>
      </c>
      <c r="E229" s="9" t="s">
        <v>2145</v>
      </c>
      <c r="F229" s="9" t="s">
        <v>67</v>
      </c>
      <c r="G229" s="9" t="s">
        <v>49</v>
      </c>
      <c r="H229" t="str" cm="1">
        <f t="array" ref="H229">_xlfn.IFS(D229&gt;=250000,"高額",D229&gt;=150000,"中額",TRUE,"低額")</f>
        <v>中額</v>
      </c>
    </row>
    <row r="230" spans="2:8" x14ac:dyDescent="0.25">
      <c r="B230" s="9" t="s">
        <v>584</v>
      </c>
      <c r="C230" s="9" t="s">
        <v>18</v>
      </c>
      <c r="D230" s="24">
        <v>271000</v>
      </c>
      <c r="E230" s="9" t="s">
        <v>2145</v>
      </c>
      <c r="F230" s="9" t="s">
        <v>67</v>
      </c>
      <c r="G230" s="9" t="s">
        <v>61</v>
      </c>
      <c r="H230" t="str" cm="1">
        <f t="array" ref="H230">_xlfn.IFS(D230&gt;=250000,"高額",D230&gt;=150000,"中額",TRUE,"低額")</f>
        <v>高額</v>
      </c>
    </row>
    <row r="231" spans="2:8" x14ac:dyDescent="0.25">
      <c r="B231" s="9" t="s">
        <v>585</v>
      </c>
      <c r="C231" s="9" t="s">
        <v>20</v>
      </c>
      <c r="D231" s="24">
        <v>153000</v>
      </c>
      <c r="E231" s="9" t="s">
        <v>2146</v>
      </c>
      <c r="F231" s="9" t="s">
        <v>62</v>
      </c>
      <c r="G231" s="9" t="s">
        <v>43</v>
      </c>
      <c r="H231" t="str" cm="1">
        <f t="array" ref="H231">_xlfn.IFS(D231&gt;=250000,"高額",D231&gt;=150000,"中額",TRUE,"低額")</f>
        <v>中額</v>
      </c>
    </row>
    <row r="232" spans="2:8" x14ac:dyDescent="0.25">
      <c r="B232" s="9" t="s">
        <v>587</v>
      </c>
      <c r="C232" s="9" t="s">
        <v>18</v>
      </c>
      <c r="D232" s="24">
        <v>69000</v>
      </c>
      <c r="E232" s="9" t="s">
        <v>2146</v>
      </c>
      <c r="F232" s="9" t="s">
        <v>63</v>
      </c>
      <c r="G232" s="9" t="s">
        <v>53</v>
      </c>
      <c r="H232" t="str" cm="1">
        <f t="array" ref="H232">_xlfn.IFS(D232&gt;=250000,"高額",D232&gt;=150000,"中額",TRUE,"低額")</f>
        <v>低額</v>
      </c>
    </row>
    <row r="233" spans="2:8" x14ac:dyDescent="0.25">
      <c r="B233" s="9" t="s">
        <v>588</v>
      </c>
      <c r="C233" s="9" t="s">
        <v>18</v>
      </c>
      <c r="D233" s="24">
        <v>118000</v>
      </c>
      <c r="E233" s="9" t="s">
        <v>2147</v>
      </c>
      <c r="F233" s="9" t="s">
        <v>62</v>
      </c>
      <c r="G233" s="9" t="s">
        <v>51</v>
      </c>
      <c r="H233" t="str" cm="1">
        <f t="array" ref="H233">_xlfn.IFS(D233&gt;=250000,"高額",D233&gt;=150000,"中額",TRUE,"低額")</f>
        <v>低額</v>
      </c>
    </row>
    <row r="234" spans="2:8" x14ac:dyDescent="0.25">
      <c r="B234" s="9" t="s">
        <v>591</v>
      </c>
      <c r="C234" s="9" t="s">
        <v>22</v>
      </c>
      <c r="D234" s="24">
        <v>249000</v>
      </c>
      <c r="E234" s="9" t="s">
        <v>2148</v>
      </c>
      <c r="F234" s="9" t="s">
        <v>66</v>
      </c>
      <c r="G234" s="9" t="s">
        <v>55</v>
      </c>
      <c r="H234" t="str" cm="1">
        <f t="array" ref="H234">_xlfn.IFS(D234&gt;=250000,"高額",D234&gt;=150000,"中額",TRUE,"低額")</f>
        <v>中額</v>
      </c>
    </row>
    <row r="235" spans="2:8" x14ac:dyDescent="0.25">
      <c r="B235" s="9" t="s">
        <v>593</v>
      </c>
      <c r="C235" s="9" t="s">
        <v>20</v>
      </c>
      <c r="D235" s="24">
        <v>86000</v>
      </c>
      <c r="E235" s="9" t="s">
        <v>2148</v>
      </c>
      <c r="F235" s="9" t="s">
        <v>67</v>
      </c>
      <c r="G235" s="9" t="s">
        <v>49</v>
      </c>
      <c r="H235" t="str" cm="1">
        <f t="array" ref="H235">_xlfn.IFS(D235&gt;=250000,"高額",D235&gt;=150000,"中額",TRUE,"低額")</f>
        <v>低額</v>
      </c>
    </row>
    <row r="236" spans="2:8" x14ac:dyDescent="0.25">
      <c r="B236" s="9" t="s">
        <v>595</v>
      </c>
      <c r="C236" s="9" t="s">
        <v>12</v>
      </c>
      <c r="D236" s="24">
        <v>173000</v>
      </c>
      <c r="E236" s="9" t="s">
        <v>2149</v>
      </c>
      <c r="F236" s="9" t="s">
        <v>62</v>
      </c>
      <c r="G236" s="9" t="s">
        <v>45</v>
      </c>
      <c r="H236" t="str" cm="1">
        <f t="array" ref="H236">_xlfn.IFS(D236&gt;=250000,"高額",D236&gt;=150000,"中額",TRUE,"低額")</f>
        <v>中額</v>
      </c>
    </row>
    <row r="237" spans="2:8" x14ac:dyDescent="0.25">
      <c r="B237" s="9" t="s">
        <v>597</v>
      </c>
      <c r="C237" s="9" t="s">
        <v>12</v>
      </c>
      <c r="D237" s="24">
        <v>216000</v>
      </c>
      <c r="E237" s="9" t="s">
        <v>2150</v>
      </c>
      <c r="F237" s="9" t="s">
        <v>62</v>
      </c>
      <c r="G237" s="9" t="s">
        <v>43</v>
      </c>
      <c r="H237" t="str" cm="1">
        <f t="array" ref="H237">_xlfn.IFS(D237&gt;=250000,"高額",D237&gt;=150000,"中額",TRUE,"低額")</f>
        <v>中額</v>
      </c>
    </row>
    <row r="238" spans="2:8" x14ac:dyDescent="0.25">
      <c r="B238" s="9" t="s">
        <v>599</v>
      </c>
      <c r="C238" s="9" t="s">
        <v>22</v>
      </c>
      <c r="D238" s="24">
        <v>277000</v>
      </c>
      <c r="E238" s="9" t="s">
        <v>2151</v>
      </c>
      <c r="F238" s="9" t="s">
        <v>64</v>
      </c>
      <c r="G238" s="9" t="s">
        <v>43</v>
      </c>
      <c r="H238" t="str" cm="1">
        <f t="array" ref="H238">_xlfn.IFS(D238&gt;=250000,"高額",D238&gt;=150000,"中額",TRUE,"低額")</f>
        <v>高額</v>
      </c>
    </row>
    <row r="239" spans="2:8" x14ac:dyDescent="0.25">
      <c r="B239" s="9" t="s">
        <v>602</v>
      </c>
      <c r="C239" s="9" t="s">
        <v>24</v>
      </c>
      <c r="D239" s="24">
        <v>53000</v>
      </c>
      <c r="E239" s="9" t="s">
        <v>2152</v>
      </c>
      <c r="F239" s="9" t="s">
        <v>66</v>
      </c>
      <c r="G239" s="9" t="s">
        <v>51</v>
      </c>
      <c r="H239" t="str" cm="1">
        <f t="array" ref="H239">_xlfn.IFS(D239&gt;=250000,"高額",D239&gt;=150000,"中額",TRUE,"低額")</f>
        <v>低額</v>
      </c>
    </row>
    <row r="240" spans="2:8" x14ac:dyDescent="0.25">
      <c r="B240" s="9" t="s">
        <v>605</v>
      </c>
      <c r="C240" s="9" t="s">
        <v>16</v>
      </c>
      <c r="D240" s="24">
        <v>58000</v>
      </c>
      <c r="E240" s="9" t="s">
        <v>2153</v>
      </c>
      <c r="F240" s="9" t="s">
        <v>65</v>
      </c>
      <c r="G240" s="9" t="s">
        <v>58</v>
      </c>
      <c r="H240" t="str" cm="1">
        <f t="array" ref="H240">_xlfn.IFS(D240&gt;=250000,"高額",D240&gt;=150000,"中額",TRUE,"低額")</f>
        <v>低額</v>
      </c>
    </row>
    <row r="241" spans="2:8" x14ac:dyDescent="0.25">
      <c r="B241" s="9" t="s">
        <v>607</v>
      </c>
      <c r="C241" s="9" t="s">
        <v>18</v>
      </c>
      <c r="D241" s="24">
        <v>55000</v>
      </c>
      <c r="E241" s="9" t="s">
        <v>2154</v>
      </c>
      <c r="F241" s="9" t="s">
        <v>62</v>
      </c>
      <c r="G241" s="9" t="s">
        <v>53</v>
      </c>
      <c r="H241" t="str" cm="1">
        <f t="array" ref="H241">_xlfn.IFS(D241&gt;=250000,"高額",D241&gt;=150000,"中額",TRUE,"低額")</f>
        <v>低額</v>
      </c>
    </row>
    <row r="242" spans="2:8" x14ac:dyDescent="0.25">
      <c r="B242" s="9" t="s">
        <v>609</v>
      </c>
      <c r="C242" s="9" t="s">
        <v>24</v>
      </c>
      <c r="D242" s="24">
        <v>168000</v>
      </c>
      <c r="E242" s="9" t="s">
        <v>2154</v>
      </c>
      <c r="F242" s="9" t="s">
        <v>62</v>
      </c>
      <c r="G242" s="9" t="s">
        <v>51</v>
      </c>
      <c r="H242" t="str" cm="1">
        <f t="array" ref="H242">_xlfn.IFS(D242&gt;=250000,"高額",D242&gt;=150000,"中額",TRUE,"低額")</f>
        <v>中額</v>
      </c>
    </row>
    <row r="243" spans="2:8" x14ac:dyDescent="0.25">
      <c r="B243" s="9" t="s">
        <v>610</v>
      </c>
      <c r="C243" s="9" t="s">
        <v>16</v>
      </c>
      <c r="D243" s="24">
        <v>189000</v>
      </c>
      <c r="E243" s="9" t="s">
        <v>2155</v>
      </c>
      <c r="F243" s="9" t="s">
        <v>63</v>
      </c>
      <c r="G243" s="9" t="s">
        <v>55</v>
      </c>
      <c r="H243" t="str" cm="1">
        <f t="array" ref="H243">_xlfn.IFS(D243&gt;=250000,"高額",D243&gt;=150000,"中額",TRUE,"低額")</f>
        <v>中額</v>
      </c>
    </row>
    <row r="244" spans="2:8" x14ac:dyDescent="0.25">
      <c r="B244" s="9" t="s">
        <v>613</v>
      </c>
      <c r="C244" s="9" t="s">
        <v>12</v>
      </c>
      <c r="D244" s="24">
        <v>222000</v>
      </c>
      <c r="E244" s="9" t="s">
        <v>2155</v>
      </c>
      <c r="F244" s="9" t="s">
        <v>63</v>
      </c>
      <c r="G244" s="9" t="s">
        <v>51</v>
      </c>
      <c r="H244" t="str" cm="1">
        <f t="array" ref="H244">_xlfn.IFS(D244&gt;=250000,"高額",D244&gt;=150000,"中額",TRUE,"低額")</f>
        <v>中額</v>
      </c>
    </row>
    <row r="245" spans="2:8" x14ac:dyDescent="0.25">
      <c r="B245" s="9" t="s">
        <v>614</v>
      </c>
      <c r="C245" s="9" t="s">
        <v>22</v>
      </c>
      <c r="D245" s="24">
        <v>196000</v>
      </c>
      <c r="E245" s="9" t="s">
        <v>2156</v>
      </c>
      <c r="F245" s="9" t="s">
        <v>65</v>
      </c>
      <c r="G245" s="9" t="s">
        <v>45</v>
      </c>
      <c r="H245" t="str" cm="1">
        <f t="array" ref="H245">_xlfn.IFS(D245&gt;=250000,"高額",D245&gt;=150000,"中額",TRUE,"低額")</f>
        <v>中額</v>
      </c>
    </row>
    <row r="246" spans="2:8" x14ac:dyDescent="0.25">
      <c r="B246" s="9" t="s">
        <v>616</v>
      </c>
      <c r="C246" s="9" t="s">
        <v>20</v>
      </c>
      <c r="D246" s="24">
        <v>282000</v>
      </c>
      <c r="E246" s="9" t="s">
        <v>2156</v>
      </c>
      <c r="F246" s="9" t="s">
        <v>67</v>
      </c>
      <c r="G246" s="9" t="s">
        <v>55</v>
      </c>
      <c r="H246" t="str" cm="1">
        <f t="array" ref="H246">_xlfn.IFS(D246&gt;=250000,"高額",D246&gt;=150000,"中額",TRUE,"低額")</f>
        <v>高額</v>
      </c>
    </row>
    <row r="247" spans="2:8" x14ac:dyDescent="0.25">
      <c r="B247" s="9" t="s">
        <v>617</v>
      </c>
      <c r="C247" s="9" t="s">
        <v>22</v>
      </c>
      <c r="D247" s="24">
        <v>167000</v>
      </c>
      <c r="E247" s="9" t="s">
        <v>2157</v>
      </c>
      <c r="F247" s="9" t="s">
        <v>62</v>
      </c>
      <c r="G247" s="9" t="s">
        <v>47</v>
      </c>
      <c r="H247" t="str" cm="1">
        <f t="array" ref="H247">_xlfn.IFS(D247&gt;=250000,"高額",D247&gt;=150000,"中額",TRUE,"低額")</f>
        <v>中額</v>
      </c>
    </row>
    <row r="248" spans="2:8" x14ac:dyDescent="0.25">
      <c r="B248" s="9" t="s">
        <v>619</v>
      </c>
      <c r="C248" s="9" t="s">
        <v>24</v>
      </c>
      <c r="D248" s="24">
        <v>37000</v>
      </c>
      <c r="E248" s="9" t="s">
        <v>2157</v>
      </c>
      <c r="F248" s="9" t="s">
        <v>63</v>
      </c>
      <c r="G248" s="9" t="s">
        <v>49</v>
      </c>
      <c r="H248" t="str" cm="1">
        <f t="array" ref="H248">_xlfn.IFS(D248&gt;=250000,"高額",D248&gt;=150000,"中額",TRUE,"低額")</f>
        <v>低額</v>
      </c>
    </row>
    <row r="249" spans="2:8" x14ac:dyDescent="0.25">
      <c r="B249" s="9" t="s">
        <v>621</v>
      </c>
      <c r="C249" s="9" t="s">
        <v>18</v>
      </c>
      <c r="D249" s="24">
        <v>260000</v>
      </c>
      <c r="E249" s="9" t="s">
        <v>2158</v>
      </c>
      <c r="F249" s="9" t="s">
        <v>66</v>
      </c>
      <c r="G249" s="9" t="s">
        <v>51</v>
      </c>
      <c r="H249" t="str" cm="1">
        <f t="array" ref="H249">_xlfn.IFS(D249&gt;=250000,"高額",D249&gt;=150000,"中額",TRUE,"低額")</f>
        <v>高額</v>
      </c>
    </row>
    <row r="250" spans="2:8" x14ac:dyDescent="0.25">
      <c r="B250" s="9" t="s">
        <v>623</v>
      </c>
      <c r="C250" s="9" t="s">
        <v>12</v>
      </c>
      <c r="D250" s="24">
        <v>110000</v>
      </c>
      <c r="E250" s="9" t="s">
        <v>2158</v>
      </c>
      <c r="F250" s="9" t="s">
        <v>67</v>
      </c>
      <c r="G250" s="9" t="s">
        <v>61</v>
      </c>
      <c r="H250" t="str" cm="1">
        <f t="array" ref="H250">_xlfn.IFS(D250&gt;=250000,"高額",D250&gt;=150000,"中額",TRUE,"低額")</f>
        <v>低額</v>
      </c>
    </row>
    <row r="251" spans="2:8" x14ac:dyDescent="0.25">
      <c r="B251" s="9" t="s">
        <v>625</v>
      </c>
      <c r="C251" s="9" t="s">
        <v>16</v>
      </c>
      <c r="D251" s="24">
        <v>136000</v>
      </c>
      <c r="E251" s="9" t="s">
        <v>2159</v>
      </c>
      <c r="F251" s="9" t="s">
        <v>67</v>
      </c>
      <c r="G251" s="9" t="s">
        <v>61</v>
      </c>
      <c r="H251" t="str" cm="1">
        <f t="array" ref="H251">_xlfn.IFS(D251&gt;=250000,"高額",D251&gt;=150000,"中額",TRUE,"低額")</f>
        <v>低額</v>
      </c>
    </row>
    <row r="252" spans="2:8" x14ac:dyDescent="0.25">
      <c r="B252" s="9" t="s">
        <v>627</v>
      </c>
      <c r="C252" s="9" t="s">
        <v>14</v>
      </c>
      <c r="D252" s="24">
        <v>285000</v>
      </c>
      <c r="E252" s="9" t="s">
        <v>2160</v>
      </c>
      <c r="F252" s="9" t="s">
        <v>64</v>
      </c>
      <c r="G252" s="9" t="s">
        <v>43</v>
      </c>
      <c r="H252" t="str" cm="1">
        <f t="array" ref="H252">_xlfn.IFS(D252&gt;=250000,"高額",D252&gt;=150000,"中額",TRUE,"低額")</f>
        <v>高額</v>
      </c>
    </row>
    <row r="253" spans="2:8" x14ac:dyDescent="0.25">
      <c r="B253" s="9" t="s">
        <v>630</v>
      </c>
      <c r="C253" s="9" t="s">
        <v>18</v>
      </c>
      <c r="D253" s="24">
        <v>153000</v>
      </c>
      <c r="E253" s="9" t="s">
        <v>2161</v>
      </c>
      <c r="F253" s="9" t="s">
        <v>67</v>
      </c>
      <c r="G253" s="9" t="s">
        <v>45</v>
      </c>
      <c r="H253" t="str" cm="1">
        <f t="array" ref="H253">_xlfn.IFS(D253&gt;=250000,"高額",D253&gt;=150000,"中額",TRUE,"低額")</f>
        <v>中額</v>
      </c>
    </row>
    <row r="254" spans="2:8" x14ac:dyDescent="0.25">
      <c r="B254" s="9" t="s">
        <v>632</v>
      </c>
      <c r="C254" s="9" t="s">
        <v>16</v>
      </c>
      <c r="D254" s="24">
        <v>97000</v>
      </c>
      <c r="E254" s="9" t="s">
        <v>2162</v>
      </c>
      <c r="F254" s="9" t="s">
        <v>66</v>
      </c>
      <c r="G254" s="9" t="s">
        <v>47</v>
      </c>
      <c r="H254" t="str" cm="1">
        <f t="array" ref="H254">_xlfn.IFS(D254&gt;=250000,"高額",D254&gt;=150000,"中額",TRUE,"低額")</f>
        <v>低額</v>
      </c>
    </row>
    <row r="255" spans="2:8" x14ac:dyDescent="0.25">
      <c r="B255" s="9" t="s">
        <v>635</v>
      </c>
      <c r="C255" s="9" t="s">
        <v>18</v>
      </c>
      <c r="D255" s="24">
        <v>212000</v>
      </c>
      <c r="E255" s="9" t="s">
        <v>2162</v>
      </c>
      <c r="F255" s="9" t="s">
        <v>65</v>
      </c>
      <c r="G255" s="9" t="s">
        <v>53</v>
      </c>
      <c r="H255" t="str" cm="1">
        <f t="array" ref="H255">_xlfn.IFS(D255&gt;=250000,"高額",D255&gt;=150000,"中額",TRUE,"低額")</f>
        <v>中額</v>
      </c>
    </row>
    <row r="256" spans="2:8" x14ac:dyDescent="0.25">
      <c r="B256" s="9" t="s">
        <v>637</v>
      </c>
      <c r="C256" s="9" t="s">
        <v>12</v>
      </c>
      <c r="D256" s="24">
        <v>168000</v>
      </c>
      <c r="E256" s="9" t="s">
        <v>2162</v>
      </c>
      <c r="F256" s="9" t="s">
        <v>66</v>
      </c>
      <c r="G256" s="9" t="s">
        <v>47</v>
      </c>
      <c r="H256" t="str" cm="1">
        <f t="array" ref="H256">_xlfn.IFS(D256&gt;=250000,"高額",D256&gt;=150000,"中額",TRUE,"低額")</f>
        <v>中額</v>
      </c>
    </row>
    <row r="257" spans="2:8" x14ac:dyDescent="0.25">
      <c r="B257" s="9" t="s">
        <v>638</v>
      </c>
      <c r="C257" s="9" t="s">
        <v>16</v>
      </c>
      <c r="D257" s="24">
        <v>227000</v>
      </c>
      <c r="E257" s="9" t="s">
        <v>2162</v>
      </c>
      <c r="F257" s="9" t="s">
        <v>64</v>
      </c>
      <c r="G257" s="9" t="s">
        <v>61</v>
      </c>
      <c r="H257" t="str" cm="1">
        <f t="array" ref="H257">_xlfn.IFS(D257&gt;=250000,"高額",D257&gt;=150000,"中額",TRUE,"低額")</f>
        <v>中額</v>
      </c>
    </row>
    <row r="258" spans="2:8" x14ac:dyDescent="0.25">
      <c r="B258" s="9" t="s">
        <v>640</v>
      </c>
      <c r="C258" s="9" t="s">
        <v>12</v>
      </c>
      <c r="D258" s="24">
        <v>40000</v>
      </c>
      <c r="E258" s="9" t="s">
        <v>2163</v>
      </c>
      <c r="F258" s="9" t="s">
        <v>62</v>
      </c>
      <c r="G258" s="9" t="s">
        <v>58</v>
      </c>
      <c r="H258" t="str" cm="1">
        <f t="array" ref="H258">_xlfn.IFS(D258&gt;=250000,"高額",D258&gt;=150000,"中額",TRUE,"低額")</f>
        <v>低額</v>
      </c>
    </row>
    <row r="259" spans="2:8" x14ac:dyDescent="0.25">
      <c r="B259" s="9" t="s">
        <v>643</v>
      </c>
      <c r="C259" s="9" t="s">
        <v>20</v>
      </c>
      <c r="D259" s="24">
        <v>36000</v>
      </c>
      <c r="E259" s="9" t="s">
        <v>2164</v>
      </c>
      <c r="F259" s="9" t="s">
        <v>62</v>
      </c>
      <c r="G259" s="9" t="s">
        <v>45</v>
      </c>
      <c r="H259" t="str" cm="1">
        <f t="array" ref="H259">_xlfn.IFS(D259&gt;=250000,"高額",D259&gt;=150000,"中額",TRUE,"低額")</f>
        <v>低額</v>
      </c>
    </row>
    <row r="260" spans="2:8" x14ac:dyDescent="0.25">
      <c r="B260" s="9" t="s">
        <v>646</v>
      </c>
      <c r="C260" s="9" t="s">
        <v>12</v>
      </c>
      <c r="D260" s="24">
        <v>40000</v>
      </c>
      <c r="E260" s="9" t="s">
        <v>2165</v>
      </c>
      <c r="F260" s="9" t="s">
        <v>64</v>
      </c>
      <c r="G260" s="9" t="s">
        <v>49</v>
      </c>
      <c r="H260" t="str" cm="1">
        <f t="array" ref="H260">_xlfn.IFS(D260&gt;=250000,"高額",D260&gt;=150000,"中額",TRUE,"低額")</f>
        <v>低額</v>
      </c>
    </row>
    <row r="261" spans="2:8" x14ac:dyDescent="0.25">
      <c r="B261" s="9" t="s">
        <v>648</v>
      </c>
      <c r="C261" s="9" t="s">
        <v>22</v>
      </c>
      <c r="D261" s="24">
        <v>210000</v>
      </c>
      <c r="E261" s="9" t="s">
        <v>2166</v>
      </c>
      <c r="F261" s="9" t="s">
        <v>63</v>
      </c>
      <c r="G261" s="9" t="s">
        <v>51</v>
      </c>
      <c r="H261" t="str" cm="1">
        <f t="array" ref="H261">_xlfn.IFS(D261&gt;=250000,"高額",D261&gt;=150000,"中額",TRUE,"低額")</f>
        <v>中額</v>
      </c>
    </row>
    <row r="262" spans="2:8" x14ac:dyDescent="0.25">
      <c r="B262" s="9" t="s">
        <v>651</v>
      </c>
      <c r="C262" s="9" t="s">
        <v>22</v>
      </c>
      <c r="D262" s="24">
        <v>96000</v>
      </c>
      <c r="E262" s="9" t="s">
        <v>2167</v>
      </c>
      <c r="F262" s="9" t="s">
        <v>65</v>
      </c>
      <c r="G262" s="9" t="s">
        <v>51</v>
      </c>
      <c r="H262" t="str" cm="1">
        <f t="array" ref="H262">_xlfn.IFS(D262&gt;=250000,"高額",D262&gt;=150000,"中額",TRUE,"低額")</f>
        <v>低額</v>
      </c>
    </row>
    <row r="263" spans="2:8" x14ac:dyDescent="0.25">
      <c r="B263" s="9" t="s">
        <v>654</v>
      </c>
      <c r="C263" s="9" t="s">
        <v>20</v>
      </c>
      <c r="D263" s="24">
        <v>125000</v>
      </c>
      <c r="E263" s="9" t="s">
        <v>2168</v>
      </c>
      <c r="F263" s="9" t="s">
        <v>64</v>
      </c>
      <c r="G263" s="9" t="s">
        <v>47</v>
      </c>
      <c r="H263" t="str" cm="1">
        <f t="array" ref="H263">_xlfn.IFS(D263&gt;=250000,"高額",D263&gt;=150000,"中額",TRUE,"低額")</f>
        <v>低額</v>
      </c>
    </row>
    <row r="264" spans="2:8" x14ac:dyDescent="0.25">
      <c r="B264" s="9" t="s">
        <v>656</v>
      </c>
      <c r="C264" s="9" t="s">
        <v>22</v>
      </c>
      <c r="D264" s="24">
        <v>260000</v>
      </c>
      <c r="E264" s="9" t="s">
        <v>2169</v>
      </c>
      <c r="F264" s="9" t="s">
        <v>65</v>
      </c>
      <c r="G264" s="9" t="s">
        <v>58</v>
      </c>
      <c r="H264" t="str" cm="1">
        <f t="array" ref="H264">_xlfn.IFS(D264&gt;=250000,"高額",D264&gt;=150000,"中額",TRUE,"低額")</f>
        <v>高額</v>
      </c>
    </row>
    <row r="265" spans="2:8" x14ac:dyDescent="0.25">
      <c r="B265" s="9" t="s">
        <v>658</v>
      </c>
      <c r="C265" s="9" t="s">
        <v>12</v>
      </c>
      <c r="D265" s="24">
        <v>54000</v>
      </c>
      <c r="E265" s="9" t="s">
        <v>2170</v>
      </c>
      <c r="F265" s="9" t="s">
        <v>67</v>
      </c>
      <c r="G265" s="9" t="s">
        <v>51</v>
      </c>
      <c r="H265" t="str" cm="1">
        <f t="array" ref="H265">_xlfn.IFS(D265&gt;=250000,"高額",D265&gt;=150000,"中額",TRUE,"低額")</f>
        <v>低額</v>
      </c>
    </row>
    <row r="266" spans="2:8" x14ac:dyDescent="0.25">
      <c r="B266" s="9" t="s">
        <v>660</v>
      </c>
      <c r="C266" s="9" t="s">
        <v>18</v>
      </c>
      <c r="D266" s="24">
        <v>234000</v>
      </c>
      <c r="E266" s="9" t="s">
        <v>2170</v>
      </c>
      <c r="F266" s="9" t="s">
        <v>62</v>
      </c>
      <c r="G266" s="9" t="s">
        <v>58</v>
      </c>
      <c r="H266" t="str" cm="1">
        <f t="array" ref="H266">_xlfn.IFS(D266&gt;=250000,"高額",D266&gt;=150000,"中額",TRUE,"低額")</f>
        <v>中額</v>
      </c>
    </row>
    <row r="267" spans="2:8" x14ac:dyDescent="0.25">
      <c r="B267" s="9" t="s">
        <v>661</v>
      </c>
      <c r="C267" s="9" t="s">
        <v>16</v>
      </c>
      <c r="D267" s="24">
        <v>101000</v>
      </c>
      <c r="E267" s="9" t="s">
        <v>2171</v>
      </c>
      <c r="F267" s="9" t="s">
        <v>67</v>
      </c>
      <c r="G267" s="9" t="s">
        <v>47</v>
      </c>
      <c r="H267" t="str" cm="1">
        <f t="array" ref="H267">_xlfn.IFS(D267&gt;=250000,"高額",D267&gt;=150000,"中額",TRUE,"低額")</f>
        <v>低額</v>
      </c>
    </row>
    <row r="268" spans="2:8" x14ac:dyDescent="0.25">
      <c r="B268" s="9" t="s">
        <v>664</v>
      </c>
      <c r="C268" s="9" t="s">
        <v>20</v>
      </c>
      <c r="D268" s="24">
        <v>297000</v>
      </c>
      <c r="E268" s="9" t="s">
        <v>2172</v>
      </c>
      <c r="F268" s="9" t="s">
        <v>62</v>
      </c>
      <c r="G268" s="9" t="s">
        <v>58</v>
      </c>
      <c r="H268" t="str" cm="1">
        <f t="array" ref="H268">_xlfn.IFS(D268&gt;=250000,"高額",D268&gt;=150000,"中額",TRUE,"低額")</f>
        <v>高額</v>
      </c>
    </row>
    <row r="269" spans="2:8" x14ac:dyDescent="0.25">
      <c r="B269" s="9" t="s">
        <v>666</v>
      </c>
      <c r="C269" s="9" t="s">
        <v>24</v>
      </c>
      <c r="D269" s="24">
        <v>31000</v>
      </c>
      <c r="E269" s="9" t="s">
        <v>2172</v>
      </c>
      <c r="F269" s="9" t="s">
        <v>62</v>
      </c>
      <c r="G269" s="9" t="s">
        <v>53</v>
      </c>
      <c r="H269" t="str" cm="1">
        <f t="array" ref="H269">_xlfn.IFS(D269&gt;=250000,"高額",D269&gt;=150000,"中額",TRUE,"低額")</f>
        <v>低額</v>
      </c>
    </row>
    <row r="270" spans="2:8" x14ac:dyDescent="0.25">
      <c r="B270" s="9" t="s">
        <v>667</v>
      </c>
      <c r="C270" s="9" t="s">
        <v>22</v>
      </c>
      <c r="D270" s="24">
        <v>70000</v>
      </c>
      <c r="E270" s="9" t="s">
        <v>2173</v>
      </c>
      <c r="F270" s="9" t="s">
        <v>65</v>
      </c>
      <c r="G270" s="9" t="s">
        <v>49</v>
      </c>
      <c r="H270" t="str" cm="1">
        <f t="array" ref="H270">_xlfn.IFS(D270&gt;=250000,"高額",D270&gt;=150000,"中額",TRUE,"低額")</f>
        <v>低額</v>
      </c>
    </row>
    <row r="271" spans="2:8" x14ac:dyDescent="0.25">
      <c r="B271" s="9" t="s">
        <v>669</v>
      </c>
      <c r="C271" s="9" t="s">
        <v>20</v>
      </c>
      <c r="D271" s="24">
        <v>169000</v>
      </c>
      <c r="E271" s="9" t="s">
        <v>2174</v>
      </c>
      <c r="F271" s="9" t="s">
        <v>65</v>
      </c>
      <c r="G271" s="9" t="s">
        <v>58</v>
      </c>
      <c r="H271" t="str" cm="1">
        <f t="array" ref="H271">_xlfn.IFS(D271&gt;=250000,"高額",D271&gt;=150000,"中額",TRUE,"低額")</f>
        <v>中額</v>
      </c>
    </row>
    <row r="272" spans="2:8" x14ac:dyDescent="0.25">
      <c r="B272" s="9" t="s">
        <v>672</v>
      </c>
      <c r="C272" s="9" t="s">
        <v>22</v>
      </c>
      <c r="D272" s="24">
        <v>207000</v>
      </c>
      <c r="E272" s="9" t="s">
        <v>2174</v>
      </c>
      <c r="F272" s="9" t="s">
        <v>63</v>
      </c>
      <c r="G272" s="9" t="s">
        <v>53</v>
      </c>
      <c r="H272" t="str" cm="1">
        <f t="array" ref="H272">_xlfn.IFS(D272&gt;=250000,"高額",D272&gt;=150000,"中額",TRUE,"低額")</f>
        <v>中額</v>
      </c>
    </row>
    <row r="273" spans="2:8" x14ac:dyDescent="0.25">
      <c r="B273" s="9" t="s">
        <v>673</v>
      </c>
      <c r="C273" s="9" t="s">
        <v>22</v>
      </c>
      <c r="D273" s="24">
        <v>142000</v>
      </c>
      <c r="E273" s="9" t="s">
        <v>2174</v>
      </c>
      <c r="F273" s="9" t="s">
        <v>66</v>
      </c>
      <c r="G273" s="9" t="s">
        <v>58</v>
      </c>
      <c r="H273" t="str" cm="1">
        <f t="array" ref="H273">_xlfn.IFS(D273&gt;=250000,"高額",D273&gt;=150000,"中額",TRUE,"低額")</f>
        <v>低額</v>
      </c>
    </row>
    <row r="274" spans="2:8" x14ac:dyDescent="0.25">
      <c r="B274" s="9" t="s">
        <v>674</v>
      </c>
      <c r="C274" s="9" t="s">
        <v>18</v>
      </c>
      <c r="D274" s="24">
        <v>290000</v>
      </c>
      <c r="E274" s="9" t="s">
        <v>2175</v>
      </c>
      <c r="F274" s="9" t="s">
        <v>66</v>
      </c>
      <c r="G274" s="9" t="s">
        <v>53</v>
      </c>
      <c r="H274" t="str" cm="1">
        <f t="array" ref="H274">_xlfn.IFS(D274&gt;=250000,"高額",D274&gt;=150000,"中額",TRUE,"低額")</f>
        <v>高額</v>
      </c>
    </row>
    <row r="275" spans="2:8" x14ac:dyDescent="0.25">
      <c r="B275" s="9" t="s">
        <v>677</v>
      </c>
      <c r="C275" s="9" t="s">
        <v>18</v>
      </c>
      <c r="D275" s="24">
        <v>128000</v>
      </c>
      <c r="E275" s="9" t="s">
        <v>2176</v>
      </c>
      <c r="F275" s="9" t="s">
        <v>65</v>
      </c>
      <c r="G275" s="9" t="s">
        <v>43</v>
      </c>
      <c r="H275" t="str" cm="1">
        <f t="array" ref="H275">_xlfn.IFS(D275&gt;=250000,"高額",D275&gt;=150000,"中額",TRUE,"低額")</f>
        <v>低額</v>
      </c>
    </row>
    <row r="276" spans="2:8" x14ac:dyDescent="0.25">
      <c r="B276" s="9" t="s">
        <v>680</v>
      </c>
      <c r="C276" s="9" t="s">
        <v>20</v>
      </c>
      <c r="D276" s="24">
        <v>124000</v>
      </c>
      <c r="E276" s="9" t="s">
        <v>2177</v>
      </c>
      <c r="F276" s="9" t="s">
        <v>64</v>
      </c>
      <c r="G276" s="9" t="s">
        <v>58</v>
      </c>
      <c r="H276" t="str" cm="1">
        <f t="array" ref="H276">_xlfn.IFS(D276&gt;=250000,"高額",D276&gt;=150000,"中額",TRUE,"低額")</f>
        <v>低額</v>
      </c>
    </row>
    <row r="277" spans="2:8" x14ac:dyDescent="0.25">
      <c r="B277" s="9" t="s">
        <v>682</v>
      </c>
      <c r="C277" s="9" t="s">
        <v>20</v>
      </c>
      <c r="D277" s="24">
        <v>284000</v>
      </c>
      <c r="E277" s="9" t="s">
        <v>2178</v>
      </c>
      <c r="F277" s="9" t="s">
        <v>66</v>
      </c>
      <c r="G277" s="9" t="s">
        <v>61</v>
      </c>
      <c r="H277" t="str" cm="1">
        <f t="array" ref="H277">_xlfn.IFS(D277&gt;=250000,"高額",D277&gt;=150000,"中額",TRUE,"低額")</f>
        <v>高額</v>
      </c>
    </row>
    <row r="278" spans="2:8" x14ac:dyDescent="0.25">
      <c r="B278" s="9" t="s">
        <v>685</v>
      </c>
      <c r="C278" s="9" t="s">
        <v>16</v>
      </c>
      <c r="D278" s="24">
        <v>191000</v>
      </c>
      <c r="E278" s="9" t="s">
        <v>2179</v>
      </c>
      <c r="F278" s="9" t="s">
        <v>67</v>
      </c>
      <c r="G278" s="9" t="s">
        <v>61</v>
      </c>
      <c r="H278" t="str" cm="1">
        <f t="array" ref="H278">_xlfn.IFS(D278&gt;=250000,"高額",D278&gt;=150000,"中額",TRUE,"低額")</f>
        <v>中額</v>
      </c>
    </row>
    <row r="279" spans="2:8" x14ac:dyDescent="0.25">
      <c r="B279" s="9" t="s">
        <v>687</v>
      </c>
      <c r="C279" s="9" t="s">
        <v>14</v>
      </c>
      <c r="D279" s="24">
        <v>107000</v>
      </c>
      <c r="E279" s="9" t="s">
        <v>2180</v>
      </c>
      <c r="F279" s="9" t="s">
        <v>63</v>
      </c>
      <c r="G279" s="9" t="s">
        <v>49</v>
      </c>
      <c r="H279" t="str" cm="1">
        <f t="array" ref="H279">_xlfn.IFS(D279&gt;=250000,"高額",D279&gt;=150000,"中額",TRUE,"低額")</f>
        <v>低額</v>
      </c>
    </row>
    <row r="280" spans="2:8" x14ac:dyDescent="0.25">
      <c r="B280" s="9" t="s">
        <v>690</v>
      </c>
      <c r="C280" s="9" t="s">
        <v>22</v>
      </c>
      <c r="D280" s="24">
        <v>234000</v>
      </c>
      <c r="E280" s="9" t="s">
        <v>2180</v>
      </c>
      <c r="F280" s="9" t="s">
        <v>62</v>
      </c>
      <c r="G280" s="9" t="s">
        <v>51</v>
      </c>
      <c r="H280" t="str" cm="1">
        <f t="array" ref="H280">_xlfn.IFS(D280&gt;=250000,"高額",D280&gt;=150000,"中額",TRUE,"低額")</f>
        <v>中額</v>
      </c>
    </row>
    <row r="281" spans="2:8" x14ac:dyDescent="0.25">
      <c r="B281" s="9" t="s">
        <v>691</v>
      </c>
      <c r="C281" s="9" t="s">
        <v>16</v>
      </c>
      <c r="D281" s="24">
        <v>214000</v>
      </c>
      <c r="E281" s="9" t="s">
        <v>2181</v>
      </c>
      <c r="F281" s="9" t="s">
        <v>64</v>
      </c>
      <c r="G281" s="9" t="s">
        <v>43</v>
      </c>
      <c r="H281" t="str" cm="1">
        <f t="array" ref="H281">_xlfn.IFS(D281&gt;=250000,"高額",D281&gt;=150000,"中額",TRUE,"低額")</f>
        <v>中額</v>
      </c>
    </row>
    <row r="282" spans="2:8" x14ac:dyDescent="0.25">
      <c r="B282" s="9" t="s">
        <v>693</v>
      </c>
      <c r="C282" s="9" t="s">
        <v>22</v>
      </c>
      <c r="D282" s="24">
        <v>182000</v>
      </c>
      <c r="E282" s="9" t="s">
        <v>2182</v>
      </c>
      <c r="F282" s="9" t="s">
        <v>62</v>
      </c>
      <c r="G282" s="9" t="s">
        <v>55</v>
      </c>
      <c r="H282" t="str" cm="1">
        <f t="array" ref="H282">_xlfn.IFS(D282&gt;=250000,"高額",D282&gt;=150000,"中額",TRUE,"低額")</f>
        <v>中額</v>
      </c>
    </row>
    <row r="283" spans="2:8" x14ac:dyDescent="0.25">
      <c r="B283" s="9" t="s">
        <v>696</v>
      </c>
      <c r="C283" s="9" t="s">
        <v>20</v>
      </c>
      <c r="D283" s="24">
        <v>276000</v>
      </c>
      <c r="E283" s="9" t="s">
        <v>2183</v>
      </c>
      <c r="F283" s="9" t="s">
        <v>65</v>
      </c>
      <c r="G283" s="9" t="s">
        <v>51</v>
      </c>
      <c r="H283" t="str" cm="1">
        <f t="array" ref="H283">_xlfn.IFS(D283&gt;=250000,"高額",D283&gt;=150000,"中額",TRUE,"低額")</f>
        <v>高額</v>
      </c>
    </row>
    <row r="284" spans="2:8" x14ac:dyDescent="0.25">
      <c r="B284" s="9" t="s">
        <v>699</v>
      </c>
      <c r="C284" s="9" t="s">
        <v>18</v>
      </c>
      <c r="D284" s="24">
        <v>51000</v>
      </c>
      <c r="E284" s="9" t="s">
        <v>2184</v>
      </c>
      <c r="F284" s="9" t="s">
        <v>67</v>
      </c>
      <c r="G284" s="9" t="s">
        <v>43</v>
      </c>
      <c r="H284" t="str" cm="1">
        <f t="array" ref="H284">_xlfn.IFS(D284&gt;=250000,"高額",D284&gt;=150000,"中額",TRUE,"低額")</f>
        <v>低額</v>
      </c>
    </row>
    <row r="285" spans="2:8" x14ac:dyDescent="0.25">
      <c r="B285" s="9" t="s">
        <v>701</v>
      </c>
      <c r="C285" s="9" t="s">
        <v>16</v>
      </c>
      <c r="D285" s="24">
        <v>84000</v>
      </c>
      <c r="E285" s="9" t="s">
        <v>2184</v>
      </c>
      <c r="F285" s="9" t="s">
        <v>63</v>
      </c>
      <c r="G285" s="9" t="s">
        <v>47</v>
      </c>
      <c r="H285" t="str" cm="1">
        <f t="array" ref="H285">_xlfn.IFS(D285&gt;=250000,"高額",D285&gt;=150000,"中額",TRUE,"低額")</f>
        <v>低額</v>
      </c>
    </row>
    <row r="286" spans="2:8" x14ac:dyDescent="0.25">
      <c r="B286" s="9" t="s">
        <v>702</v>
      </c>
      <c r="C286" s="9" t="s">
        <v>24</v>
      </c>
      <c r="D286" s="24">
        <v>61000</v>
      </c>
      <c r="E286" s="9" t="s">
        <v>2184</v>
      </c>
      <c r="F286" s="9" t="s">
        <v>64</v>
      </c>
      <c r="G286" s="9" t="s">
        <v>53</v>
      </c>
      <c r="H286" t="str" cm="1">
        <f t="array" ref="H286">_xlfn.IFS(D286&gt;=250000,"高額",D286&gt;=150000,"中額",TRUE,"低額")</f>
        <v>低額</v>
      </c>
    </row>
    <row r="287" spans="2:8" x14ac:dyDescent="0.25">
      <c r="B287" s="9" t="s">
        <v>704</v>
      </c>
      <c r="C287" s="9" t="s">
        <v>12</v>
      </c>
      <c r="D287" s="24">
        <v>187000</v>
      </c>
      <c r="E287" s="9" t="s">
        <v>2184</v>
      </c>
      <c r="F287" s="9" t="s">
        <v>66</v>
      </c>
      <c r="G287" s="9" t="s">
        <v>45</v>
      </c>
      <c r="H287" t="str" cm="1">
        <f t="array" ref="H287">_xlfn.IFS(D287&gt;=250000,"高額",D287&gt;=150000,"中額",TRUE,"低額")</f>
        <v>中額</v>
      </c>
    </row>
    <row r="288" spans="2:8" x14ac:dyDescent="0.25">
      <c r="B288" s="9" t="s">
        <v>706</v>
      </c>
      <c r="C288" s="9" t="s">
        <v>12</v>
      </c>
      <c r="D288" s="24">
        <v>126000</v>
      </c>
      <c r="E288" s="9" t="s">
        <v>2185</v>
      </c>
      <c r="F288" s="9" t="s">
        <v>64</v>
      </c>
      <c r="G288" s="9" t="s">
        <v>53</v>
      </c>
      <c r="H288" t="str" cm="1">
        <f t="array" ref="H288">_xlfn.IFS(D288&gt;=250000,"高額",D288&gt;=150000,"中額",TRUE,"低額")</f>
        <v>低額</v>
      </c>
    </row>
    <row r="289" spans="2:8" x14ac:dyDescent="0.25">
      <c r="B289" s="9" t="s">
        <v>708</v>
      </c>
      <c r="C289" s="9" t="s">
        <v>24</v>
      </c>
      <c r="D289" s="24">
        <v>217000</v>
      </c>
      <c r="E289" s="9" t="s">
        <v>2186</v>
      </c>
      <c r="F289" s="9" t="s">
        <v>67</v>
      </c>
      <c r="G289" s="9" t="s">
        <v>58</v>
      </c>
      <c r="H289" t="str" cm="1">
        <f t="array" ref="H289">_xlfn.IFS(D289&gt;=250000,"高額",D289&gt;=150000,"中額",TRUE,"低額")</f>
        <v>中額</v>
      </c>
    </row>
    <row r="290" spans="2:8" x14ac:dyDescent="0.25">
      <c r="B290" s="9" t="s">
        <v>710</v>
      </c>
      <c r="C290" s="9" t="s">
        <v>20</v>
      </c>
      <c r="D290" s="24">
        <v>153000</v>
      </c>
      <c r="E290" s="9" t="s">
        <v>2187</v>
      </c>
      <c r="F290" s="9" t="s">
        <v>64</v>
      </c>
      <c r="G290" s="9" t="s">
        <v>55</v>
      </c>
      <c r="H290" t="str" cm="1">
        <f t="array" ref="H290">_xlfn.IFS(D290&gt;=250000,"高額",D290&gt;=150000,"中額",TRUE,"低額")</f>
        <v>中額</v>
      </c>
    </row>
    <row r="291" spans="2:8" x14ac:dyDescent="0.25">
      <c r="B291" s="9" t="s">
        <v>712</v>
      </c>
      <c r="C291" s="9" t="s">
        <v>22</v>
      </c>
      <c r="D291" s="24">
        <v>170000</v>
      </c>
      <c r="E291" s="9" t="s">
        <v>2188</v>
      </c>
      <c r="F291" s="9" t="s">
        <v>65</v>
      </c>
      <c r="G291" s="9" t="s">
        <v>45</v>
      </c>
      <c r="H291" t="str" cm="1">
        <f t="array" ref="H291">_xlfn.IFS(D291&gt;=250000,"高額",D291&gt;=150000,"中額",TRUE,"低額")</f>
        <v>中額</v>
      </c>
    </row>
    <row r="292" spans="2:8" x14ac:dyDescent="0.25">
      <c r="B292" s="9" t="s">
        <v>714</v>
      </c>
      <c r="C292" s="9" t="s">
        <v>16</v>
      </c>
      <c r="D292" s="24">
        <v>136000</v>
      </c>
      <c r="E292" s="9" t="s">
        <v>2188</v>
      </c>
      <c r="F292" s="9" t="s">
        <v>65</v>
      </c>
      <c r="G292" s="9" t="s">
        <v>47</v>
      </c>
      <c r="H292" t="str" cm="1">
        <f t="array" ref="H292">_xlfn.IFS(D292&gt;=250000,"高額",D292&gt;=150000,"中額",TRUE,"低額")</f>
        <v>低額</v>
      </c>
    </row>
    <row r="293" spans="2:8" x14ac:dyDescent="0.25">
      <c r="B293" s="9" t="s">
        <v>715</v>
      </c>
      <c r="C293" s="9" t="s">
        <v>12</v>
      </c>
      <c r="D293" s="24">
        <v>273000</v>
      </c>
      <c r="E293" s="9" t="s">
        <v>2189</v>
      </c>
      <c r="F293" s="9" t="s">
        <v>66</v>
      </c>
      <c r="G293" s="9" t="s">
        <v>61</v>
      </c>
      <c r="H293" t="str" cm="1">
        <f t="array" ref="H293">_xlfn.IFS(D293&gt;=250000,"高額",D293&gt;=150000,"中額",TRUE,"低額")</f>
        <v>高額</v>
      </c>
    </row>
    <row r="294" spans="2:8" x14ac:dyDescent="0.25">
      <c r="B294" s="9" t="s">
        <v>717</v>
      </c>
      <c r="C294" s="9" t="s">
        <v>12</v>
      </c>
      <c r="D294" s="24">
        <v>242000</v>
      </c>
      <c r="E294" s="9" t="s">
        <v>2190</v>
      </c>
      <c r="F294" s="9" t="s">
        <v>64</v>
      </c>
      <c r="G294" s="9" t="s">
        <v>53</v>
      </c>
      <c r="H294" t="str" cm="1">
        <f t="array" ref="H294">_xlfn.IFS(D294&gt;=250000,"高額",D294&gt;=150000,"中額",TRUE,"低額")</f>
        <v>中額</v>
      </c>
    </row>
    <row r="295" spans="2:8" x14ac:dyDescent="0.25">
      <c r="B295" s="9" t="s">
        <v>720</v>
      </c>
      <c r="C295" s="9" t="s">
        <v>16</v>
      </c>
      <c r="D295" s="24">
        <v>64000</v>
      </c>
      <c r="E295" s="9" t="s">
        <v>2190</v>
      </c>
      <c r="F295" s="9" t="s">
        <v>64</v>
      </c>
      <c r="G295" s="9" t="s">
        <v>58</v>
      </c>
      <c r="H295" t="str" cm="1">
        <f t="array" ref="H295">_xlfn.IFS(D295&gt;=250000,"高額",D295&gt;=150000,"中額",TRUE,"低額")</f>
        <v>低額</v>
      </c>
    </row>
    <row r="296" spans="2:8" x14ac:dyDescent="0.25">
      <c r="B296" s="9" t="s">
        <v>721</v>
      </c>
      <c r="C296" s="9" t="s">
        <v>22</v>
      </c>
      <c r="D296" s="24">
        <v>233000</v>
      </c>
      <c r="E296" s="9" t="s">
        <v>2191</v>
      </c>
      <c r="F296" s="9" t="s">
        <v>67</v>
      </c>
      <c r="G296" s="9" t="s">
        <v>45</v>
      </c>
      <c r="H296" t="str" cm="1">
        <f t="array" ref="H296">_xlfn.IFS(D296&gt;=250000,"高額",D296&gt;=150000,"中額",TRUE,"低額")</f>
        <v>中額</v>
      </c>
    </row>
    <row r="297" spans="2:8" x14ac:dyDescent="0.25">
      <c r="B297" s="9" t="s">
        <v>724</v>
      </c>
      <c r="C297" s="9" t="s">
        <v>20</v>
      </c>
      <c r="D297" s="24">
        <v>148000</v>
      </c>
      <c r="E297" s="9" t="s">
        <v>2191</v>
      </c>
      <c r="F297" s="9" t="s">
        <v>67</v>
      </c>
      <c r="G297" s="9" t="s">
        <v>61</v>
      </c>
      <c r="H297" t="str" cm="1">
        <f t="array" ref="H297">_xlfn.IFS(D297&gt;=250000,"高額",D297&gt;=150000,"中額",TRUE,"低額")</f>
        <v>低額</v>
      </c>
    </row>
    <row r="298" spans="2:8" x14ac:dyDescent="0.25">
      <c r="B298" s="9" t="s">
        <v>726</v>
      </c>
      <c r="C298" s="9" t="s">
        <v>18</v>
      </c>
      <c r="D298" s="24">
        <v>77000</v>
      </c>
      <c r="E298" s="9" t="s">
        <v>2192</v>
      </c>
      <c r="F298" s="9" t="s">
        <v>67</v>
      </c>
      <c r="G298" s="9" t="s">
        <v>43</v>
      </c>
      <c r="H298" t="str" cm="1">
        <f t="array" ref="H298">_xlfn.IFS(D298&gt;=250000,"高額",D298&gt;=150000,"中額",TRUE,"低額")</f>
        <v>低額</v>
      </c>
    </row>
    <row r="299" spans="2:8" x14ac:dyDescent="0.25">
      <c r="B299" s="9" t="s">
        <v>729</v>
      </c>
      <c r="C299" s="9" t="s">
        <v>16</v>
      </c>
      <c r="D299" s="24">
        <v>179000</v>
      </c>
      <c r="E299" s="9" t="s">
        <v>2192</v>
      </c>
      <c r="F299" s="9" t="s">
        <v>65</v>
      </c>
      <c r="G299" s="9" t="s">
        <v>45</v>
      </c>
      <c r="H299" t="str" cm="1">
        <f t="array" ref="H299">_xlfn.IFS(D299&gt;=250000,"高額",D299&gt;=150000,"中額",TRUE,"低額")</f>
        <v>中額</v>
      </c>
    </row>
    <row r="300" spans="2:8" x14ac:dyDescent="0.25">
      <c r="B300" s="9" t="s">
        <v>731</v>
      </c>
      <c r="C300" s="9" t="s">
        <v>24</v>
      </c>
      <c r="D300" s="24">
        <v>108000</v>
      </c>
      <c r="E300" s="9" t="s">
        <v>2193</v>
      </c>
      <c r="F300" s="9" t="s">
        <v>66</v>
      </c>
      <c r="G300" s="9" t="s">
        <v>47</v>
      </c>
      <c r="H300" t="str" cm="1">
        <f t="array" ref="H300">_xlfn.IFS(D300&gt;=250000,"高額",D300&gt;=150000,"中額",TRUE,"低額")</f>
        <v>低額</v>
      </c>
    </row>
    <row r="301" spans="2:8" x14ac:dyDescent="0.25">
      <c r="B301" s="9" t="s">
        <v>733</v>
      </c>
      <c r="C301" s="9" t="s">
        <v>16</v>
      </c>
      <c r="D301" s="24">
        <v>61000</v>
      </c>
      <c r="E301" s="9" t="s">
        <v>2194</v>
      </c>
      <c r="F301" s="9" t="s">
        <v>63</v>
      </c>
      <c r="G301" s="9" t="s">
        <v>53</v>
      </c>
      <c r="H301" t="str" cm="1">
        <f t="array" ref="H301">_xlfn.IFS(D301&gt;=250000,"高額",D301&gt;=150000,"中額",TRUE,"低額")</f>
        <v>低額</v>
      </c>
    </row>
    <row r="302" spans="2:8" x14ac:dyDescent="0.25">
      <c r="B302" s="9" t="s">
        <v>735</v>
      </c>
      <c r="C302" s="9" t="s">
        <v>14</v>
      </c>
      <c r="D302" s="24">
        <v>291000</v>
      </c>
      <c r="E302" s="9" t="s">
        <v>2194</v>
      </c>
      <c r="F302" s="9" t="s">
        <v>64</v>
      </c>
      <c r="G302" s="9" t="s">
        <v>55</v>
      </c>
      <c r="H302" t="str" cm="1">
        <f t="array" ref="H302">_xlfn.IFS(D302&gt;=250000,"高額",D302&gt;=150000,"中額",TRUE,"低額")</f>
        <v>高額</v>
      </c>
    </row>
    <row r="303" spans="2:8" x14ac:dyDescent="0.25">
      <c r="B303" s="9" t="s">
        <v>737</v>
      </c>
      <c r="C303" s="9" t="s">
        <v>24</v>
      </c>
      <c r="D303" s="24">
        <v>285000</v>
      </c>
      <c r="E303" s="9" t="s">
        <v>2195</v>
      </c>
      <c r="F303" s="9" t="s">
        <v>66</v>
      </c>
      <c r="G303" s="9" t="s">
        <v>49</v>
      </c>
      <c r="H303" t="str" cm="1">
        <f t="array" ref="H303">_xlfn.IFS(D303&gt;=250000,"高額",D303&gt;=150000,"中額",TRUE,"低額")</f>
        <v>高額</v>
      </c>
    </row>
    <row r="304" spans="2:8" x14ac:dyDescent="0.25">
      <c r="B304" s="9" t="s">
        <v>739</v>
      </c>
      <c r="C304" s="9" t="s">
        <v>14</v>
      </c>
      <c r="D304" s="24">
        <v>237000</v>
      </c>
      <c r="E304" s="9" t="s">
        <v>2195</v>
      </c>
      <c r="F304" s="9" t="s">
        <v>63</v>
      </c>
      <c r="G304" s="9" t="s">
        <v>49</v>
      </c>
      <c r="H304" t="str" cm="1">
        <f t="array" ref="H304">_xlfn.IFS(D304&gt;=250000,"高額",D304&gt;=150000,"中額",TRUE,"低額")</f>
        <v>中額</v>
      </c>
    </row>
    <row r="305" spans="2:8" x14ac:dyDescent="0.25">
      <c r="B305" s="9" t="s">
        <v>741</v>
      </c>
      <c r="C305" s="9" t="s">
        <v>12</v>
      </c>
      <c r="D305" s="24">
        <v>237000</v>
      </c>
      <c r="E305" s="9" t="s">
        <v>2195</v>
      </c>
      <c r="F305" s="9" t="s">
        <v>62</v>
      </c>
      <c r="G305" s="9" t="s">
        <v>51</v>
      </c>
      <c r="H305" t="str" cm="1">
        <f t="array" ref="H305">_xlfn.IFS(D305&gt;=250000,"高額",D305&gt;=150000,"中額",TRUE,"低額")</f>
        <v>中額</v>
      </c>
    </row>
    <row r="306" spans="2:8" x14ac:dyDescent="0.25">
      <c r="B306" s="9" t="s">
        <v>742</v>
      </c>
      <c r="C306" s="9" t="s">
        <v>16</v>
      </c>
      <c r="D306" s="24">
        <v>217000</v>
      </c>
      <c r="E306" s="9" t="s">
        <v>2196</v>
      </c>
      <c r="F306" s="9" t="s">
        <v>67</v>
      </c>
      <c r="G306" s="9" t="s">
        <v>55</v>
      </c>
      <c r="H306" t="str" cm="1">
        <f t="array" ref="H306">_xlfn.IFS(D306&gt;=250000,"高額",D306&gt;=150000,"中額",TRUE,"低額")</f>
        <v>中額</v>
      </c>
    </row>
    <row r="307" spans="2:8" x14ac:dyDescent="0.25">
      <c r="B307" s="9" t="s">
        <v>744</v>
      </c>
      <c r="C307" s="9" t="s">
        <v>18</v>
      </c>
      <c r="D307" s="24">
        <v>173000</v>
      </c>
      <c r="E307" s="9" t="s">
        <v>2197</v>
      </c>
      <c r="F307" s="9" t="s">
        <v>65</v>
      </c>
      <c r="G307" s="9" t="s">
        <v>53</v>
      </c>
      <c r="H307" t="str" cm="1">
        <f t="array" ref="H307">_xlfn.IFS(D307&gt;=250000,"高額",D307&gt;=150000,"中額",TRUE,"低額")</f>
        <v>中額</v>
      </c>
    </row>
    <row r="308" spans="2:8" x14ac:dyDescent="0.25">
      <c r="B308" s="9" t="s">
        <v>746</v>
      </c>
      <c r="C308" s="9" t="s">
        <v>24</v>
      </c>
      <c r="D308" s="24">
        <v>185000</v>
      </c>
      <c r="E308" s="9" t="s">
        <v>2198</v>
      </c>
      <c r="F308" s="9" t="s">
        <v>62</v>
      </c>
      <c r="G308" s="9" t="s">
        <v>61</v>
      </c>
      <c r="H308" t="str" cm="1">
        <f t="array" ref="H308">_xlfn.IFS(D308&gt;=250000,"高額",D308&gt;=150000,"中額",TRUE,"低額")</f>
        <v>中額</v>
      </c>
    </row>
    <row r="309" spans="2:8" x14ac:dyDescent="0.25">
      <c r="B309" s="9" t="s">
        <v>749</v>
      </c>
      <c r="C309" s="9" t="s">
        <v>16</v>
      </c>
      <c r="D309" s="24">
        <v>86000</v>
      </c>
      <c r="E309" s="9" t="s">
        <v>2198</v>
      </c>
      <c r="F309" s="9" t="s">
        <v>67</v>
      </c>
      <c r="G309" s="9" t="s">
        <v>61</v>
      </c>
      <c r="H309" t="str" cm="1">
        <f t="array" ref="H309">_xlfn.IFS(D309&gt;=250000,"高額",D309&gt;=150000,"中額",TRUE,"低額")</f>
        <v>低額</v>
      </c>
    </row>
    <row r="310" spans="2:8" x14ac:dyDescent="0.25">
      <c r="B310" s="9" t="s">
        <v>750</v>
      </c>
      <c r="C310" s="9" t="s">
        <v>22</v>
      </c>
      <c r="D310" s="24">
        <v>78000</v>
      </c>
      <c r="E310" s="9" t="s">
        <v>2198</v>
      </c>
      <c r="F310" s="9" t="s">
        <v>67</v>
      </c>
      <c r="G310" s="9" t="s">
        <v>61</v>
      </c>
      <c r="H310" t="str" cm="1">
        <f t="array" ref="H310">_xlfn.IFS(D310&gt;=250000,"高額",D310&gt;=150000,"中額",TRUE,"低額")</f>
        <v>低額</v>
      </c>
    </row>
    <row r="311" spans="2:8" x14ac:dyDescent="0.25">
      <c r="B311" s="9" t="s">
        <v>751</v>
      </c>
      <c r="C311" s="9" t="s">
        <v>20</v>
      </c>
      <c r="D311" s="24">
        <v>223000</v>
      </c>
      <c r="E311" s="9" t="s">
        <v>2198</v>
      </c>
      <c r="F311" s="9" t="s">
        <v>65</v>
      </c>
      <c r="G311" s="9" t="s">
        <v>51</v>
      </c>
      <c r="H311" t="str" cm="1">
        <f t="array" ref="H311">_xlfn.IFS(D311&gt;=250000,"高額",D311&gt;=150000,"中額",TRUE,"低額")</f>
        <v>中額</v>
      </c>
    </row>
    <row r="312" spans="2:8" x14ac:dyDescent="0.25">
      <c r="B312" s="9" t="s">
        <v>753</v>
      </c>
      <c r="C312" s="9" t="s">
        <v>18</v>
      </c>
      <c r="D312" s="24">
        <v>175000</v>
      </c>
      <c r="E312" s="9" t="s">
        <v>2199</v>
      </c>
      <c r="F312" s="9" t="s">
        <v>65</v>
      </c>
      <c r="G312" s="9" t="s">
        <v>53</v>
      </c>
      <c r="H312" t="str" cm="1">
        <f t="array" ref="H312">_xlfn.IFS(D312&gt;=250000,"高額",D312&gt;=150000,"中額",TRUE,"低額")</f>
        <v>中額</v>
      </c>
    </row>
    <row r="313" spans="2:8" x14ac:dyDescent="0.25">
      <c r="B313" s="9" t="s">
        <v>756</v>
      </c>
      <c r="C313" s="9" t="s">
        <v>12</v>
      </c>
      <c r="D313" s="24">
        <v>89000</v>
      </c>
      <c r="E313" s="9" t="s">
        <v>2200</v>
      </c>
      <c r="F313" s="9" t="s">
        <v>62</v>
      </c>
      <c r="G313" s="9" t="s">
        <v>47</v>
      </c>
      <c r="H313" t="str" cm="1">
        <f t="array" ref="H313">_xlfn.IFS(D313&gt;=250000,"高額",D313&gt;=150000,"中額",TRUE,"低額")</f>
        <v>低額</v>
      </c>
    </row>
    <row r="314" spans="2:8" x14ac:dyDescent="0.25">
      <c r="B314" s="9" t="s">
        <v>759</v>
      </c>
      <c r="C314" s="9" t="s">
        <v>22</v>
      </c>
      <c r="D314" s="24">
        <v>206000</v>
      </c>
      <c r="E314" s="9" t="s">
        <v>2201</v>
      </c>
      <c r="F314" s="9" t="s">
        <v>64</v>
      </c>
      <c r="G314" s="9" t="s">
        <v>61</v>
      </c>
      <c r="H314" t="str" cm="1">
        <f t="array" ref="H314">_xlfn.IFS(D314&gt;=250000,"高額",D314&gt;=150000,"中額",TRUE,"低額")</f>
        <v>中額</v>
      </c>
    </row>
    <row r="315" spans="2:8" x14ac:dyDescent="0.25">
      <c r="B315" s="9" t="s">
        <v>762</v>
      </c>
      <c r="C315" s="9" t="s">
        <v>14</v>
      </c>
      <c r="D315" s="24">
        <v>80000</v>
      </c>
      <c r="E315" s="9" t="s">
        <v>2202</v>
      </c>
      <c r="F315" s="9" t="s">
        <v>62</v>
      </c>
      <c r="G315" s="9" t="s">
        <v>55</v>
      </c>
      <c r="H315" t="str" cm="1">
        <f t="array" ref="H315">_xlfn.IFS(D315&gt;=250000,"高額",D315&gt;=150000,"中額",TRUE,"低額")</f>
        <v>低額</v>
      </c>
    </row>
    <row r="316" spans="2:8" x14ac:dyDescent="0.25">
      <c r="B316" s="9" t="s">
        <v>764</v>
      </c>
      <c r="C316" s="9" t="s">
        <v>14</v>
      </c>
      <c r="D316" s="24">
        <v>159000</v>
      </c>
      <c r="E316" s="9" t="s">
        <v>2203</v>
      </c>
      <c r="F316" s="9" t="s">
        <v>66</v>
      </c>
      <c r="G316" s="9" t="s">
        <v>51</v>
      </c>
      <c r="H316" t="str" cm="1">
        <f t="array" ref="H316">_xlfn.IFS(D316&gt;=250000,"高額",D316&gt;=150000,"中額",TRUE,"低額")</f>
        <v>中額</v>
      </c>
    </row>
    <row r="317" spans="2:8" x14ac:dyDescent="0.25">
      <c r="B317" s="9" t="s">
        <v>767</v>
      </c>
      <c r="C317" s="9" t="s">
        <v>20</v>
      </c>
      <c r="D317" s="24">
        <v>225000</v>
      </c>
      <c r="E317" s="9" t="s">
        <v>2203</v>
      </c>
      <c r="F317" s="9" t="s">
        <v>66</v>
      </c>
      <c r="G317" s="9" t="s">
        <v>61</v>
      </c>
      <c r="H317" t="str" cm="1">
        <f t="array" ref="H317">_xlfn.IFS(D317&gt;=250000,"高額",D317&gt;=150000,"中額",TRUE,"低額")</f>
        <v>中額</v>
      </c>
    </row>
    <row r="318" spans="2:8" x14ac:dyDescent="0.25">
      <c r="B318" s="9" t="s">
        <v>768</v>
      </c>
      <c r="C318" s="9" t="s">
        <v>14</v>
      </c>
      <c r="D318" s="24">
        <v>145000</v>
      </c>
      <c r="E318" s="9" t="s">
        <v>2204</v>
      </c>
      <c r="F318" s="9" t="s">
        <v>66</v>
      </c>
      <c r="G318" s="9" t="s">
        <v>61</v>
      </c>
      <c r="H318" t="str" cm="1">
        <f t="array" ref="H318">_xlfn.IFS(D318&gt;=250000,"高額",D318&gt;=150000,"中額",TRUE,"低額")</f>
        <v>低額</v>
      </c>
    </row>
    <row r="319" spans="2:8" x14ac:dyDescent="0.25">
      <c r="B319" s="9" t="s">
        <v>770</v>
      </c>
      <c r="C319" s="9" t="s">
        <v>24</v>
      </c>
      <c r="D319" s="24">
        <v>70000</v>
      </c>
      <c r="E319" s="9" t="s">
        <v>2204</v>
      </c>
      <c r="F319" s="9" t="s">
        <v>65</v>
      </c>
      <c r="G319" s="9" t="s">
        <v>53</v>
      </c>
      <c r="H319" t="str" cm="1">
        <f t="array" ref="H319">_xlfn.IFS(D319&gt;=250000,"高額",D319&gt;=150000,"中額",TRUE,"低額")</f>
        <v>低額</v>
      </c>
    </row>
    <row r="320" spans="2:8" x14ac:dyDescent="0.25">
      <c r="B320" s="9" t="s">
        <v>771</v>
      </c>
      <c r="C320" s="9" t="s">
        <v>12</v>
      </c>
      <c r="D320" s="24">
        <v>288000</v>
      </c>
      <c r="E320" s="9" t="s">
        <v>2205</v>
      </c>
      <c r="F320" s="9" t="s">
        <v>67</v>
      </c>
      <c r="G320" s="9" t="s">
        <v>45</v>
      </c>
      <c r="H320" t="str" cm="1">
        <f t="array" ref="H320">_xlfn.IFS(D320&gt;=250000,"高額",D320&gt;=150000,"中額",TRUE,"低額")</f>
        <v>高額</v>
      </c>
    </row>
    <row r="321" spans="2:8" x14ac:dyDescent="0.25">
      <c r="B321" s="9" t="s">
        <v>774</v>
      </c>
      <c r="C321" s="9" t="s">
        <v>12</v>
      </c>
      <c r="D321" s="24">
        <v>206000</v>
      </c>
      <c r="E321" s="9" t="s">
        <v>2206</v>
      </c>
      <c r="F321" s="9" t="s">
        <v>65</v>
      </c>
      <c r="G321" s="9" t="s">
        <v>49</v>
      </c>
      <c r="H321" t="str" cm="1">
        <f t="array" ref="H321">_xlfn.IFS(D321&gt;=250000,"高額",D321&gt;=150000,"中額",TRUE,"低額")</f>
        <v>中額</v>
      </c>
    </row>
    <row r="322" spans="2:8" x14ac:dyDescent="0.25">
      <c r="B322" s="9" t="s">
        <v>776</v>
      </c>
      <c r="C322" s="9" t="s">
        <v>18</v>
      </c>
      <c r="D322" s="24">
        <v>284000</v>
      </c>
      <c r="E322" s="9" t="s">
        <v>2207</v>
      </c>
      <c r="F322" s="9" t="s">
        <v>63</v>
      </c>
      <c r="G322" s="9" t="s">
        <v>47</v>
      </c>
      <c r="H322" t="str" cm="1">
        <f t="array" ref="H322">_xlfn.IFS(D322&gt;=250000,"高額",D322&gt;=150000,"中額",TRUE,"低額")</f>
        <v>高額</v>
      </c>
    </row>
    <row r="323" spans="2:8" x14ac:dyDescent="0.25">
      <c r="B323" s="9" t="s">
        <v>778</v>
      </c>
      <c r="C323" s="9" t="s">
        <v>18</v>
      </c>
      <c r="D323" s="24">
        <v>209000</v>
      </c>
      <c r="E323" s="9" t="s">
        <v>2207</v>
      </c>
      <c r="F323" s="9" t="s">
        <v>62</v>
      </c>
      <c r="G323" s="9" t="s">
        <v>47</v>
      </c>
      <c r="H323" t="str" cm="1">
        <f t="array" ref="H323">_xlfn.IFS(D323&gt;=250000,"高額",D323&gt;=150000,"中額",TRUE,"低額")</f>
        <v>中額</v>
      </c>
    </row>
    <row r="324" spans="2:8" x14ac:dyDescent="0.25">
      <c r="B324" s="9" t="s">
        <v>780</v>
      </c>
      <c r="C324" s="9" t="s">
        <v>16</v>
      </c>
      <c r="D324" s="24">
        <v>290000</v>
      </c>
      <c r="E324" s="9" t="s">
        <v>2208</v>
      </c>
      <c r="F324" s="9" t="s">
        <v>65</v>
      </c>
      <c r="G324" s="9" t="s">
        <v>58</v>
      </c>
      <c r="H324" t="str" cm="1">
        <f t="array" ref="H324">_xlfn.IFS(D324&gt;=250000,"高額",D324&gt;=150000,"中額",TRUE,"低額")</f>
        <v>高額</v>
      </c>
    </row>
    <row r="325" spans="2:8" x14ac:dyDescent="0.25">
      <c r="B325" s="9" t="s">
        <v>782</v>
      </c>
      <c r="C325" s="9" t="s">
        <v>22</v>
      </c>
      <c r="D325" s="24">
        <v>263000</v>
      </c>
      <c r="E325" s="9" t="s">
        <v>2209</v>
      </c>
      <c r="F325" s="9" t="s">
        <v>64</v>
      </c>
      <c r="G325" s="9" t="s">
        <v>49</v>
      </c>
      <c r="H325" t="str" cm="1">
        <f t="array" ref="H325">_xlfn.IFS(D325&gt;=250000,"高額",D325&gt;=150000,"中額",TRUE,"低額")</f>
        <v>高額</v>
      </c>
    </row>
    <row r="326" spans="2:8" x14ac:dyDescent="0.25">
      <c r="B326" s="9" t="s">
        <v>785</v>
      </c>
      <c r="C326" s="9" t="s">
        <v>22</v>
      </c>
      <c r="D326" s="24">
        <v>236000</v>
      </c>
      <c r="E326" s="9" t="s">
        <v>2210</v>
      </c>
      <c r="F326" s="9" t="s">
        <v>67</v>
      </c>
      <c r="G326" s="9" t="s">
        <v>55</v>
      </c>
      <c r="H326" t="str" cm="1">
        <f t="array" ref="H326">_xlfn.IFS(D326&gt;=250000,"高額",D326&gt;=150000,"中額",TRUE,"低額")</f>
        <v>中額</v>
      </c>
    </row>
    <row r="327" spans="2:8" x14ac:dyDescent="0.25">
      <c r="B327" s="9" t="s">
        <v>788</v>
      </c>
      <c r="C327" s="9" t="s">
        <v>18</v>
      </c>
      <c r="D327" s="24">
        <v>114000</v>
      </c>
      <c r="E327" s="9" t="s">
        <v>2211</v>
      </c>
      <c r="F327" s="9" t="s">
        <v>62</v>
      </c>
      <c r="G327" s="9" t="s">
        <v>55</v>
      </c>
      <c r="H327" t="str" cm="1">
        <f t="array" ref="H327">_xlfn.IFS(D327&gt;=250000,"高額",D327&gt;=150000,"中額",TRUE,"低額")</f>
        <v>低額</v>
      </c>
    </row>
    <row r="328" spans="2:8" x14ac:dyDescent="0.25">
      <c r="B328" s="9" t="s">
        <v>791</v>
      </c>
      <c r="C328" s="9" t="s">
        <v>18</v>
      </c>
      <c r="D328" s="24">
        <v>178000</v>
      </c>
      <c r="E328" s="9" t="s">
        <v>2212</v>
      </c>
      <c r="F328" s="9" t="s">
        <v>65</v>
      </c>
      <c r="G328" s="9" t="s">
        <v>55</v>
      </c>
      <c r="H328" t="str" cm="1">
        <f t="array" ref="H328">_xlfn.IFS(D328&gt;=250000,"高額",D328&gt;=150000,"中額",TRUE,"低額")</f>
        <v>中額</v>
      </c>
    </row>
    <row r="329" spans="2:8" x14ac:dyDescent="0.25">
      <c r="B329" s="9" t="s">
        <v>794</v>
      </c>
      <c r="C329" s="9" t="s">
        <v>12</v>
      </c>
      <c r="D329" s="24">
        <v>105000</v>
      </c>
      <c r="E329" s="9" t="s">
        <v>2212</v>
      </c>
      <c r="F329" s="9" t="s">
        <v>63</v>
      </c>
      <c r="G329" s="9" t="s">
        <v>55</v>
      </c>
      <c r="H329" t="str" cm="1">
        <f t="array" ref="H329">_xlfn.IFS(D329&gt;=250000,"高額",D329&gt;=150000,"中額",TRUE,"低額")</f>
        <v>低額</v>
      </c>
    </row>
    <row r="330" spans="2:8" x14ac:dyDescent="0.25">
      <c r="B330" s="9" t="s">
        <v>795</v>
      </c>
      <c r="C330" s="9" t="s">
        <v>16</v>
      </c>
      <c r="D330" s="24">
        <v>221000</v>
      </c>
      <c r="E330" s="9" t="s">
        <v>2213</v>
      </c>
      <c r="F330" s="9" t="s">
        <v>63</v>
      </c>
      <c r="G330" s="9" t="s">
        <v>43</v>
      </c>
      <c r="H330" t="str" cm="1">
        <f t="array" ref="H330">_xlfn.IFS(D330&gt;=250000,"高額",D330&gt;=150000,"中額",TRUE,"低額")</f>
        <v>中額</v>
      </c>
    </row>
    <row r="331" spans="2:8" x14ac:dyDescent="0.25">
      <c r="B331" s="9" t="s">
        <v>798</v>
      </c>
      <c r="C331" s="9" t="s">
        <v>22</v>
      </c>
      <c r="D331" s="24">
        <v>53000</v>
      </c>
      <c r="E331" s="9" t="s">
        <v>2214</v>
      </c>
      <c r="F331" s="9" t="s">
        <v>63</v>
      </c>
      <c r="G331" s="9" t="s">
        <v>43</v>
      </c>
      <c r="H331" t="str" cm="1">
        <f t="array" ref="H331">_xlfn.IFS(D331&gt;=250000,"高額",D331&gt;=150000,"中額",TRUE,"低額")</f>
        <v>低額</v>
      </c>
    </row>
    <row r="332" spans="2:8" x14ac:dyDescent="0.25">
      <c r="B332" s="9" t="s">
        <v>800</v>
      </c>
      <c r="C332" s="9" t="s">
        <v>16</v>
      </c>
      <c r="D332" s="24">
        <v>202000</v>
      </c>
      <c r="E332" s="9" t="s">
        <v>2215</v>
      </c>
      <c r="F332" s="9" t="s">
        <v>66</v>
      </c>
      <c r="G332" s="9" t="s">
        <v>51</v>
      </c>
      <c r="H332" t="str" cm="1">
        <f t="array" ref="H332">_xlfn.IFS(D332&gt;=250000,"高額",D332&gt;=150000,"中額",TRUE,"低額")</f>
        <v>中額</v>
      </c>
    </row>
    <row r="333" spans="2:8" x14ac:dyDescent="0.25">
      <c r="B333" s="9" t="s">
        <v>802</v>
      </c>
      <c r="C333" s="9" t="s">
        <v>18</v>
      </c>
      <c r="D333" s="24">
        <v>270000</v>
      </c>
      <c r="E333" s="9" t="s">
        <v>2215</v>
      </c>
      <c r="F333" s="9" t="s">
        <v>66</v>
      </c>
      <c r="G333" s="9" t="s">
        <v>55</v>
      </c>
      <c r="H333" t="str" cm="1">
        <f t="array" ref="H333">_xlfn.IFS(D333&gt;=250000,"高額",D333&gt;=150000,"中額",TRUE,"低額")</f>
        <v>高額</v>
      </c>
    </row>
    <row r="334" spans="2:8" x14ac:dyDescent="0.25">
      <c r="B334" s="9" t="s">
        <v>803</v>
      </c>
      <c r="C334" s="9" t="s">
        <v>18</v>
      </c>
      <c r="D334" s="24">
        <v>140000</v>
      </c>
      <c r="E334" s="9" t="s">
        <v>2215</v>
      </c>
      <c r="F334" s="9" t="s">
        <v>67</v>
      </c>
      <c r="G334" s="9" t="s">
        <v>49</v>
      </c>
      <c r="H334" t="str" cm="1">
        <f t="array" ref="H334">_xlfn.IFS(D334&gt;=250000,"高額",D334&gt;=150000,"中額",TRUE,"低額")</f>
        <v>低額</v>
      </c>
    </row>
    <row r="335" spans="2:8" x14ac:dyDescent="0.25">
      <c r="B335" s="9" t="s">
        <v>805</v>
      </c>
      <c r="C335" s="9" t="s">
        <v>18</v>
      </c>
      <c r="D335" s="24">
        <v>85000</v>
      </c>
      <c r="E335" s="9" t="s">
        <v>2216</v>
      </c>
      <c r="F335" s="9" t="s">
        <v>62</v>
      </c>
      <c r="G335" s="9" t="s">
        <v>55</v>
      </c>
      <c r="H335" t="str" cm="1">
        <f t="array" ref="H335">_xlfn.IFS(D335&gt;=250000,"高額",D335&gt;=150000,"中額",TRUE,"低額")</f>
        <v>低額</v>
      </c>
    </row>
    <row r="336" spans="2:8" x14ac:dyDescent="0.25">
      <c r="B336" s="9" t="s">
        <v>808</v>
      </c>
      <c r="C336" s="9" t="s">
        <v>18</v>
      </c>
      <c r="D336" s="24">
        <v>88000</v>
      </c>
      <c r="E336" s="9" t="s">
        <v>2216</v>
      </c>
      <c r="F336" s="9" t="s">
        <v>67</v>
      </c>
      <c r="G336" s="9" t="s">
        <v>43</v>
      </c>
      <c r="H336" t="str" cm="1">
        <f t="array" ref="H336">_xlfn.IFS(D336&gt;=250000,"高額",D336&gt;=150000,"中額",TRUE,"低額")</f>
        <v>低額</v>
      </c>
    </row>
    <row r="337" spans="2:8" x14ac:dyDescent="0.25">
      <c r="B337" s="9" t="s">
        <v>809</v>
      </c>
      <c r="C337" s="9" t="s">
        <v>20</v>
      </c>
      <c r="D337" s="24">
        <v>103000</v>
      </c>
      <c r="E337" s="9" t="s">
        <v>2217</v>
      </c>
      <c r="F337" s="9" t="s">
        <v>62</v>
      </c>
      <c r="G337" s="9" t="s">
        <v>61</v>
      </c>
      <c r="H337" t="str" cm="1">
        <f t="array" ref="H337">_xlfn.IFS(D337&gt;=250000,"高額",D337&gt;=150000,"中額",TRUE,"低額")</f>
        <v>低額</v>
      </c>
    </row>
    <row r="338" spans="2:8" x14ac:dyDescent="0.25">
      <c r="B338" s="9" t="s">
        <v>812</v>
      </c>
      <c r="C338" s="9" t="s">
        <v>12</v>
      </c>
      <c r="D338" s="24">
        <v>227000</v>
      </c>
      <c r="E338" s="9" t="s">
        <v>2218</v>
      </c>
      <c r="F338" s="9" t="s">
        <v>62</v>
      </c>
      <c r="G338" s="9" t="s">
        <v>47</v>
      </c>
      <c r="H338" t="str" cm="1">
        <f t="array" ref="H338">_xlfn.IFS(D338&gt;=250000,"高額",D338&gt;=150000,"中額",TRUE,"低額")</f>
        <v>中額</v>
      </c>
    </row>
    <row r="339" spans="2:8" x14ac:dyDescent="0.25">
      <c r="B339" s="9" t="s">
        <v>814</v>
      </c>
      <c r="C339" s="9" t="s">
        <v>20</v>
      </c>
      <c r="D339" s="24">
        <v>280000</v>
      </c>
      <c r="E339" s="9" t="s">
        <v>2218</v>
      </c>
      <c r="F339" s="9" t="s">
        <v>63</v>
      </c>
      <c r="G339" s="9" t="s">
        <v>49</v>
      </c>
      <c r="H339" t="str" cm="1">
        <f t="array" ref="H339">_xlfn.IFS(D339&gt;=250000,"高額",D339&gt;=150000,"中額",TRUE,"低額")</f>
        <v>高額</v>
      </c>
    </row>
    <row r="340" spans="2:8" x14ac:dyDescent="0.25">
      <c r="B340" s="9" t="s">
        <v>816</v>
      </c>
      <c r="C340" s="9" t="s">
        <v>18</v>
      </c>
      <c r="D340" s="24">
        <v>112000</v>
      </c>
      <c r="E340" s="9" t="s">
        <v>2219</v>
      </c>
      <c r="F340" s="9" t="s">
        <v>62</v>
      </c>
      <c r="G340" s="9" t="s">
        <v>49</v>
      </c>
      <c r="H340" t="str" cm="1">
        <f t="array" ref="H340">_xlfn.IFS(D340&gt;=250000,"高額",D340&gt;=150000,"中額",TRUE,"低額")</f>
        <v>低額</v>
      </c>
    </row>
    <row r="341" spans="2:8" x14ac:dyDescent="0.25">
      <c r="B341" s="9" t="s">
        <v>818</v>
      </c>
      <c r="C341" s="9" t="s">
        <v>24</v>
      </c>
      <c r="D341" s="24">
        <v>159000</v>
      </c>
      <c r="E341" s="9" t="s">
        <v>2219</v>
      </c>
      <c r="F341" s="9" t="s">
        <v>67</v>
      </c>
      <c r="G341" s="9" t="s">
        <v>61</v>
      </c>
      <c r="H341" t="str" cm="1">
        <f t="array" ref="H341">_xlfn.IFS(D341&gt;=250000,"高額",D341&gt;=150000,"中額",TRUE,"低額")</f>
        <v>中額</v>
      </c>
    </row>
    <row r="342" spans="2:8" x14ac:dyDescent="0.25">
      <c r="B342" s="9" t="s">
        <v>819</v>
      </c>
      <c r="C342" s="9" t="s">
        <v>12</v>
      </c>
      <c r="D342" s="24">
        <v>272000</v>
      </c>
      <c r="E342" s="9" t="s">
        <v>2220</v>
      </c>
      <c r="F342" s="9" t="s">
        <v>65</v>
      </c>
      <c r="G342" s="9" t="s">
        <v>47</v>
      </c>
      <c r="H342" t="str" cm="1">
        <f t="array" ref="H342">_xlfn.IFS(D342&gt;=250000,"高額",D342&gt;=150000,"中額",TRUE,"低額")</f>
        <v>高額</v>
      </c>
    </row>
    <row r="343" spans="2:8" x14ac:dyDescent="0.25">
      <c r="B343" s="9" t="s">
        <v>821</v>
      </c>
      <c r="C343" s="9" t="s">
        <v>16</v>
      </c>
      <c r="D343" s="24">
        <v>284000</v>
      </c>
      <c r="E343" s="9" t="s">
        <v>2221</v>
      </c>
      <c r="F343" s="9" t="s">
        <v>64</v>
      </c>
      <c r="G343" s="9" t="s">
        <v>55</v>
      </c>
      <c r="H343" t="str" cm="1">
        <f t="array" ref="H343">_xlfn.IFS(D343&gt;=250000,"高額",D343&gt;=150000,"中額",TRUE,"低額")</f>
        <v>高額</v>
      </c>
    </row>
    <row r="344" spans="2:8" x14ac:dyDescent="0.25">
      <c r="B344" s="9" t="s">
        <v>823</v>
      </c>
      <c r="C344" s="9" t="s">
        <v>14</v>
      </c>
      <c r="D344" s="24">
        <v>120000</v>
      </c>
      <c r="E344" s="9" t="s">
        <v>2221</v>
      </c>
      <c r="F344" s="9" t="s">
        <v>64</v>
      </c>
      <c r="G344" s="9" t="s">
        <v>45</v>
      </c>
      <c r="H344" t="str" cm="1">
        <f t="array" ref="H344">_xlfn.IFS(D344&gt;=250000,"高額",D344&gt;=150000,"中額",TRUE,"低額")</f>
        <v>低額</v>
      </c>
    </row>
    <row r="345" spans="2:8" x14ac:dyDescent="0.25">
      <c r="B345" s="9" t="s">
        <v>824</v>
      </c>
      <c r="C345" s="9" t="s">
        <v>12</v>
      </c>
      <c r="D345" s="24">
        <v>81000</v>
      </c>
      <c r="E345" s="9" t="s">
        <v>2222</v>
      </c>
      <c r="F345" s="9" t="s">
        <v>65</v>
      </c>
      <c r="G345" s="9" t="s">
        <v>49</v>
      </c>
      <c r="H345" t="str" cm="1">
        <f t="array" ref="H345">_xlfn.IFS(D345&gt;=250000,"高額",D345&gt;=150000,"中額",TRUE,"低額")</f>
        <v>低額</v>
      </c>
    </row>
    <row r="346" spans="2:8" x14ac:dyDescent="0.25">
      <c r="B346" s="9" t="s">
        <v>827</v>
      </c>
      <c r="C346" s="9" t="s">
        <v>14</v>
      </c>
      <c r="D346" s="24">
        <v>272000</v>
      </c>
      <c r="E346" s="9" t="s">
        <v>2222</v>
      </c>
      <c r="F346" s="9" t="s">
        <v>67</v>
      </c>
      <c r="G346" s="9" t="s">
        <v>55</v>
      </c>
      <c r="H346" t="str" cm="1">
        <f t="array" ref="H346">_xlfn.IFS(D346&gt;=250000,"高額",D346&gt;=150000,"中額",TRUE,"低額")</f>
        <v>高額</v>
      </c>
    </row>
    <row r="347" spans="2:8" x14ac:dyDescent="0.25">
      <c r="B347" s="9" t="s">
        <v>828</v>
      </c>
      <c r="C347" s="9" t="s">
        <v>14</v>
      </c>
      <c r="D347" s="24">
        <v>294000</v>
      </c>
      <c r="E347" s="9" t="s">
        <v>2223</v>
      </c>
      <c r="F347" s="9" t="s">
        <v>62</v>
      </c>
      <c r="G347" s="9" t="s">
        <v>53</v>
      </c>
      <c r="H347" t="str" cm="1">
        <f t="array" ref="H347">_xlfn.IFS(D347&gt;=250000,"高額",D347&gt;=150000,"中額",TRUE,"低額")</f>
        <v>高額</v>
      </c>
    </row>
    <row r="348" spans="2:8" x14ac:dyDescent="0.25">
      <c r="B348" s="9" t="s">
        <v>831</v>
      </c>
      <c r="C348" s="9" t="s">
        <v>18</v>
      </c>
      <c r="D348" s="24">
        <v>234000</v>
      </c>
      <c r="E348" s="9" t="s">
        <v>2223</v>
      </c>
      <c r="F348" s="9" t="s">
        <v>65</v>
      </c>
      <c r="G348" s="9" t="s">
        <v>43</v>
      </c>
      <c r="H348" t="str" cm="1">
        <f t="array" ref="H348">_xlfn.IFS(D348&gt;=250000,"高額",D348&gt;=150000,"中額",TRUE,"低額")</f>
        <v>中額</v>
      </c>
    </row>
    <row r="349" spans="2:8" x14ac:dyDescent="0.25">
      <c r="B349" s="9" t="s">
        <v>832</v>
      </c>
      <c r="C349" s="9" t="s">
        <v>16</v>
      </c>
      <c r="D349" s="24">
        <v>110000</v>
      </c>
      <c r="E349" s="9" t="s">
        <v>2224</v>
      </c>
      <c r="F349" s="9" t="s">
        <v>62</v>
      </c>
      <c r="G349" s="9" t="s">
        <v>47</v>
      </c>
      <c r="H349" t="str" cm="1">
        <f t="array" ref="H349">_xlfn.IFS(D349&gt;=250000,"高額",D349&gt;=150000,"中額",TRUE,"低額")</f>
        <v>低額</v>
      </c>
    </row>
    <row r="350" spans="2:8" x14ac:dyDescent="0.25">
      <c r="B350" s="9" t="s">
        <v>834</v>
      </c>
      <c r="C350" s="9" t="s">
        <v>18</v>
      </c>
      <c r="D350" s="24">
        <v>137000</v>
      </c>
      <c r="E350" s="9" t="s">
        <v>2225</v>
      </c>
      <c r="F350" s="9" t="s">
        <v>67</v>
      </c>
      <c r="G350" s="9" t="s">
        <v>43</v>
      </c>
      <c r="H350" t="str" cm="1">
        <f t="array" ref="H350">_xlfn.IFS(D350&gt;=250000,"高額",D350&gt;=150000,"中額",TRUE,"低額")</f>
        <v>低額</v>
      </c>
    </row>
    <row r="351" spans="2:8" x14ac:dyDescent="0.25">
      <c r="B351" s="9" t="s">
        <v>837</v>
      </c>
      <c r="C351" s="9" t="s">
        <v>18</v>
      </c>
      <c r="D351" s="24">
        <v>273000</v>
      </c>
      <c r="E351" s="9" t="s">
        <v>2226</v>
      </c>
      <c r="F351" s="9" t="s">
        <v>66</v>
      </c>
      <c r="G351" s="9" t="s">
        <v>58</v>
      </c>
      <c r="H351" t="str" cm="1">
        <f t="array" ref="H351">_xlfn.IFS(D351&gt;=250000,"高額",D351&gt;=150000,"中額",TRUE,"低額")</f>
        <v>高額</v>
      </c>
    </row>
    <row r="352" spans="2:8" x14ac:dyDescent="0.25">
      <c r="B352" s="9" t="s">
        <v>839</v>
      </c>
      <c r="C352" s="9" t="s">
        <v>24</v>
      </c>
      <c r="D352" s="24">
        <v>157000</v>
      </c>
      <c r="E352" s="9" t="s">
        <v>2227</v>
      </c>
      <c r="F352" s="9" t="s">
        <v>63</v>
      </c>
      <c r="G352" s="9" t="s">
        <v>43</v>
      </c>
      <c r="H352" t="str" cm="1">
        <f t="array" ref="H352">_xlfn.IFS(D352&gt;=250000,"高額",D352&gt;=150000,"中額",TRUE,"低額")</f>
        <v>中額</v>
      </c>
    </row>
    <row r="353" spans="2:8" x14ac:dyDescent="0.25">
      <c r="B353" s="9" t="s">
        <v>842</v>
      </c>
      <c r="C353" s="9" t="s">
        <v>20</v>
      </c>
      <c r="D353" s="24">
        <v>212000</v>
      </c>
      <c r="E353" s="9" t="s">
        <v>2228</v>
      </c>
      <c r="F353" s="9" t="s">
        <v>64</v>
      </c>
      <c r="G353" s="9" t="s">
        <v>51</v>
      </c>
      <c r="H353" t="str" cm="1">
        <f t="array" ref="H353">_xlfn.IFS(D353&gt;=250000,"高額",D353&gt;=150000,"中額",TRUE,"低額")</f>
        <v>中額</v>
      </c>
    </row>
    <row r="354" spans="2:8" x14ac:dyDescent="0.25">
      <c r="B354" s="9" t="s">
        <v>844</v>
      </c>
      <c r="C354" s="9" t="s">
        <v>14</v>
      </c>
      <c r="D354" s="24">
        <v>281000</v>
      </c>
      <c r="E354" s="9" t="s">
        <v>2228</v>
      </c>
      <c r="F354" s="9" t="s">
        <v>66</v>
      </c>
      <c r="G354" s="9" t="s">
        <v>51</v>
      </c>
      <c r="H354" t="str" cm="1">
        <f t="array" ref="H354">_xlfn.IFS(D354&gt;=250000,"高額",D354&gt;=150000,"中額",TRUE,"低額")</f>
        <v>高額</v>
      </c>
    </row>
    <row r="355" spans="2:8" x14ac:dyDescent="0.25">
      <c r="B355" s="9" t="s">
        <v>845</v>
      </c>
      <c r="C355" s="9" t="s">
        <v>20</v>
      </c>
      <c r="D355" s="24">
        <v>91000</v>
      </c>
      <c r="E355" s="9" t="s">
        <v>2228</v>
      </c>
      <c r="F355" s="9" t="s">
        <v>63</v>
      </c>
      <c r="G355" s="9" t="s">
        <v>43</v>
      </c>
      <c r="H355" t="str" cm="1">
        <f t="array" ref="H355">_xlfn.IFS(D355&gt;=250000,"高額",D355&gt;=150000,"中額",TRUE,"低額")</f>
        <v>低額</v>
      </c>
    </row>
    <row r="356" spans="2:8" x14ac:dyDescent="0.25">
      <c r="B356" s="9" t="s">
        <v>846</v>
      </c>
      <c r="C356" s="9" t="s">
        <v>22</v>
      </c>
      <c r="D356" s="24">
        <v>85000</v>
      </c>
      <c r="E356" s="9" t="s">
        <v>2229</v>
      </c>
      <c r="F356" s="9" t="s">
        <v>62</v>
      </c>
      <c r="G356" s="9" t="s">
        <v>49</v>
      </c>
      <c r="H356" t="str" cm="1">
        <f t="array" ref="H356">_xlfn.IFS(D356&gt;=250000,"高額",D356&gt;=150000,"中額",TRUE,"低額")</f>
        <v>低額</v>
      </c>
    </row>
    <row r="357" spans="2:8" x14ac:dyDescent="0.25">
      <c r="B357" s="9" t="s">
        <v>848</v>
      </c>
      <c r="C357" s="9" t="s">
        <v>22</v>
      </c>
      <c r="D357" s="24">
        <v>170000</v>
      </c>
      <c r="E357" s="9" t="s">
        <v>2229</v>
      </c>
      <c r="F357" s="9" t="s">
        <v>64</v>
      </c>
      <c r="G357" s="9" t="s">
        <v>45</v>
      </c>
      <c r="H357" t="str" cm="1">
        <f t="array" ref="H357">_xlfn.IFS(D357&gt;=250000,"高額",D357&gt;=150000,"中額",TRUE,"低額")</f>
        <v>中額</v>
      </c>
    </row>
    <row r="358" spans="2:8" x14ac:dyDescent="0.25">
      <c r="B358" s="9" t="s">
        <v>849</v>
      </c>
      <c r="C358" s="9" t="s">
        <v>22</v>
      </c>
      <c r="D358" s="24">
        <v>213000</v>
      </c>
      <c r="E358" s="9" t="s">
        <v>2230</v>
      </c>
      <c r="F358" s="9" t="s">
        <v>63</v>
      </c>
      <c r="G358" s="9" t="s">
        <v>55</v>
      </c>
      <c r="H358" t="str" cm="1">
        <f t="array" ref="H358">_xlfn.IFS(D358&gt;=250000,"高額",D358&gt;=150000,"中額",TRUE,"低額")</f>
        <v>中額</v>
      </c>
    </row>
    <row r="359" spans="2:8" x14ac:dyDescent="0.25">
      <c r="B359" s="9" t="s">
        <v>851</v>
      </c>
      <c r="C359" s="9" t="s">
        <v>22</v>
      </c>
      <c r="D359" s="24">
        <v>107000</v>
      </c>
      <c r="E359" s="9" t="s">
        <v>2230</v>
      </c>
      <c r="F359" s="9" t="s">
        <v>62</v>
      </c>
      <c r="G359" s="9" t="s">
        <v>55</v>
      </c>
      <c r="H359" t="str" cm="1">
        <f t="array" ref="H359">_xlfn.IFS(D359&gt;=250000,"高額",D359&gt;=150000,"中額",TRUE,"低額")</f>
        <v>低額</v>
      </c>
    </row>
    <row r="360" spans="2:8" x14ac:dyDescent="0.25">
      <c r="B360" s="9" t="s">
        <v>852</v>
      </c>
      <c r="C360" s="9" t="s">
        <v>22</v>
      </c>
      <c r="D360" s="24">
        <v>216000</v>
      </c>
      <c r="E360" s="9" t="s">
        <v>2231</v>
      </c>
      <c r="F360" s="9" t="s">
        <v>67</v>
      </c>
      <c r="G360" s="9" t="s">
        <v>55</v>
      </c>
      <c r="H360" t="str" cm="1">
        <f t="array" ref="H360">_xlfn.IFS(D360&gt;=250000,"高額",D360&gt;=150000,"中額",TRUE,"低額")</f>
        <v>中額</v>
      </c>
    </row>
    <row r="361" spans="2:8" x14ac:dyDescent="0.25">
      <c r="B361" s="9" t="s">
        <v>854</v>
      </c>
      <c r="C361" s="9" t="s">
        <v>20</v>
      </c>
      <c r="D361" s="24">
        <v>117000</v>
      </c>
      <c r="E361" s="9" t="s">
        <v>2232</v>
      </c>
      <c r="F361" s="9" t="s">
        <v>67</v>
      </c>
      <c r="G361" s="9" t="s">
        <v>43</v>
      </c>
      <c r="H361" t="str" cm="1">
        <f t="array" ref="H361">_xlfn.IFS(D361&gt;=250000,"高額",D361&gt;=150000,"中額",TRUE,"低額")</f>
        <v>低額</v>
      </c>
    </row>
    <row r="362" spans="2:8" x14ac:dyDescent="0.25">
      <c r="B362" s="9" t="s">
        <v>857</v>
      </c>
      <c r="C362" s="9" t="s">
        <v>12</v>
      </c>
      <c r="D362" s="24">
        <v>238000</v>
      </c>
      <c r="E362" s="9" t="s">
        <v>2233</v>
      </c>
      <c r="F362" s="9" t="s">
        <v>62</v>
      </c>
      <c r="G362" s="9" t="s">
        <v>58</v>
      </c>
      <c r="H362" t="str" cm="1">
        <f t="array" ref="H362">_xlfn.IFS(D362&gt;=250000,"高額",D362&gt;=150000,"中額",TRUE,"低額")</f>
        <v>中額</v>
      </c>
    </row>
    <row r="363" spans="2:8" x14ac:dyDescent="0.25">
      <c r="B363" s="9" t="s">
        <v>859</v>
      </c>
      <c r="C363" s="9" t="s">
        <v>20</v>
      </c>
      <c r="D363" s="24">
        <v>274000</v>
      </c>
      <c r="E363" s="9" t="s">
        <v>2233</v>
      </c>
      <c r="F363" s="9" t="s">
        <v>66</v>
      </c>
      <c r="G363" s="9" t="s">
        <v>43</v>
      </c>
      <c r="H363" t="str" cm="1">
        <f t="array" ref="H363">_xlfn.IFS(D363&gt;=250000,"高額",D363&gt;=150000,"中額",TRUE,"低額")</f>
        <v>高額</v>
      </c>
    </row>
    <row r="364" spans="2:8" x14ac:dyDescent="0.25">
      <c r="B364" s="9" t="s">
        <v>860</v>
      </c>
      <c r="C364" s="9" t="s">
        <v>24</v>
      </c>
      <c r="D364" s="24">
        <v>197000</v>
      </c>
      <c r="E364" s="9" t="s">
        <v>2234</v>
      </c>
      <c r="F364" s="9" t="s">
        <v>63</v>
      </c>
      <c r="G364" s="9" t="s">
        <v>49</v>
      </c>
      <c r="H364" t="str" cm="1">
        <f t="array" ref="H364">_xlfn.IFS(D364&gt;=250000,"高額",D364&gt;=150000,"中額",TRUE,"低額")</f>
        <v>中額</v>
      </c>
    </row>
    <row r="365" spans="2:8" x14ac:dyDescent="0.25">
      <c r="B365" s="9" t="s">
        <v>862</v>
      </c>
      <c r="C365" s="9" t="s">
        <v>12</v>
      </c>
      <c r="D365" s="24">
        <v>124000</v>
      </c>
      <c r="E365" s="9" t="s">
        <v>2235</v>
      </c>
      <c r="F365" s="9" t="s">
        <v>63</v>
      </c>
      <c r="G365" s="9" t="s">
        <v>55</v>
      </c>
      <c r="H365" t="str" cm="1">
        <f t="array" ref="H365">_xlfn.IFS(D365&gt;=250000,"高額",D365&gt;=150000,"中額",TRUE,"低額")</f>
        <v>低額</v>
      </c>
    </row>
    <row r="366" spans="2:8" x14ac:dyDescent="0.25">
      <c r="B366" s="9" t="s">
        <v>864</v>
      </c>
      <c r="C366" s="9" t="s">
        <v>14</v>
      </c>
      <c r="D366" s="24">
        <v>42000</v>
      </c>
      <c r="E366" s="9" t="s">
        <v>2236</v>
      </c>
      <c r="F366" s="9" t="s">
        <v>63</v>
      </c>
      <c r="G366" s="9" t="s">
        <v>55</v>
      </c>
      <c r="H366" t="str" cm="1">
        <f t="array" ref="H366">_xlfn.IFS(D366&gt;=250000,"高額",D366&gt;=150000,"中額",TRUE,"低額")</f>
        <v>低額</v>
      </c>
    </row>
    <row r="367" spans="2:8" x14ac:dyDescent="0.25">
      <c r="B367" s="9" t="s">
        <v>867</v>
      </c>
      <c r="C367" s="9" t="s">
        <v>14</v>
      </c>
      <c r="D367" s="24">
        <v>68000</v>
      </c>
      <c r="E367" s="9" t="s">
        <v>2236</v>
      </c>
      <c r="F367" s="9" t="s">
        <v>64</v>
      </c>
      <c r="G367" s="9" t="s">
        <v>61</v>
      </c>
      <c r="H367" t="str" cm="1">
        <f t="array" ref="H367">_xlfn.IFS(D367&gt;=250000,"高額",D367&gt;=150000,"中額",TRUE,"低額")</f>
        <v>低額</v>
      </c>
    </row>
    <row r="368" spans="2:8" x14ac:dyDescent="0.25">
      <c r="B368" s="9" t="s">
        <v>869</v>
      </c>
      <c r="C368" s="9" t="s">
        <v>18</v>
      </c>
      <c r="D368" s="24">
        <v>152000</v>
      </c>
      <c r="E368" s="9" t="s">
        <v>2237</v>
      </c>
      <c r="F368" s="9" t="s">
        <v>66</v>
      </c>
      <c r="G368" s="9" t="s">
        <v>53</v>
      </c>
      <c r="H368" t="str" cm="1">
        <f t="array" ref="H368">_xlfn.IFS(D368&gt;=250000,"高額",D368&gt;=150000,"中額",TRUE,"低額")</f>
        <v>中額</v>
      </c>
    </row>
    <row r="369" spans="2:8" x14ac:dyDescent="0.25">
      <c r="B369" s="9" t="s">
        <v>871</v>
      </c>
      <c r="C369" s="9" t="s">
        <v>18</v>
      </c>
      <c r="D369" s="24">
        <v>106000</v>
      </c>
      <c r="E369" s="9" t="s">
        <v>2238</v>
      </c>
      <c r="F369" s="9" t="s">
        <v>66</v>
      </c>
      <c r="G369" s="9" t="s">
        <v>43</v>
      </c>
      <c r="H369" t="str" cm="1">
        <f t="array" ref="H369">_xlfn.IFS(D369&gt;=250000,"高額",D369&gt;=150000,"中額",TRUE,"低額")</f>
        <v>低額</v>
      </c>
    </row>
    <row r="370" spans="2:8" x14ac:dyDescent="0.25">
      <c r="B370" s="9" t="s">
        <v>873</v>
      </c>
      <c r="C370" s="9" t="s">
        <v>12</v>
      </c>
      <c r="D370" s="24">
        <v>241000</v>
      </c>
      <c r="E370" s="9" t="s">
        <v>2239</v>
      </c>
      <c r="F370" s="9" t="s">
        <v>67</v>
      </c>
      <c r="G370" s="9" t="s">
        <v>45</v>
      </c>
      <c r="H370" t="str" cm="1">
        <f t="array" ref="H370">_xlfn.IFS(D370&gt;=250000,"高額",D370&gt;=150000,"中額",TRUE,"低額")</f>
        <v>中額</v>
      </c>
    </row>
    <row r="371" spans="2:8" x14ac:dyDescent="0.25">
      <c r="B371" s="9" t="s">
        <v>876</v>
      </c>
      <c r="C371" s="9" t="s">
        <v>22</v>
      </c>
      <c r="D371" s="24">
        <v>282000</v>
      </c>
      <c r="E371" s="9" t="s">
        <v>2240</v>
      </c>
      <c r="F371" s="9" t="s">
        <v>66</v>
      </c>
      <c r="G371" s="9" t="s">
        <v>51</v>
      </c>
      <c r="H371" t="str" cm="1">
        <f t="array" ref="H371">_xlfn.IFS(D371&gt;=250000,"高額",D371&gt;=150000,"中額",TRUE,"低額")</f>
        <v>高額</v>
      </c>
    </row>
    <row r="372" spans="2:8" x14ac:dyDescent="0.25">
      <c r="B372" s="9" t="s">
        <v>878</v>
      </c>
      <c r="C372" s="9" t="s">
        <v>18</v>
      </c>
      <c r="D372" s="24">
        <v>139000</v>
      </c>
      <c r="E372" s="9" t="s">
        <v>2240</v>
      </c>
      <c r="F372" s="9" t="s">
        <v>66</v>
      </c>
      <c r="G372" s="9" t="s">
        <v>55</v>
      </c>
      <c r="H372" t="str" cm="1">
        <f t="array" ref="H372">_xlfn.IFS(D372&gt;=250000,"高額",D372&gt;=150000,"中額",TRUE,"低額")</f>
        <v>低額</v>
      </c>
    </row>
    <row r="373" spans="2:8" x14ac:dyDescent="0.25">
      <c r="B373" s="9" t="s">
        <v>879</v>
      </c>
      <c r="C373" s="9" t="s">
        <v>22</v>
      </c>
      <c r="D373" s="24">
        <v>296000</v>
      </c>
      <c r="E373" s="9" t="s">
        <v>2240</v>
      </c>
      <c r="F373" s="9" t="s">
        <v>67</v>
      </c>
      <c r="G373" s="9" t="s">
        <v>58</v>
      </c>
      <c r="H373" t="str" cm="1">
        <f t="array" ref="H373">_xlfn.IFS(D373&gt;=250000,"高額",D373&gt;=150000,"中額",TRUE,"低額")</f>
        <v>高額</v>
      </c>
    </row>
    <row r="374" spans="2:8" x14ac:dyDescent="0.25">
      <c r="B374" s="9" t="s">
        <v>880</v>
      </c>
      <c r="C374" s="9" t="s">
        <v>12</v>
      </c>
      <c r="D374" s="24">
        <v>166000</v>
      </c>
      <c r="E374" s="9" t="s">
        <v>2241</v>
      </c>
      <c r="F374" s="9" t="s">
        <v>62</v>
      </c>
      <c r="G374" s="9" t="s">
        <v>58</v>
      </c>
      <c r="H374" t="str" cm="1">
        <f t="array" ref="H374">_xlfn.IFS(D374&gt;=250000,"高額",D374&gt;=150000,"中額",TRUE,"低額")</f>
        <v>中額</v>
      </c>
    </row>
    <row r="375" spans="2:8" x14ac:dyDescent="0.25">
      <c r="B375" s="9" t="s">
        <v>882</v>
      </c>
      <c r="C375" s="9" t="s">
        <v>18</v>
      </c>
      <c r="D375" s="24">
        <v>47000</v>
      </c>
      <c r="E375" s="9" t="s">
        <v>2242</v>
      </c>
      <c r="F375" s="9" t="s">
        <v>65</v>
      </c>
      <c r="G375" s="9" t="s">
        <v>51</v>
      </c>
      <c r="H375" t="str" cm="1">
        <f t="array" ref="H375">_xlfn.IFS(D375&gt;=250000,"高額",D375&gt;=150000,"中額",TRUE,"低額")</f>
        <v>低額</v>
      </c>
    </row>
    <row r="376" spans="2:8" x14ac:dyDescent="0.25">
      <c r="B376" s="9" t="s">
        <v>884</v>
      </c>
      <c r="C376" s="9" t="s">
        <v>22</v>
      </c>
      <c r="D376" s="24">
        <v>51000</v>
      </c>
      <c r="E376" s="9" t="s">
        <v>2243</v>
      </c>
      <c r="F376" s="9" t="s">
        <v>64</v>
      </c>
      <c r="G376" s="9" t="s">
        <v>49</v>
      </c>
      <c r="H376" t="str" cm="1">
        <f t="array" ref="H376">_xlfn.IFS(D376&gt;=250000,"高額",D376&gt;=150000,"中額",TRUE,"低額")</f>
        <v>低額</v>
      </c>
    </row>
    <row r="377" spans="2:8" x14ac:dyDescent="0.25">
      <c r="B377" s="9" t="s">
        <v>886</v>
      </c>
      <c r="C377" s="9" t="s">
        <v>12</v>
      </c>
      <c r="D377" s="24">
        <v>281000</v>
      </c>
      <c r="E377" s="9" t="s">
        <v>2243</v>
      </c>
      <c r="F377" s="9" t="s">
        <v>66</v>
      </c>
      <c r="G377" s="9" t="s">
        <v>53</v>
      </c>
      <c r="H377" t="str" cm="1">
        <f t="array" ref="H377">_xlfn.IFS(D377&gt;=250000,"高額",D377&gt;=150000,"中額",TRUE,"低額")</f>
        <v>高額</v>
      </c>
    </row>
    <row r="378" spans="2:8" x14ac:dyDescent="0.25">
      <c r="B378" s="9" t="s">
        <v>887</v>
      </c>
      <c r="C378" s="9" t="s">
        <v>12</v>
      </c>
      <c r="D378" s="24">
        <v>284000</v>
      </c>
      <c r="E378" s="9" t="s">
        <v>2244</v>
      </c>
      <c r="F378" s="9" t="s">
        <v>67</v>
      </c>
      <c r="G378" s="9" t="s">
        <v>58</v>
      </c>
      <c r="H378" t="str" cm="1">
        <f t="array" ref="H378">_xlfn.IFS(D378&gt;=250000,"高額",D378&gt;=150000,"中額",TRUE,"低額")</f>
        <v>高額</v>
      </c>
    </row>
    <row r="379" spans="2:8" x14ac:dyDescent="0.25">
      <c r="B379" s="9" t="s">
        <v>889</v>
      </c>
      <c r="C379" s="9" t="s">
        <v>18</v>
      </c>
      <c r="D379" s="24">
        <v>271000</v>
      </c>
      <c r="E379" s="9" t="s">
        <v>2245</v>
      </c>
      <c r="F379" s="9" t="s">
        <v>65</v>
      </c>
      <c r="G379" s="9" t="s">
        <v>47</v>
      </c>
      <c r="H379" t="str" cm="1">
        <f t="array" ref="H379">_xlfn.IFS(D379&gt;=250000,"高額",D379&gt;=150000,"中額",TRUE,"低額")</f>
        <v>高額</v>
      </c>
    </row>
    <row r="380" spans="2:8" x14ac:dyDescent="0.25">
      <c r="B380" s="9" t="s">
        <v>891</v>
      </c>
      <c r="C380" s="9" t="s">
        <v>12</v>
      </c>
      <c r="D380" s="24">
        <v>161000</v>
      </c>
      <c r="E380" s="9" t="s">
        <v>2246</v>
      </c>
      <c r="F380" s="9" t="s">
        <v>66</v>
      </c>
      <c r="G380" s="9" t="s">
        <v>49</v>
      </c>
      <c r="H380" t="str" cm="1">
        <f t="array" ref="H380">_xlfn.IFS(D380&gt;=250000,"高額",D380&gt;=150000,"中額",TRUE,"低額")</f>
        <v>中額</v>
      </c>
    </row>
    <row r="381" spans="2:8" x14ac:dyDescent="0.25">
      <c r="B381" s="9" t="s">
        <v>893</v>
      </c>
      <c r="C381" s="9" t="s">
        <v>18</v>
      </c>
      <c r="D381" s="24">
        <v>36000</v>
      </c>
      <c r="E381" s="9" t="s">
        <v>2247</v>
      </c>
      <c r="F381" s="9" t="s">
        <v>63</v>
      </c>
      <c r="G381" s="9" t="s">
        <v>61</v>
      </c>
      <c r="H381" t="str" cm="1">
        <f t="array" ref="H381">_xlfn.IFS(D381&gt;=250000,"高額",D381&gt;=150000,"中額",TRUE,"低額")</f>
        <v>低額</v>
      </c>
    </row>
    <row r="382" spans="2:8" x14ac:dyDescent="0.25">
      <c r="B382" s="9" t="s">
        <v>895</v>
      </c>
      <c r="C382" s="9" t="s">
        <v>14</v>
      </c>
      <c r="D382" s="24">
        <v>298000</v>
      </c>
      <c r="E382" s="9" t="s">
        <v>2247</v>
      </c>
      <c r="F382" s="9" t="s">
        <v>66</v>
      </c>
      <c r="G382" s="9" t="s">
        <v>51</v>
      </c>
      <c r="H382" t="str" cm="1">
        <f t="array" ref="H382">_xlfn.IFS(D382&gt;=250000,"高額",D382&gt;=150000,"中額",TRUE,"低額")</f>
        <v>高額</v>
      </c>
    </row>
    <row r="383" spans="2:8" x14ac:dyDescent="0.25">
      <c r="B383" s="9" t="s">
        <v>897</v>
      </c>
      <c r="C383" s="9" t="s">
        <v>14</v>
      </c>
      <c r="D383" s="24">
        <v>86000</v>
      </c>
      <c r="E383" s="9" t="s">
        <v>2248</v>
      </c>
      <c r="F383" s="9" t="s">
        <v>67</v>
      </c>
      <c r="G383" s="9" t="s">
        <v>58</v>
      </c>
      <c r="H383" t="str" cm="1">
        <f t="array" ref="H383">_xlfn.IFS(D383&gt;=250000,"高額",D383&gt;=150000,"中額",TRUE,"低額")</f>
        <v>低額</v>
      </c>
    </row>
    <row r="384" spans="2:8" x14ac:dyDescent="0.25">
      <c r="B384" s="9" t="s">
        <v>899</v>
      </c>
      <c r="C384" s="9" t="s">
        <v>22</v>
      </c>
      <c r="D384" s="24">
        <v>71000</v>
      </c>
      <c r="E384" s="9" t="s">
        <v>2248</v>
      </c>
      <c r="F384" s="9" t="s">
        <v>62</v>
      </c>
      <c r="G384" s="9" t="s">
        <v>45</v>
      </c>
      <c r="H384" t="str" cm="1">
        <f t="array" ref="H384">_xlfn.IFS(D384&gt;=250000,"高額",D384&gt;=150000,"中額",TRUE,"低額")</f>
        <v>低額</v>
      </c>
    </row>
    <row r="385" spans="2:8" x14ac:dyDescent="0.25">
      <c r="B385" s="9" t="s">
        <v>900</v>
      </c>
      <c r="C385" s="9" t="s">
        <v>20</v>
      </c>
      <c r="D385" s="24">
        <v>123000</v>
      </c>
      <c r="E385" s="9" t="s">
        <v>2249</v>
      </c>
      <c r="F385" s="9" t="s">
        <v>63</v>
      </c>
      <c r="G385" s="9" t="s">
        <v>43</v>
      </c>
      <c r="H385" t="str" cm="1">
        <f t="array" ref="H385">_xlfn.IFS(D385&gt;=250000,"高額",D385&gt;=150000,"中額",TRUE,"低額")</f>
        <v>低額</v>
      </c>
    </row>
    <row r="386" spans="2:8" x14ac:dyDescent="0.25">
      <c r="B386" s="9" t="s">
        <v>902</v>
      </c>
      <c r="C386" s="9" t="s">
        <v>18</v>
      </c>
      <c r="D386" s="24">
        <v>175000</v>
      </c>
      <c r="E386" s="9" t="s">
        <v>2249</v>
      </c>
      <c r="F386" s="9" t="s">
        <v>66</v>
      </c>
      <c r="G386" s="9" t="s">
        <v>55</v>
      </c>
      <c r="H386" t="str" cm="1">
        <f t="array" ref="H386">_xlfn.IFS(D386&gt;=250000,"高額",D386&gt;=150000,"中額",TRUE,"低額")</f>
        <v>中額</v>
      </c>
    </row>
    <row r="387" spans="2:8" x14ac:dyDescent="0.25">
      <c r="B387" s="9" t="s">
        <v>903</v>
      </c>
      <c r="C387" s="9" t="s">
        <v>22</v>
      </c>
      <c r="D387" s="24">
        <v>113000</v>
      </c>
      <c r="E387" s="9" t="s">
        <v>2250</v>
      </c>
      <c r="F387" s="9" t="s">
        <v>66</v>
      </c>
      <c r="G387" s="9" t="s">
        <v>58</v>
      </c>
      <c r="H387" t="str" cm="1">
        <f t="array" ref="H387">_xlfn.IFS(D387&gt;=250000,"高額",D387&gt;=150000,"中額",TRUE,"低額")</f>
        <v>低額</v>
      </c>
    </row>
    <row r="388" spans="2:8" x14ac:dyDescent="0.25">
      <c r="B388" s="9" t="s">
        <v>905</v>
      </c>
      <c r="C388" s="9" t="s">
        <v>16</v>
      </c>
      <c r="D388" s="24">
        <v>270000</v>
      </c>
      <c r="E388" s="9" t="s">
        <v>2251</v>
      </c>
      <c r="F388" s="9" t="s">
        <v>67</v>
      </c>
      <c r="G388" s="9" t="s">
        <v>49</v>
      </c>
      <c r="H388" t="str" cm="1">
        <f t="array" ref="H388">_xlfn.IFS(D388&gt;=250000,"高額",D388&gt;=150000,"中額",TRUE,"低額")</f>
        <v>高額</v>
      </c>
    </row>
    <row r="389" spans="2:8" x14ac:dyDescent="0.25">
      <c r="B389" s="9" t="s">
        <v>907</v>
      </c>
      <c r="C389" s="9" t="s">
        <v>24</v>
      </c>
      <c r="D389" s="24">
        <v>191000</v>
      </c>
      <c r="E389" s="9" t="s">
        <v>2252</v>
      </c>
      <c r="F389" s="9" t="s">
        <v>65</v>
      </c>
      <c r="G389" s="9" t="s">
        <v>45</v>
      </c>
      <c r="H389" t="str" cm="1">
        <f t="array" ref="H389">_xlfn.IFS(D389&gt;=250000,"高額",D389&gt;=150000,"中額",TRUE,"低額")</f>
        <v>中額</v>
      </c>
    </row>
    <row r="390" spans="2:8" x14ac:dyDescent="0.25">
      <c r="B390" s="9" t="s">
        <v>909</v>
      </c>
      <c r="C390" s="9" t="s">
        <v>20</v>
      </c>
      <c r="D390" s="24">
        <v>46000</v>
      </c>
      <c r="E390" s="9" t="s">
        <v>2253</v>
      </c>
      <c r="F390" s="9" t="s">
        <v>63</v>
      </c>
      <c r="G390" s="9" t="s">
        <v>61</v>
      </c>
      <c r="H390" t="str" cm="1">
        <f t="array" ref="H390">_xlfn.IFS(D390&gt;=250000,"高額",D390&gt;=150000,"中額",TRUE,"低額")</f>
        <v>低額</v>
      </c>
    </row>
    <row r="391" spans="2:8" x14ac:dyDescent="0.25">
      <c r="B391" s="9" t="s">
        <v>911</v>
      </c>
      <c r="C391" s="9" t="s">
        <v>18</v>
      </c>
      <c r="D391" s="24">
        <v>261000</v>
      </c>
      <c r="E391" s="9" t="s">
        <v>2254</v>
      </c>
      <c r="F391" s="9" t="s">
        <v>64</v>
      </c>
      <c r="G391" s="9" t="s">
        <v>51</v>
      </c>
      <c r="H391" t="str" cm="1">
        <f t="array" ref="H391">_xlfn.IFS(D391&gt;=250000,"高額",D391&gt;=150000,"中額",TRUE,"低額")</f>
        <v>高額</v>
      </c>
    </row>
    <row r="392" spans="2:8" x14ac:dyDescent="0.25">
      <c r="B392" s="9" t="s">
        <v>913</v>
      </c>
      <c r="C392" s="9" t="s">
        <v>14</v>
      </c>
      <c r="D392" s="24">
        <v>35000</v>
      </c>
      <c r="E392" s="9" t="s">
        <v>2255</v>
      </c>
      <c r="F392" s="9" t="s">
        <v>62</v>
      </c>
      <c r="G392" s="9" t="s">
        <v>47</v>
      </c>
      <c r="H392" t="str" cm="1">
        <f t="array" ref="H392">_xlfn.IFS(D392&gt;=250000,"高額",D392&gt;=150000,"中額",TRUE,"低額")</f>
        <v>低額</v>
      </c>
    </row>
    <row r="393" spans="2:8" x14ac:dyDescent="0.25">
      <c r="B393" s="9" t="s">
        <v>916</v>
      </c>
      <c r="C393" s="9" t="s">
        <v>16</v>
      </c>
      <c r="D393" s="24">
        <v>264000</v>
      </c>
      <c r="E393" s="9" t="s">
        <v>2255</v>
      </c>
      <c r="F393" s="9" t="s">
        <v>67</v>
      </c>
      <c r="G393" s="9" t="s">
        <v>61</v>
      </c>
      <c r="H393" t="str" cm="1">
        <f t="array" ref="H393">_xlfn.IFS(D393&gt;=250000,"高額",D393&gt;=150000,"中額",TRUE,"低額")</f>
        <v>高額</v>
      </c>
    </row>
    <row r="394" spans="2:8" x14ac:dyDescent="0.25">
      <c r="B394" s="9" t="s">
        <v>917</v>
      </c>
      <c r="C394" s="9" t="s">
        <v>24</v>
      </c>
      <c r="D394" s="24">
        <v>63000</v>
      </c>
      <c r="E394" s="9" t="s">
        <v>2256</v>
      </c>
      <c r="F394" s="9" t="s">
        <v>66</v>
      </c>
      <c r="G394" s="9" t="s">
        <v>45</v>
      </c>
      <c r="H394" t="str" cm="1">
        <f t="array" ref="H394">_xlfn.IFS(D394&gt;=250000,"高額",D394&gt;=150000,"中額",TRUE,"低額")</f>
        <v>低額</v>
      </c>
    </row>
    <row r="395" spans="2:8" x14ac:dyDescent="0.25">
      <c r="B395" s="9" t="s">
        <v>919</v>
      </c>
      <c r="C395" s="9" t="s">
        <v>22</v>
      </c>
      <c r="D395" s="24">
        <v>134000</v>
      </c>
      <c r="E395" s="9" t="s">
        <v>2256</v>
      </c>
      <c r="F395" s="9" t="s">
        <v>64</v>
      </c>
      <c r="G395" s="9" t="s">
        <v>53</v>
      </c>
      <c r="H395" t="str" cm="1">
        <f t="array" ref="H395">_xlfn.IFS(D395&gt;=250000,"高額",D395&gt;=150000,"中額",TRUE,"低額")</f>
        <v>低額</v>
      </c>
    </row>
    <row r="396" spans="2:8" x14ac:dyDescent="0.25">
      <c r="B396" s="9" t="s">
        <v>921</v>
      </c>
      <c r="C396" s="9" t="s">
        <v>12</v>
      </c>
      <c r="D396" s="24">
        <v>253000</v>
      </c>
      <c r="E396" s="9" t="s">
        <v>2257</v>
      </c>
      <c r="F396" s="9" t="s">
        <v>62</v>
      </c>
      <c r="G396" s="9" t="s">
        <v>47</v>
      </c>
      <c r="H396" t="str" cm="1">
        <f t="array" ref="H396">_xlfn.IFS(D396&gt;=250000,"高額",D396&gt;=150000,"中額",TRUE,"低額")</f>
        <v>高額</v>
      </c>
    </row>
    <row r="397" spans="2:8" x14ac:dyDescent="0.25">
      <c r="B397" s="9" t="s">
        <v>924</v>
      </c>
      <c r="C397" s="9" t="s">
        <v>24</v>
      </c>
      <c r="D397" s="24">
        <v>87000</v>
      </c>
      <c r="E397" s="9" t="s">
        <v>2258</v>
      </c>
      <c r="F397" s="9" t="s">
        <v>66</v>
      </c>
      <c r="G397" s="9" t="s">
        <v>43</v>
      </c>
      <c r="H397" t="str" cm="1">
        <f t="array" ref="H397">_xlfn.IFS(D397&gt;=250000,"高額",D397&gt;=150000,"中額",TRUE,"低額")</f>
        <v>低額</v>
      </c>
    </row>
    <row r="398" spans="2:8" x14ac:dyDescent="0.25">
      <c r="B398" s="9" t="s">
        <v>927</v>
      </c>
      <c r="C398" s="9" t="s">
        <v>20</v>
      </c>
      <c r="D398" s="24">
        <v>253000</v>
      </c>
      <c r="E398" s="9" t="s">
        <v>2258</v>
      </c>
      <c r="F398" s="9" t="s">
        <v>63</v>
      </c>
      <c r="G398" s="9" t="s">
        <v>51</v>
      </c>
      <c r="H398" t="str" cm="1">
        <f t="array" ref="H398">_xlfn.IFS(D398&gt;=250000,"高額",D398&gt;=150000,"中額",TRUE,"低額")</f>
        <v>高額</v>
      </c>
    </row>
    <row r="399" spans="2:8" x14ac:dyDescent="0.25">
      <c r="B399" s="9" t="s">
        <v>928</v>
      </c>
      <c r="C399" s="9" t="s">
        <v>18</v>
      </c>
      <c r="D399" s="24">
        <v>237000</v>
      </c>
      <c r="E399" s="9" t="s">
        <v>2259</v>
      </c>
      <c r="F399" s="9" t="s">
        <v>62</v>
      </c>
      <c r="G399" s="9" t="s">
        <v>61</v>
      </c>
      <c r="H399" t="str" cm="1">
        <f t="array" ref="H399">_xlfn.IFS(D399&gt;=250000,"高額",D399&gt;=150000,"中額",TRUE,"低額")</f>
        <v>中額</v>
      </c>
    </row>
    <row r="400" spans="2:8" x14ac:dyDescent="0.25">
      <c r="B400" s="9" t="s">
        <v>930</v>
      </c>
      <c r="C400" s="9" t="s">
        <v>16</v>
      </c>
      <c r="D400" s="24">
        <v>129000</v>
      </c>
      <c r="E400" s="9" t="s">
        <v>2260</v>
      </c>
      <c r="F400" s="9" t="s">
        <v>64</v>
      </c>
      <c r="G400" s="9" t="s">
        <v>58</v>
      </c>
      <c r="H400" t="str" cm="1">
        <f t="array" ref="H400">_xlfn.IFS(D400&gt;=250000,"高額",D400&gt;=150000,"中額",TRUE,"低額")</f>
        <v>低額</v>
      </c>
    </row>
    <row r="401" spans="2:8" x14ac:dyDescent="0.25">
      <c r="B401" s="9" t="s">
        <v>933</v>
      </c>
      <c r="C401" s="9" t="s">
        <v>20</v>
      </c>
      <c r="D401" s="24">
        <v>168000</v>
      </c>
      <c r="E401" s="9" t="s">
        <v>2261</v>
      </c>
      <c r="F401" s="9" t="s">
        <v>65</v>
      </c>
      <c r="G401" s="9" t="s">
        <v>55</v>
      </c>
      <c r="H401" t="str" cm="1">
        <f t="array" ref="H401">_xlfn.IFS(D401&gt;=250000,"高額",D401&gt;=150000,"中額",TRUE,"低額")</f>
        <v>中額</v>
      </c>
    </row>
    <row r="402" spans="2:8" x14ac:dyDescent="0.25">
      <c r="B402" s="9" t="s">
        <v>935</v>
      </c>
      <c r="C402" s="9" t="s">
        <v>12</v>
      </c>
      <c r="D402" s="24">
        <v>174000</v>
      </c>
      <c r="E402" s="9" t="s">
        <v>2262</v>
      </c>
      <c r="F402" s="9" t="s">
        <v>67</v>
      </c>
      <c r="G402" s="9" t="s">
        <v>58</v>
      </c>
      <c r="H402" t="str" cm="1">
        <f t="array" ref="H402">_xlfn.IFS(D402&gt;=250000,"高額",D402&gt;=150000,"中額",TRUE,"低額")</f>
        <v>中額</v>
      </c>
    </row>
    <row r="403" spans="2:8" x14ac:dyDescent="0.25">
      <c r="B403" s="9" t="s">
        <v>937</v>
      </c>
      <c r="C403" s="9" t="s">
        <v>12</v>
      </c>
      <c r="D403" s="24">
        <v>210000</v>
      </c>
      <c r="E403" s="9" t="s">
        <v>2263</v>
      </c>
      <c r="F403" s="9" t="s">
        <v>66</v>
      </c>
      <c r="G403" s="9" t="s">
        <v>61</v>
      </c>
      <c r="H403" t="str" cm="1">
        <f t="array" ref="H403">_xlfn.IFS(D403&gt;=250000,"高額",D403&gt;=150000,"中額",TRUE,"低額")</f>
        <v>中額</v>
      </c>
    </row>
    <row r="404" spans="2:8" x14ac:dyDescent="0.25">
      <c r="B404" s="9" t="s">
        <v>939</v>
      </c>
      <c r="C404" s="9" t="s">
        <v>12</v>
      </c>
      <c r="D404" s="24">
        <v>94000</v>
      </c>
      <c r="E404" s="9" t="s">
        <v>2264</v>
      </c>
      <c r="F404" s="9" t="s">
        <v>67</v>
      </c>
      <c r="G404" s="9" t="s">
        <v>58</v>
      </c>
      <c r="H404" t="str" cm="1">
        <f t="array" ref="H404">_xlfn.IFS(D404&gt;=250000,"高額",D404&gt;=150000,"中額",TRUE,"低額")</f>
        <v>低額</v>
      </c>
    </row>
    <row r="405" spans="2:8" x14ac:dyDescent="0.25">
      <c r="B405" s="9" t="s">
        <v>941</v>
      </c>
      <c r="C405" s="9" t="s">
        <v>18</v>
      </c>
      <c r="D405" s="24">
        <v>71000</v>
      </c>
      <c r="E405" s="9" t="s">
        <v>2265</v>
      </c>
      <c r="F405" s="9" t="s">
        <v>66</v>
      </c>
      <c r="G405" s="9" t="s">
        <v>45</v>
      </c>
      <c r="H405" t="str" cm="1">
        <f t="array" ref="H405">_xlfn.IFS(D405&gt;=250000,"高額",D405&gt;=150000,"中額",TRUE,"低額")</f>
        <v>低額</v>
      </c>
    </row>
    <row r="406" spans="2:8" x14ac:dyDescent="0.25">
      <c r="B406" s="9" t="s">
        <v>943</v>
      </c>
      <c r="C406" s="9" t="s">
        <v>20</v>
      </c>
      <c r="D406" s="24">
        <v>255000</v>
      </c>
      <c r="E406" s="9" t="s">
        <v>2265</v>
      </c>
      <c r="F406" s="9" t="s">
        <v>66</v>
      </c>
      <c r="G406" s="9" t="s">
        <v>49</v>
      </c>
      <c r="H406" t="str" cm="1">
        <f t="array" ref="H406">_xlfn.IFS(D406&gt;=250000,"高額",D406&gt;=150000,"中額",TRUE,"低額")</f>
        <v>高額</v>
      </c>
    </row>
    <row r="407" spans="2:8" x14ac:dyDescent="0.25">
      <c r="B407" s="9" t="s">
        <v>944</v>
      </c>
      <c r="C407" s="9" t="s">
        <v>24</v>
      </c>
      <c r="D407" s="24">
        <v>80000</v>
      </c>
      <c r="E407" s="9" t="s">
        <v>2266</v>
      </c>
      <c r="F407" s="9" t="s">
        <v>65</v>
      </c>
      <c r="G407" s="9" t="s">
        <v>51</v>
      </c>
      <c r="H407" t="str" cm="1">
        <f t="array" ref="H407">_xlfn.IFS(D407&gt;=250000,"高額",D407&gt;=150000,"中額",TRUE,"低額")</f>
        <v>低額</v>
      </c>
    </row>
    <row r="408" spans="2:8" x14ac:dyDescent="0.25">
      <c r="B408" s="9" t="s">
        <v>946</v>
      </c>
      <c r="C408" s="9" t="s">
        <v>24</v>
      </c>
      <c r="D408" s="24">
        <v>87000</v>
      </c>
      <c r="E408" s="9" t="s">
        <v>2267</v>
      </c>
      <c r="F408" s="9" t="s">
        <v>65</v>
      </c>
      <c r="G408" s="9" t="s">
        <v>49</v>
      </c>
      <c r="H408" t="str" cm="1">
        <f t="array" ref="H408">_xlfn.IFS(D408&gt;=250000,"高額",D408&gt;=150000,"中額",TRUE,"低額")</f>
        <v>低額</v>
      </c>
    </row>
    <row r="409" spans="2:8" x14ac:dyDescent="0.25">
      <c r="B409" s="9" t="s">
        <v>948</v>
      </c>
      <c r="C409" s="9" t="s">
        <v>16</v>
      </c>
      <c r="D409" s="24">
        <v>141000</v>
      </c>
      <c r="E409" s="9" t="s">
        <v>2268</v>
      </c>
      <c r="F409" s="9" t="s">
        <v>63</v>
      </c>
      <c r="G409" s="9" t="s">
        <v>58</v>
      </c>
      <c r="H409" t="str" cm="1">
        <f t="array" ref="H409">_xlfn.IFS(D409&gt;=250000,"高額",D409&gt;=150000,"中額",TRUE,"低額")</f>
        <v>低額</v>
      </c>
    </row>
    <row r="410" spans="2:8" x14ac:dyDescent="0.25">
      <c r="B410" s="9" t="s">
        <v>950</v>
      </c>
      <c r="C410" s="9" t="s">
        <v>12</v>
      </c>
      <c r="D410" s="24">
        <v>70000</v>
      </c>
      <c r="E410" s="9" t="s">
        <v>2269</v>
      </c>
      <c r="F410" s="9" t="s">
        <v>62</v>
      </c>
      <c r="G410" s="9" t="s">
        <v>53</v>
      </c>
      <c r="H410" t="str" cm="1">
        <f t="array" ref="H410">_xlfn.IFS(D410&gt;=250000,"高額",D410&gt;=150000,"中額",TRUE,"低額")</f>
        <v>低額</v>
      </c>
    </row>
    <row r="411" spans="2:8" x14ac:dyDescent="0.25">
      <c r="B411" s="9" t="s">
        <v>952</v>
      </c>
      <c r="C411" s="9" t="s">
        <v>12</v>
      </c>
      <c r="D411" s="24">
        <v>266000</v>
      </c>
      <c r="E411" s="9" t="s">
        <v>2269</v>
      </c>
      <c r="F411" s="9" t="s">
        <v>66</v>
      </c>
      <c r="G411" s="9" t="s">
        <v>43</v>
      </c>
      <c r="H411" t="str" cm="1">
        <f t="array" ref="H411">_xlfn.IFS(D411&gt;=250000,"高額",D411&gt;=150000,"中額",TRUE,"低額")</f>
        <v>高額</v>
      </c>
    </row>
    <row r="412" spans="2:8" x14ac:dyDescent="0.25">
      <c r="B412" s="9" t="s">
        <v>953</v>
      </c>
      <c r="C412" s="9" t="s">
        <v>22</v>
      </c>
      <c r="D412" s="24">
        <v>41000</v>
      </c>
      <c r="E412" s="9" t="s">
        <v>2269</v>
      </c>
      <c r="F412" s="9" t="s">
        <v>64</v>
      </c>
      <c r="G412" s="9" t="s">
        <v>43</v>
      </c>
      <c r="H412" t="str" cm="1">
        <f t="array" ref="H412">_xlfn.IFS(D412&gt;=250000,"高額",D412&gt;=150000,"中額",TRUE,"低額")</f>
        <v>低額</v>
      </c>
    </row>
    <row r="413" spans="2:8" x14ac:dyDescent="0.25">
      <c r="B413" s="9" t="s">
        <v>954</v>
      </c>
      <c r="C413" s="9" t="s">
        <v>24</v>
      </c>
      <c r="D413" s="24">
        <v>238000</v>
      </c>
      <c r="E413" s="9" t="s">
        <v>2269</v>
      </c>
      <c r="F413" s="9" t="s">
        <v>66</v>
      </c>
      <c r="G413" s="9" t="s">
        <v>58</v>
      </c>
      <c r="H413" t="str" cm="1">
        <f t="array" ref="H413">_xlfn.IFS(D413&gt;=250000,"高額",D413&gt;=150000,"中額",TRUE,"低額")</f>
        <v>中額</v>
      </c>
    </row>
    <row r="414" spans="2:8" x14ac:dyDescent="0.25">
      <c r="B414" s="9" t="s">
        <v>955</v>
      </c>
      <c r="C414" s="9" t="s">
        <v>14</v>
      </c>
      <c r="D414" s="24">
        <v>55000</v>
      </c>
      <c r="E414" s="9" t="s">
        <v>2270</v>
      </c>
      <c r="F414" s="9" t="s">
        <v>67</v>
      </c>
      <c r="G414" s="9" t="s">
        <v>47</v>
      </c>
      <c r="H414" t="str" cm="1">
        <f t="array" ref="H414">_xlfn.IFS(D414&gt;=250000,"高額",D414&gt;=150000,"中額",TRUE,"低額")</f>
        <v>低額</v>
      </c>
    </row>
    <row r="415" spans="2:8" x14ac:dyDescent="0.25">
      <c r="B415" s="9" t="s">
        <v>957</v>
      </c>
      <c r="C415" s="9" t="s">
        <v>24</v>
      </c>
      <c r="D415" s="24">
        <v>146000</v>
      </c>
      <c r="E415" s="9" t="s">
        <v>2271</v>
      </c>
      <c r="F415" s="9" t="s">
        <v>67</v>
      </c>
      <c r="G415" s="9" t="s">
        <v>58</v>
      </c>
      <c r="H415" t="str" cm="1">
        <f t="array" ref="H415">_xlfn.IFS(D415&gt;=250000,"高額",D415&gt;=150000,"中額",TRUE,"低額")</f>
        <v>低額</v>
      </c>
    </row>
    <row r="416" spans="2:8" x14ac:dyDescent="0.25">
      <c r="B416" s="9" t="s">
        <v>960</v>
      </c>
      <c r="C416" s="9" t="s">
        <v>22</v>
      </c>
      <c r="D416" s="24">
        <v>95000</v>
      </c>
      <c r="E416" s="9" t="s">
        <v>2272</v>
      </c>
      <c r="F416" s="9" t="s">
        <v>63</v>
      </c>
      <c r="G416" s="9" t="s">
        <v>45</v>
      </c>
      <c r="H416" t="str" cm="1">
        <f t="array" ref="H416">_xlfn.IFS(D416&gt;=250000,"高額",D416&gt;=150000,"中額",TRUE,"低額")</f>
        <v>低額</v>
      </c>
    </row>
    <row r="417" spans="2:8" x14ac:dyDescent="0.25">
      <c r="B417" s="9" t="s">
        <v>963</v>
      </c>
      <c r="C417" s="9" t="s">
        <v>14</v>
      </c>
      <c r="D417" s="24">
        <v>248000</v>
      </c>
      <c r="E417" s="9" t="s">
        <v>2273</v>
      </c>
      <c r="F417" s="9" t="s">
        <v>67</v>
      </c>
      <c r="G417" s="9" t="s">
        <v>43</v>
      </c>
      <c r="H417" t="str" cm="1">
        <f t="array" ref="H417">_xlfn.IFS(D417&gt;=250000,"高額",D417&gt;=150000,"中額",TRUE,"低額")</f>
        <v>中額</v>
      </c>
    </row>
    <row r="418" spans="2:8" x14ac:dyDescent="0.25">
      <c r="B418" s="9" t="s">
        <v>966</v>
      </c>
      <c r="C418" s="9" t="s">
        <v>12</v>
      </c>
      <c r="D418" s="24">
        <v>204000</v>
      </c>
      <c r="E418" s="9" t="s">
        <v>2274</v>
      </c>
      <c r="F418" s="9" t="s">
        <v>67</v>
      </c>
      <c r="G418" s="9" t="s">
        <v>43</v>
      </c>
      <c r="H418" t="str" cm="1">
        <f t="array" ref="H418">_xlfn.IFS(D418&gt;=250000,"高額",D418&gt;=150000,"中額",TRUE,"低額")</f>
        <v>中額</v>
      </c>
    </row>
    <row r="419" spans="2:8" x14ac:dyDescent="0.25">
      <c r="B419" s="9" t="s">
        <v>968</v>
      </c>
      <c r="C419" s="9" t="s">
        <v>16</v>
      </c>
      <c r="D419" s="24">
        <v>139000</v>
      </c>
      <c r="E419" s="9" t="s">
        <v>2275</v>
      </c>
      <c r="F419" s="9" t="s">
        <v>63</v>
      </c>
      <c r="G419" s="9" t="s">
        <v>55</v>
      </c>
      <c r="H419" t="str" cm="1">
        <f t="array" ref="H419">_xlfn.IFS(D419&gt;=250000,"高額",D419&gt;=150000,"中額",TRUE,"低額")</f>
        <v>低額</v>
      </c>
    </row>
    <row r="420" spans="2:8" x14ac:dyDescent="0.25">
      <c r="B420" s="9" t="s">
        <v>970</v>
      </c>
      <c r="C420" s="9" t="s">
        <v>12</v>
      </c>
      <c r="D420" s="24">
        <v>196000</v>
      </c>
      <c r="E420" s="9" t="s">
        <v>2276</v>
      </c>
      <c r="F420" s="9" t="s">
        <v>65</v>
      </c>
      <c r="G420" s="9" t="s">
        <v>45</v>
      </c>
      <c r="H420" t="str" cm="1">
        <f t="array" ref="H420">_xlfn.IFS(D420&gt;=250000,"高額",D420&gt;=150000,"中額",TRUE,"低額")</f>
        <v>中額</v>
      </c>
    </row>
    <row r="421" spans="2:8" x14ac:dyDescent="0.25">
      <c r="B421" s="9" t="s">
        <v>972</v>
      </c>
      <c r="C421" s="9" t="s">
        <v>12</v>
      </c>
      <c r="D421" s="24">
        <v>273000</v>
      </c>
      <c r="E421" s="9" t="s">
        <v>2277</v>
      </c>
      <c r="F421" s="9" t="s">
        <v>67</v>
      </c>
      <c r="G421" s="9" t="s">
        <v>53</v>
      </c>
      <c r="H421" t="str" cm="1">
        <f t="array" ref="H421">_xlfn.IFS(D421&gt;=250000,"高額",D421&gt;=150000,"中額",TRUE,"低額")</f>
        <v>高額</v>
      </c>
    </row>
    <row r="422" spans="2:8" x14ac:dyDescent="0.25">
      <c r="B422" s="9" t="s">
        <v>974</v>
      </c>
      <c r="C422" s="9" t="s">
        <v>20</v>
      </c>
      <c r="D422" s="24">
        <v>107000</v>
      </c>
      <c r="E422" s="9" t="s">
        <v>2278</v>
      </c>
      <c r="F422" s="9" t="s">
        <v>66</v>
      </c>
      <c r="G422" s="9" t="s">
        <v>45</v>
      </c>
      <c r="H422" t="str" cm="1">
        <f t="array" ref="H422">_xlfn.IFS(D422&gt;=250000,"高額",D422&gt;=150000,"中額",TRUE,"低額")</f>
        <v>低額</v>
      </c>
    </row>
    <row r="423" spans="2:8" x14ac:dyDescent="0.25">
      <c r="B423" s="9" t="s">
        <v>976</v>
      </c>
      <c r="C423" s="9" t="s">
        <v>24</v>
      </c>
      <c r="D423" s="24">
        <v>147000</v>
      </c>
      <c r="E423" s="9" t="s">
        <v>2278</v>
      </c>
      <c r="F423" s="9" t="s">
        <v>63</v>
      </c>
      <c r="G423" s="9" t="s">
        <v>58</v>
      </c>
      <c r="H423" t="str" cm="1">
        <f t="array" ref="H423">_xlfn.IFS(D423&gt;=250000,"高額",D423&gt;=150000,"中額",TRUE,"低額")</f>
        <v>低額</v>
      </c>
    </row>
    <row r="424" spans="2:8" x14ac:dyDescent="0.25">
      <c r="B424" s="9" t="s">
        <v>977</v>
      </c>
      <c r="C424" s="9" t="s">
        <v>20</v>
      </c>
      <c r="D424" s="24">
        <v>261000</v>
      </c>
      <c r="E424" s="9" t="s">
        <v>2278</v>
      </c>
      <c r="F424" s="9" t="s">
        <v>66</v>
      </c>
      <c r="G424" s="9" t="s">
        <v>61</v>
      </c>
      <c r="H424" t="str" cm="1">
        <f t="array" ref="H424">_xlfn.IFS(D424&gt;=250000,"高額",D424&gt;=150000,"中額",TRUE,"低額")</f>
        <v>高額</v>
      </c>
    </row>
    <row r="425" spans="2:8" x14ac:dyDescent="0.25">
      <c r="B425" s="9" t="s">
        <v>978</v>
      </c>
      <c r="C425" s="9" t="s">
        <v>16</v>
      </c>
      <c r="D425" s="24">
        <v>83000</v>
      </c>
      <c r="E425" s="9" t="s">
        <v>2278</v>
      </c>
      <c r="F425" s="9" t="s">
        <v>67</v>
      </c>
      <c r="G425" s="9" t="s">
        <v>49</v>
      </c>
      <c r="H425" t="str" cm="1">
        <f t="array" ref="H425">_xlfn.IFS(D425&gt;=250000,"高額",D425&gt;=150000,"中額",TRUE,"低額")</f>
        <v>低額</v>
      </c>
    </row>
    <row r="426" spans="2:8" x14ac:dyDescent="0.25">
      <c r="B426" s="9" t="s">
        <v>980</v>
      </c>
      <c r="C426" s="9" t="s">
        <v>24</v>
      </c>
      <c r="D426" s="24">
        <v>165000</v>
      </c>
      <c r="E426" s="9" t="s">
        <v>2279</v>
      </c>
      <c r="F426" s="9" t="s">
        <v>66</v>
      </c>
      <c r="G426" s="9" t="s">
        <v>43</v>
      </c>
      <c r="H426" t="str" cm="1">
        <f t="array" ref="H426">_xlfn.IFS(D426&gt;=250000,"高額",D426&gt;=150000,"中額",TRUE,"低額")</f>
        <v>中額</v>
      </c>
    </row>
    <row r="427" spans="2:8" x14ac:dyDescent="0.25">
      <c r="B427" s="9" t="s">
        <v>983</v>
      </c>
      <c r="C427" s="9" t="s">
        <v>16</v>
      </c>
      <c r="D427" s="24">
        <v>214000</v>
      </c>
      <c r="E427" s="9" t="s">
        <v>2279</v>
      </c>
      <c r="F427" s="9" t="s">
        <v>64</v>
      </c>
      <c r="G427" s="9" t="s">
        <v>49</v>
      </c>
      <c r="H427" t="str" cm="1">
        <f t="array" ref="H427">_xlfn.IFS(D427&gt;=250000,"高額",D427&gt;=150000,"中額",TRUE,"低額")</f>
        <v>中額</v>
      </c>
    </row>
    <row r="428" spans="2:8" x14ac:dyDescent="0.25">
      <c r="B428" s="9" t="s">
        <v>984</v>
      </c>
      <c r="C428" s="9" t="s">
        <v>12</v>
      </c>
      <c r="D428" s="24">
        <v>241000</v>
      </c>
      <c r="E428" s="9" t="s">
        <v>2279</v>
      </c>
      <c r="F428" s="9" t="s">
        <v>66</v>
      </c>
      <c r="G428" s="9" t="s">
        <v>53</v>
      </c>
      <c r="H428" t="str" cm="1">
        <f t="array" ref="H428">_xlfn.IFS(D428&gt;=250000,"高額",D428&gt;=150000,"中額",TRUE,"低額")</f>
        <v>中額</v>
      </c>
    </row>
    <row r="429" spans="2:8" x14ac:dyDescent="0.25">
      <c r="B429" s="9" t="s">
        <v>985</v>
      </c>
      <c r="C429" s="9" t="s">
        <v>14</v>
      </c>
      <c r="D429" s="24">
        <v>265000</v>
      </c>
      <c r="E429" s="9" t="s">
        <v>2280</v>
      </c>
      <c r="F429" s="9" t="s">
        <v>64</v>
      </c>
      <c r="G429" s="9" t="s">
        <v>51</v>
      </c>
      <c r="H429" t="str" cm="1">
        <f t="array" ref="H429">_xlfn.IFS(D429&gt;=250000,"高額",D429&gt;=150000,"中額",TRUE,"低額")</f>
        <v>高額</v>
      </c>
    </row>
    <row r="430" spans="2:8" x14ac:dyDescent="0.25">
      <c r="B430" s="9" t="s">
        <v>988</v>
      </c>
      <c r="C430" s="9" t="s">
        <v>14</v>
      </c>
      <c r="D430" s="24">
        <v>184000</v>
      </c>
      <c r="E430" s="9" t="s">
        <v>2281</v>
      </c>
      <c r="F430" s="9" t="s">
        <v>62</v>
      </c>
      <c r="G430" s="9" t="s">
        <v>58</v>
      </c>
      <c r="H430" t="str" cm="1">
        <f t="array" ref="H430">_xlfn.IFS(D430&gt;=250000,"高額",D430&gt;=150000,"中額",TRUE,"低額")</f>
        <v>中額</v>
      </c>
    </row>
    <row r="431" spans="2:8" x14ac:dyDescent="0.25">
      <c r="B431" s="9" t="s">
        <v>991</v>
      </c>
      <c r="C431" s="9" t="s">
        <v>18</v>
      </c>
      <c r="D431" s="24">
        <v>179000</v>
      </c>
      <c r="E431" s="9" t="s">
        <v>2282</v>
      </c>
      <c r="F431" s="9" t="s">
        <v>64</v>
      </c>
      <c r="G431" s="9" t="s">
        <v>61</v>
      </c>
      <c r="H431" t="str" cm="1">
        <f t="array" ref="H431">_xlfn.IFS(D431&gt;=250000,"高額",D431&gt;=150000,"中額",TRUE,"低額")</f>
        <v>中額</v>
      </c>
    </row>
    <row r="432" spans="2:8" x14ac:dyDescent="0.25">
      <c r="B432" s="9" t="s">
        <v>993</v>
      </c>
      <c r="C432" s="9" t="s">
        <v>16</v>
      </c>
      <c r="D432" s="24">
        <v>159000</v>
      </c>
      <c r="E432" s="9" t="s">
        <v>2283</v>
      </c>
      <c r="F432" s="9" t="s">
        <v>64</v>
      </c>
      <c r="G432" s="9" t="s">
        <v>58</v>
      </c>
      <c r="H432" t="str" cm="1">
        <f t="array" ref="H432">_xlfn.IFS(D432&gt;=250000,"高額",D432&gt;=150000,"中額",TRUE,"低額")</f>
        <v>中額</v>
      </c>
    </row>
    <row r="433" spans="2:8" x14ac:dyDescent="0.25">
      <c r="B433" s="9" t="s">
        <v>995</v>
      </c>
      <c r="C433" s="9" t="s">
        <v>20</v>
      </c>
      <c r="D433" s="24">
        <v>170000</v>
      </c>
      <c r="E433" s="9" t="s">
        <v>2284</v>
      </c>
      <c r="F433" s="9" t="s">
        <v>62</v>
      </c>
      <c r="G433" s="9" t="s">
        <v>55</v>
      </c>
      <c r="H433" t="str" cm="1">
        <f t="array" ref="H433">_xlfn.IFS(D433&gt;=250000,"高額",D433&gt;=150000,"中額",TRUE,"低額")</f>
        <v>中額</v>
      </c>
    </row>
    <row r="434" spans="2:8" x14ac:dyDescent="0.25">
      <c r="B434" s="9" t="s">
        <v>997</v>
      </c>
      <c r="C434" s="9" t="s">
        <v>16</v>
      </c>
      <c r="D434" s="24">
        <v>182000</v>
      </c>
      <c r="E434" s="9" t="s">
        <v>2285</v>
      </c>
      <c r="F434" s="9" t="s">
        <v>67</v>
      </c>
      <c r="G434" s="9" t="s">
        <v>61</v>
      </c>
      <c r="H434" t="str" cm="1">
        <f t="array" ref="H434">_xlfn.IFS(D434&gt;=250000,"高額",D434&gt;=150000,"中額",TRUE,"低額")</f>
        <v>中額</v>
      </c>
    </row>
    <row r="435" spans="2:8" x14ac:dyDescent="0.25">
      <c r="B435" s="9" t="s">
        <v>999</v>
      </c>
      <c r="C435" s="9" t="s">
        <v>14</v>
      </c>
      <c r="D435" s="24">
        <v>58000</v>
      </c>
      <c r="E435" s="9" t="s">
        <v>2286</v>
      </c>
      <c r="F435" s="9" t="s">
        <v>66</v>
      </c>
      <c r="G435" s="9" t="s">
        <v>49</v>
      </c>
      <c r="H435" t="str" cm="1">
        <f t="array" ref="H435">_xlfn.IFS(D435&gt;=250000,"高額",D435&gt;=150000,"中額",TRUE,"低額")</f>
        <v>低額</v>
      </c>
    </row>
    <row r="436" spans="2:8" x14ac:dyDescent="0.25">
      <c r="B436" s="9" t="s">
        <v>1001</v>
      </c>
      <c r="C436" s="9" t="s">
        <v>16</v>
      </c>
      <c r="D436" s="24">
        <v>46000</v>
      </c>
      <c r="E436" s="9" t="s">
        <v>2286</v>
      </c>
      <c r="F436" s="9" t="s">
        <v>67</v>
      </c>
      <c r="G436" s="9" t="s">
        <v>55</v>
      </c>
      <c r="H436" t="str" cm="1">
        <f t="array" ref="H436">_xlfn.IFS(D436&gt;=250000,"高額",D436&gt;=150000,"中額",TRUE,"低額")</f>
        <v>低額</v>
      </c>
    </row>
    <row r="437" spans="2:8" x14ac:dyDescent="0.25">
      <c r="B437" s="9" t="s">
        <v>1002</v>
      </c>
      <c r="C437" s="9" t="s">
        <v>14</v>
      </c>
      <c r="D437" s="24">
        <v>93000</v>
      </c>
      <c r="E437" s="9" t="s">
        <v>2286</v>
      </c>
      <c r="F437" s="9" t="s">
        <v>64</v>
      </c>
      <c r="G437" s="9" t="s">
        <v>47</v>
      </c>
      <c r="H437" t="str" cm="1">
        <f t="array" ref="H437">_xlfn.IFS(D437&gt;=250000,"高額",D437&gt;=150000,"中額",TRUE,"低額")</f>
        <v>低額</v>
      </c>
    </row>
    <row r="438" spans="2:8" x14ac:dyDescent="0.25">
      <c r="B438" s="9" t="s">
        <v>1003</v>
      </c>
      <c r="C438" s="9" t="s">
        <v>16</v>
      </c>
      <c r="D438" s="24">
        <v>108000</v>
      </c>
      <c r="E438" s="9" t="s">
        <v>2287</v>
      </c>
      <c r="F438" s="9" t="s">
        <v>66</v>
      </c>
      <c r="G438" s="9" t="s">
        <v>51</v>
      </c>
      <c r="H438" t="str" cm="1">
        <f t="array" ref="H438">_xlfn.IFS(D438&gt;=250000,"高額",D438&gt;=150000,"中額",TRUE,"低額")</f>
        <v>低額</v>
      </c>
    </row>
    <row r="439" spans="2:8" x14ac:dyDescent="0.25">
      <c r="B439" s="9" t="s">
        <v>1005</v>
      </c>
      <c r="C439" s="9" t="s">
        <v>14</v>
      </c>
      <c r="D439" s="24">
        <v>202000</v>
      </c>
      <c r="E439" s="9" t="s">
        <v>2288</v>
      </c>
      <c r="F439" s="9" t="s">
        <v>62</v>
      </c>
      <c r="G439" s="9" t="s">
        <v>43</v>
      </c>
      <c r="H439" t="str" cm="1">
        <f t="array" ref="H439">_xlfn.IFS(D439&gt;=250000,"高額",D439&gt;=150000,"中額",TRUE,"低額")</f>
        <v>中額</v>
      </c>
    </row>
    <row r="440" spans="2:8" x14ac:dyDescent="0.25">
      <c r="B440" s="9" t="s">
        <v>1007</v>
      </c>
      <c r="C440" s="9" t="s">
        <v>20</v>
      </c>
      <c r="D440" s="24">
        <v>154000</v>
      </c>
      <c r="E440" s="9" t="s">
        <v>2289</v>
      </c>
      <c r="F440" s="9" t="s">
        <v>65</v>
      </c>
      <c r="G440" s="9" t="s">
        <v>61</v>
      </c>
      <c r="H440" t="str" cm="1">
        <f t="array" ref="H440">_xlfn.IFS(D440&gt;=250000,"高額",D440&gt;=150000,"中額",TRUE,"低額")</f>
        <v>中額</v>
      </c>
    </row>
    <row r="441" spans="2:8" x14ac:dyDescent="0.25">
      <c r="B441" s="9" t="s">
        <v>1009</v>
      </c>
      <c r="C441" s="9" t="s">
        <v>16</v>
      </c>
      <c r="D441" s="24">
        <v>118000</v>
      </c>
      <c r="E441" s="9" t="s">
        <v>2289</v>
      </c>
      <c r="F441" s="9" t="s">
        <v>63</v>
      </c>
      <c r="G441" s="9" t="s">
        <v>51</v>
      </c>
      <c r="H441" t="str" cm="1">
        <f t="array" ref="H441">_xlfn.IFS(D441&gt;=250000,"高額",D441&gt;=150000,"中額",TRUE,"低額")</f>
        <v>低額</v>
      </c>
    </row>
    <row r="442" spans="2:8" x14ac:dyDescent="0.25">
      <c r="B442" s="9" t="s">
        <v>1010</v>
      </c>
      <c r="C442" s="9" t="s">
        <v>22</v>
      </c>
      <c r="D442" s="24">
        <v>268000</v>
      </c>
      <c r="E442" s="9" t="s">
        <v>2290</v>
      </c>
      <c r="F442" s="9" t="s">
        <v>63</v>
      </c>
      <c r="G442" s="9" t="s">
        <v>51</v>
      </c>
      <c r="H442" t="str" cm="1">
        <f t="array" ref="H442">_xlfn.IFS(D442&gt;=250000,"高額",D442&gt;=150000,"中額",TRUE,"低額")</f>
        <v>高額</v>
      </c>
    </row>
    <row r="443" spans="2:8" x14ac:dyDescent="0.25">
      <c r="B443" s="9" t="s">
        <v>1012</v>
      </c>
      <c r="C443" s="9" t="s">
        <v>20</v>
      </c>
      <c r="D443" s="24">
        <v>82000</v>
      </c>
      <c r="E443" s="9" t="s">
        <v>2290</v>
      </c>
      <c r="F443" s="9" t="s">
        <v>63</v>
      </c>
      <c r="G443" s="9" t="s">
        <v>58</v>
      </c>
      <c r="H443" t="str" cm="1">
        <f t="array" ref="H443">_xlfn.IFS(D443&gt;=250000,"高額",D443&gt;=150000,"中額",TRUE,"低額")</f>
        <v>低額</v>
      </c>
    </row>
    <row r="444" spans="2:8" x14ac:dyDescent="0.25">
      <c r="B444" s="9" t="s">
        <v>1013</v>
      </c>
      <c r="C444" s="9" t="s">
        <v>12</v>
      </c>
      <c r="D444" s="24">
        <v>200000</v>
      </c>
      <c r="E444" s="9" t="s">
        <v>2291</v>
      </c>
      <c r="F444" s="9" t="s">
        <v>65</v>
      </c>
      <c r="G444" s="9" t="s">
        <v>53</v>
      </c>
      <c r="H444" t="str" cm="1">
        <f t="array" ref="H444">_xlfn.IFS(D444&gt;=250000,"高額",D444&gt;=150000,"中額",TRUE,"低額")</f>
        <v>中額</v>
      </c>
    </row>
    <row r="445" spans="2:8" x14ac:dyDescent="0.25">
      <c r="B445" s="9" t="s">
        <v>1015</v>
      </c>
      <c r="C445" s="9" t="s">
        <v>16</v>
      </c>
      <c r="D445" s="24">
        <v>94000</v>
      </c>
      <c r="E445" s="9" t="s">
        <v>2292</v>
      </c>
      <c r="F445" s="9" t="s">
        <v>65</v>
      </c>
      <c r="G445" s="9" t="s">
        <v>43</v>
      </c>
      <c r="H445" t="str" cm="1">
        <f t="array" ref="H445">_xlfn.IFS(D445&gt;=250000,"高額",D445&gt;=150000,"中額",TRUE,"低額")</f>
        <v>低額</v>
      </c>
    </row>
    <row r="446" spans="2:8" x14ac:dyDescent="0.25">
      <c r="B446" s="9" t="s">
        <v>1017</v>
      </c>
      <c r="C446" s="9" t="s">
        <v>22</v>
      </c>
      <c r="D446" s="24">
        <v>215000</v>
      </c>
      <c r="E446" s="9" t="s">
        <v>2293</v>
      </c>
      <c r="F446" s="9" t="s">
        <v>63</v>
      </c>
      <c r="G446" s="9" t="s">
        <v>45</v>
      </c>
      <c r="H446" t="str" cm="1">
        <f t="array" ref="H446">_xlfn.IFS(D446&gt;=250000,"高額",D446&gt;=150000,"中額",TRUE,"低額")</f>
        <v>中額</v>
      </c>
    </row>
    <row r="447" spans="2:8" x14ac:dyDescent="0.25">
      <c r="B447" s="9" t="s">
        <v>1019</v>
      </c>
      <c r="C447" s="9" t="s">
        <v>16</v>
      </c>
      <c r="D447" s="24">
        <v>69000</v>
      </c>
      <c r="E447" s="9" t="s">
        <v>2294</v>
      </c>
      <c r="F447" s="9" t="s">
        <v>63</v>
      </c>
      <c r="G447" s="9" t="s">
        <v>61</v>
      </c>
      <c r="H447" t="str" cm="1">
        <f t="array" ref="H447">_xlfn.IFS(D447&gt;=250000,"高額",D447&gt;=150000,"中額",TRUE,"低額")</f>
        <v>低額</v>
      </c>
    </row>
    <row r="448" spans="2:8" x14ac:dyDescent="0.25">
      <c r="B448" s="9" t="s">
        <v>1021</v>
      </c>
      <c r="C448" s="9" t="s">
        <v>22</v>
      </c>
      <c r="D448" s="24">
        <v>38000</v>
      </c>
      <c r="E448" s="9" t="s">
        <v>2295</v>
      </c>
      <c r="F448" s="9" t="s">
        <v>65</v>
      </c>
      <c r="G448" s="9" t="s">
        <v>43</v>
      </c>
      <c r="H448" t="str" cm="1">
        <f t="array" ref="H448">_xlfn.IFS(D448&gt;=250000,"高額",D448&gt;=150000,"中額",TRUE,"低額")</f>
        <v>低額</v>
      </c>
    </row>
    <row r="449" spans="2:8" x14ac:dyDescent="0.25">
      <c r="B449" s="9" t="s">
        <v>1024</v>
      </c>
      <c r="C449" s="9" t="s">
        <v>20</v>
      </c>
      <c r="D449" s="24">
        <v>272000</v>
      </c>
      <c r="E449" s="9" t="s">
        <v>2296</v>
      </c>
      <c r="F449" s="9" t="s">
        <v>65</v>
      </c>
      <c r="G449" s="9" t="s">
        <v>55</v>
      </c>
      <c r="H449" t="str" cm="1">
        <f t="array" ref="H449">_xlfn.IFS(D449&gt;=250000,"高額",D449&gt;=150000,"中額",TRUE,"低額")</f>
        <v>高額</v>
      </c>
    </row>
    <row r="450" spans="2:8" x14ac:dyDescent="0.25">
      <c r="B450" s="9" t="s">
        <v>1026</v>
      </c>
      <c r="C450" s="9" t="s">
        <v>16</v>
      </c>
      <c r="D450" s="24">
        <v>90000</v>
      </c>
      <c r="E450" s="9" t="s">
        <v>2297</v>
      </c>
      <c r="F450" s="9" t="s">
        <v>65</v>
      </c>
      <c r="G450" s="9" t="s">
        <v>55</v>
      </c>
      <c r="H450" t="str" cm="1">
        <f t="array" ref="H450">_xlfn.IFS(D450&gt;=250000,"高額",D450&gt;=150000,"中額",TRUE,"低額")</f>
        <v>低額</v>
      </c>
    </row>
    <row r="451" spans="2:8" x14ac:dyDescent="0.25">
      <c r="B451" s="9" t="s">
        <v>1029</v>
      </c>
      <c r="C451" s="9" t="s">
        <v>16</v>
      </c>
      <c r="D451" s="24">
        <v>215000</v>
      </c>
      <c r="E451" s="9" t="s">
        <v>2298</v>
      </c>
      <c r="F451" s="9" t="s">
        <v>62</v>
      </c>
      <c r="G451" s="9" t="s">
        <v>45</v>
      </c>
      <c r="H451" t="str" cm="1">
        <f t="array" ref="H451">_xlfn.IFS(D451&gt;=250000,"高額",D451&gt;=150000,"中額",TRUE,"低額")</f>
        <v>中額</v>
      </c>
    </row>
    <row r="452" spans="2:8" x14ac:dyDescent="0.25">
      <c r="B452" s="9" t="s">
        <v>1031</v>
      </c>
      <c r="C452" s="9" t="s">
        <v>18</v>
      </c>
      <c r="D452" s="24">
        <v>171000</v>
      </c>
      <c r="E452" s="9" t="s">
        <v>2298</v>
      </c>
      <c r="F452" s="9" t="s">
        <v>67</v>
      </c>
      <c r="G452" s="9" t="s">
        <v>49</v>
      </c>
      <c r="H452" t="str" cm="1">
        <f t="array" ref="H452">_xlfn.IFS(D452&gt;=250000,"高額",D452&gt;=150000,"中額",TRUE,"低額")</f>
        <v>中額</v>
      </c>
    </row>
    <row r="453" spans="2:8" x14ac:dyDescent="0.25">
      <c r="B453" s="9" t="s">
        <v>1033</v>
      </c>
      <c r="C453" s="9" t="s">
        <v>22</v>
      </c>
      <c r="D453" s="24">
        <v>150000</v>
      </c>
      <c r="E453" s="9" t="s">
        <v>2299</v>
      </c>
      <c r="F453" s="9" t="s">
        <v>62</v>
      </c>
      <c r="G453" s="9" t="s">
        <v>53</v>
      </c>
      <c r="H453" t="str" cm="1">
        <f t="array" ref="H453">_xlfn.IFS(D453&gt;=250000,"高額",D453&gt;=150000,"中額",TRUE,"低額")</f>
        <v>中額</v>
      </c>
    </row>
    <row r="454" spans="2:8" x14ac:dyDescent="0.25">
      <c r="B454" s="9" t="s">
        <v>1036</v>
      </c>
      <c r="C454" s="9" t="s">
        <v>16</v>
      </c>
      <c r="D454" s="24">
        <v>156000</v>
      </c>
      <c r="E454" s="9" t="s">
        <v>2300</v>
      </c>
      <c r="F454" s="9" t="s">
        <v>65</v>
      </c>
      <c r="G454" s="9" t="s">
        <v>58</v>
      </c>
      <c r="H454" t="str" cm="1">
        <f t="array" ref="H454">_xlfn.IFS(D454&gt;=250000,"高額",D454&gt;=150000,"中額",TRUE,"低額")</f>
        <v>中額</v>
      </c>
    </row>
    <row r="455" spans="2:8" x14ac:dyDescent="0.25">
      <c r="B455" s="9" t="s">
        <v>1038</v>
      </c>
      <c r="C455" s="9" t="s">
        <v>14</v>
      </c>
      <c r="D455" s="24">
        <v>114000</v>
      </c>
      <c r="E455" s="9" t="s">
        <v>2300</v>
      </c>
      <c r="F455" s="9" t="s">
        <v>65</v>
      </c>
      <c r="G455" s="9" t="s">
        <v>47</v>
      </c>
      <c r="H455" t="str" cm="1">
        <f t="array" ref="H455">_xlfn.IFS(D455&gt;=250000,"高額",D455&gt;=150000,"中額",TRUE,"低額")</f>
        <v>低額</v>
      </c>
    </row>
    <row r="456" spans="2:8" x14ac:dyDescent="0.25">
      <c r="B456" s="9" t="s">
        <v>1039</v>
      </c>
      <c r="C456" s="9" t="s">
        <v>20</v>
      </c>
      <c r="D456" s="24">
        <v>53000</v>
      </c>
      <c r="E456" s="9" t="s">
        <v>2301</v>
      </c>
      <c r="F456" s="9" t="s">
        <v>67</v>
      </c>
      <c r="G456" s="9" t="s">
        <v>55</v>
      </c>
      <c r="H456" t="str" cm="1">
        <f t="array" ref="H456">_xlfn.IFS(D456&gt;=250000,"高額",D456&gt;=150000,"中額",TRUE,"低額")</f>
        <v>低額</v>
      </c>
    </row>
    <row r="457" spans="2:8" x14ac:dyDescent="0.25">
      <c r="B457" s="9" t="s">
        <v>1041</v>
      </c>
      <c r="C457" s="9" t="s">
        <v>22</v>
      </c>
      <c r="D457" s="24">
        <v>99000</v>
      </c>
      <c r="E457" s="9" t="s">
        <v>2302</v>
      </c>
      <c r="F457" s="9" t="s">
        <v>62</v>
      </c>
      <c r="G457" s="9" t="s">
        <v>61</v>
      </c>
      <c r="H457" t="str" cm="1">
        <f t="array" ref="H457">_xlfn.IFS(D457&gt;=250000,"高額",D457&gt;=150000,"中額",TRUE,"低額")</f>
        <v>低額</v>
      </c>
    </row>
    <row r="458" spans="2:8" x14ac:dyDescent="0.25">
      <c r="B458" s="9" t="s">
        <v>1043</v>
      </c>
      <c r="C458" s="9" t="s">
        <v>14</v>
      </c>
      <c r="D458" s="24">
        <v>75000</v>
      </c>
      <c r="E458" s="9" t="s">
        <v>2303</v>
      </c>
      <c r="F458" s="9" t="s">
        <v>63</v>
      </c>
      <c r="G458" s="9" t="s">
        <v>43</v>
      </c>
      <c r="H458" t="str" cm="1">
        <f t="array" ref="H458">_xlfn.IFS(D458&gt;=250000,"高額",D458&gt;=150000,"中額",TRUE,"低額")</f>
        <v>低額</v>
      </c>
    </row>
    <row r="459" spans="2:8" x14ac:dyDescent="0.25">
      <c r="B459" s="9" t="s">
        <v>1045</v>
      </c>
      <c r="C459" s="9" t="s">
        <v>16</v>
      </c>
      <c r="D459" s="24">
        <v>182000</v>
      </c>
      <c r="E459" s="9" t="s">
        <v>2304</v>
      </c>
      <c r="F459" s="9" t="s">
        <v>66</v>
      </c>
      <c r="G459" s="9" t="s">
        <v>47</v>
      </c>
      <c r="H459" t="str" cm="1">
        <f t="array" ref="H459">_xlfn.IFS(D459&gt;=250000,"高額",D459&gt;=150000,"中額",TRUE,"低額")</f>
        <v>中額</v>
      </c>
    </row>
    <row r="460" spans="2:8" x14ac:dyDescent="0.25">
      <c r="B460" s="9" t="s">
        <v>1047</v>
      </c>
      <c r="C460" s="9" t="s">
        <v>14</v>
      </c>
      <c r="D460" s="24">
        <v>299000</v>
      </c>
      <c r="E460" s="9" t="s">
        <v>2305</v>
      </c>
      <c r="F460" s="9" t="s">
        <v>63</v>
      </c>
      <c r="G460" s="9" t="s">
        <v>58</v>
      </c>
      <c r="H460" t="str" cm="1">
        <f t="array" ref="H460">_xlfn.IFS(D460&gt;=250000,"高額",D460&gt;=150000,"中額",TRUE,"低額")</f>
        <v>高額</v>
      </c>
    </row>
    <row r="461" spans="2:8" x14ac:dyDescent="0.25">
      <c r="B461" s="9" t="s">
        <v>1050</v>
      </c>
      <c r="C461" s="9" t="s">
        <v>24</v>
      </c>
      <c r="D461" s="24">
        <v>217000</v>
      </c>
      <c r="E461" s="9" t="s">
        <v>2306</v>
      </c>
      <c r="F461" s="9" t="s">
        <v>67</v>
      </c>
      <c r="G461" s="9" t="s">
        <v>49</v>
      </c>
      <c r="H461" t="str" cm="1">
        <f t="array" ref="H461">_xlfn.IFS(D461&gt;=250000,"高額",D461&gt;=150000,"中額",TRUE,"低額")</f>
        <v>中額</v>
      </c>
    </row>
    <row r="462" spans="2:8" x14ac:dyDescent="0.25">
      <c r="B462" s="9" t="s">
        <v>1052</v>
      </c>
      <c r="C462" s="9" t="s">
        <v>14</v>
      </c>
      <c r="D462" s="24">
        <v>158000</v>
      </c>
      <c r="E462" s="9" t="s">
        <v>2306</v>
      </c>
      <c r="F462" s="9" t="s">
        <v>65</v>
      </c>
      <c r="G462" s="9" t="s">
        <v>49</v>
      </c>
      <c r="H462" t="str" cm="1">
        <f t="array" ref="H462">_xlfn.IFS(D462&gt;=250000,"高額",D462&gt;=150000,"中額",TRUE,"低額")</f>
        <v>中額</v>
      </c>
    </row>
    <row r="463" spans="2:8" x14ac:dyDescent="0.25">
      <c r="B463" s="9" t="s">
        <v>1054</v>
      </c>
      <c r="C463" s="9" t="s">
        <v>22</v>
      </c>
      <c r="D463" s="24">
        <v>235000</v>
      </c>
      <c r="E463" s="9" t="s">
        <v>2307</v>
      </c>
      <c r="F463" s="9" t="s">
        <v>66</v>
      </c>
      <c r="G463" s="9" t="s">
        <v>58</v>
      </c>
      <c r="H463" t="str" cm="1">
        <f t="array" ref="H463">_xlfn.IFS(D463&gt;=250000,"高額",D463&gt;=150000,"中額",TRUE,"低額")</f>
        <v>中額</v>
      </c>
    </row>
    <row r="464" spans="2:8" x14ac:dyDescent="0.25">
      <c r="B464" s="9" t="s">
        <v>1057</v>
      </c>
      <c r="C464" s="9" t="s">
        <v>16</v>
      </c>
      <c r="D464" s="24">
        <v>267000</v>
      </c>
      <c r="E464" s="9" t="s">
        <v>2308</v>
      </c>
      <c r="F464" s="9" t="s">
        <v>67</v>
      </c>
      <c r="G464" s="9" t="s">
        <v>45</v>
      </c>
      <c r="H464" t="str" cm="1">
        <f t="array" ref="H464">_xlfn.IFS(D464&gt;=250000,"高額",D464&gt;=150000,"中額",TRUE,"低額")</f>
        <v>高額</v>
      </c>
    </row>
    <row r="465" spans="2:8" x14ac:dyDescent="0.25">
      <c r="B465" s="9" t="s">
        <v>1060</v>
      </c>
      <c r="C465" s="9" t="s">
        <v>14</v>
      </c>
      <c r="D465" s="24">
        <v>290000</v>
      </c>
      <c r="E465" s="9" t="s">
        <v>2309</v>
      </c>
      <c r="F465" s="9" t="s">
        <v>62</v>
      </c>
      <c r="G465" s="9" t="s">
        <v>45</v>
      </c>
      <c r="H465" t="str" cm="1">
        <f t="array" ref="H465">_xlfn.IFS(D465&gt;=250000,"高額",D465&gt;=150000,"中額",TRUE,"低額")</f>
        <v>高額</v>
      </c>
    </row>
    <row r="466" spans="2:8" x14ac:dyDescent="0.25">
      <c r="B466" s="9" t="s">
        <v>1062</v>
      </c>
      <c r="C466" s="9" t="s">
        <v>14</v>
      </c>
      <c r="D466" s="24">
        <v>245000</v>
      </c>
      <c r="E466" s="9" t="s">
        <v>2309</v>
      </c>
      <c r="F466" s="9" t="s">
        <v>67</v>
      </c>
      <c r="G466" s="9" t="s">
        <v>47</v>
      </c>
      <c r="H466" t="str" cm="1">
        <f t="array" ref="H466">_xlfn.IFS(D466&gt;=250000,"高額",D466&gt;=150000,"中額",TRUE,"低額")</f>
        <v>中額</v>
      </c>
    </row>
    <row r="467" spans="2:8" x14ac:dyDescent="0.25">
      <c r="B467" s="9" t="s">
        <v>1063</v>
      </c>
      <c r="C467" s="9" t="s">
        <v>24</v>
      </c>
      <c r="D467" s="24">
        <v>232000</v>
      </c>
      <c r="E467" s="9" t="s">
        <v>2309</v>
      </c>
      <c r="F467" s="9" t="s">
        <v>63</v>
      </c>
      <c r="G467" s="9" t="s">
        <v>45</v>
      </c>
      <c r="H467" t="str" cm="1">
        <f t="array" ref="H467">_xlfn.IFS(D467&gt;=250000,"高額",D467&gt;=150000,"中額",TRUE,"低額")</f>
        <v>中額</v>
      </c>
    </row>
    <row r="468" spans="2:8" x14ac:dyDescent="0.25">
      <c r="B468" s="9" t="s">
        <v>1064</v>
      </c>
      <c r="C468" s="9" t="s">
        <v>20</v>
      </c>
      <c r="D468" s="24">
        <v>252000</v>
      </c>
      <c r="E468" s="9" t="s">
        <v>2310</v>
      </c>
      <c r="F468" s="9" t="s">
        <v>63</v>
      </c>
      <c r="G468" s="9" t="s">
        <v>61</v>
      </c>
      <c r="H468" t="str" cm="1">
        <f t="array" ref="H468">_xlfn.IFS(D468&gt;=250000,"高額",D468&gt;=150000,"中額",TRUE,"低額")</f>
        <v>高額</v>
      </c>
    </row>
    <row r="469" spans="2:8" x14ac:dyDescent="0.25">
      <c r="B469" s="9" t="s">
        <v>1066</v>
      </c>
      <c r="C469" s="9" t="s">
        <v>20</v>
      </c>
      <c r="D469" s="24">
        <v>280000</v>
      </c>
      <c r="E469" s="9" t="s">
        <v>2311</v>
      </c>
      <c r="F469" s="9" t="s">
        <v>62</v>
      </c>
      <c r="G469" s="9" t="s">
        <v>53</v>
      </c>
      <c r="H469" t="str" cm="1">
        <f t="array" ref="H469">_xlfn.IFS(D469&gt;=250000,"高額",D469&gt;=150000,"中額",TRUE,"低額")</f>
        <v>高額</v>
      </c>
    </row>
    <row r="470" spans="2:8" x14ac:dyDescent="0.25">
      <c r="B470" s="9" t="s">
        <v>1068</v>
      </c>
      <c r="C470" s="9" t="s">
        <v>22</v>
      </c>
      <c r="D470" s="24">
        <v>217000</v>
      </c>
      <c r="E470" s="9" t="s">
        <v>2312</v>
      </c>
      <c r="F470" s="9" t="s">
        <v>66</v>
      </c>
      <c r="G470" s="9" t="s">
        <v>53</v>
      </c>
      <c r="H470" t="str" cm="1">
        <f t="array" ref="H470">_xlfn.IFS(D470&gt;=250000,"高額",D470&gt;=150000,"中額",TRUE,"低額")</f>
        <v>中額</v>
      </c>
    </row>
    <row r="471" spans="2:8" x14ac:dyDescent="0.25">
      <c r="B471" s="9" t="s">
        <v>1070</v>
      </c>
      <c r="C471" s="9" t="s">
        <v>18</v>
      </c>
      <c r="D471" s="24">
        <v>198000</v>
      </c>
      <c r="E471" s="9" t="s">
        <v>2313</v>
      </c>
      <c r="F471" s="9" t="s">
        <v>65</v>
      </c>
      <c r="G471" s="9" t="s">
        <v>61</v>
      </c>
      <c r="H471" t="str" cm="1">
        <f t="array" ref="H471">_xlfn.IFS(D471&gt;=250000,"高額",D471&gt;=150000,"中額",TRUE,"低額")</f>
        <v>中額</v>
      </c>
    </row>
    <row r="472" spans="2:8" x14ac:dyDescent="0.25">
      <c r="B472" s="9" t="s">
        <v>1072</v>
      </c>
      <c r="C472" s="9" t="s">
        <v>24</v>
      </c>
      <c r="D472" s="24">
        <v>278000</v>
      </c>
      <c r="E472" s="9" t="s">
        <v>2313</v>
      </c>
      <c r="F472" s="9" t="s">
        <v>62</v>
      </c>
      <c r="G472" s="9" t="s">
        <v>49</v>
      </c>
      <c r="H472" t="str" cm="1">
        <f t="array" ref="H472">_xlfn.IFS(D472&gt;=250000,"高額",D472&gt;=150000,"中額",TRUE,"低額")</f>
        <v>高額</v>
      </c>
    </row>
    <row r="473" spans="2:8" x14ac:dyDescent="0.25">
      <c r="B473" s="9" t="s">
        <v>1074</v>
      </c>
      <c r="C473" s="9" t="s">
        <v>20</v>
      </c>
      <c r="D473" s="24">
        <v>100000</v>
      </c>
      <c r="E473" s="9" t="s">
        <v>2314</v>
      </c>
      <c r="F473" s="9" t="s">
        <v>65</v>
      </c>
      <c r="G473" s="9" t="s">
        <v>45</v>
      </c>
      <c r="H473" t="str" cm="1">
        <f t="array" ref="H473">_xlfn.IFS(D473&gt;=250000,"高額",D473&gt;=150000,"中額",TRUE,"低額")</f>
        <v>低額</v>
      </c>
    </row>
    <row r="474" spans="2:8" x14ac:dyDescent="0.25">
      <c r="B474" s="9" t="s">
        <v>1076</v>
      </c>
      <c r="C474" s="9" t="s">
        <v>18</v>
      </c>
      <c r="D474" s="24">
        <v>34000</v>
      </c>
      <c r="E474" s="9" t="s">
        <v>2314</v>
      </c>
      <c r="F474" s="9" t="s">
        <v>64</v>
      </c>
      <c r="G474" s="9" t="s">
        <v>47</v>
      </c>
      <c r="H474" t="str" cm="1">
        <f t="array" ref="H474">_xlfn.IFS(D474&gt;=250000,"高額",D474&gt;=150000,"中額",TRUE,"低額")</f>
        <v>低額</v>
      </c>
    </row>
    <row r="475" spans="2:8" x14ac:dyDescent="0.25">
      <c r="B475" s="9" t="s">
        <v>1078</v>
      </c>
      <c r="C475" s="9" t="s">
        <v>14</v>
      </c>
      <c r="D475" s="24">
        <v>85000</v>
      </c>
      <c r="E475" s="9" t="s">
        <v>2315</v>
      </c>
      <c r="F475" s="9" t="s">
        <v>63</v>
      </c>
      <c r="G475" s="9" t="s">
        <v>53</v>
      </c>
      <c r="H475" t="str" cm="1">
        <f t="array" ref="H475">_xlfn.IFS(D475&gt;=250000,"高額",D475&gt;=150000,"中額",TRUE,"低額")</f>
        <v>低額</v>
      </c>
    </row>
    <row r="476" spans="2:8" x14ac:dyDescent="0.25">
      <c r="B476" s="9" t="s">
        <v>1080</v>
      </c>
      <c r="C476" s="9" t="s">
        <v>16</v>
      </c>
      <c r="D476" s="24">
        <v>247000</v>
      </c>
      <c r="E476" s="9" t="s">
        <v>2315</v>
      </c>
      <c r="F476" s="9" t="s">
        <v>64</v>
      </c>
      <c r="G476" s="9" t="s">
        <v>43</v>
      </c>
      <c r="H476" t="str" cm="1">
        <f t="array" ref="H476">_xlfn.IFS(D476&gt;=250000,"高額",D476&gt;=150000,"中額",TRUE,"低額")</f>
        <v>中額</v>
      </c>
    </row>
    <row r="477" spans="2:8" x14ac:dyDescent="0.25">
      <c r="B477" s="9" t="s">
        <v>1081</v>
      </c>
      <c r="C477" s="9" t="s">
        <v>18</v>
      </c>
      <c r="D477" s="24">
        <v>233000</v>
      </c>
      <c r="E477" s="9" t="s">
        <v>2315</v>
      </c>
      <c r="F477" s="9" t="s">
        <v>66</v>
      </c>
      <c r="G477" s="9" t="s">
        <v>51</v>
      </c>
      <c r="H477" t="str" cm="1">
        <f t="array" ref="H477">_xlfn.IFS(D477&gt;=250000,"高額",D477&gt;=150000,"中額",TRUE,"低額")</f>
        <v>中額</v>
      </c>
    </row>
    <row r="478" spans="2:8" x14ac:dyDescent="0.25">
      <c r="B478" s="9" t="s">
        <v>1082</v>
      </c>
      <c r="C478" s="9" t="s">
        <v>18</v>
      </c>
      <c r="D478" s="24">
        <v>122000</v>
      </c>
      <c r="E478" s="9" t="s">
        <v>2316</v>
      </c>
      <c r="F478" s="9" t="s">
        <v>65</v>
      </c>
      <c r="G478" s="9" t="s">
        <v>49</v>
      </c>
      <c r="H478" t="str" cm="1">
        <f t="array" ref="H478">_xlfn.IFS(D478&gt;=250000,"高額",D478&gt;=150000,"中額",TRUE,"低額")</f>
        <v>低額</v>
      </c>
    </row>
    <row r="479" spans="2:8" x14ac:dyDescent="0.25">
      <c r="B479" s="9" t="s">
        <v>1085</v>
      </c>
      <c r="C479" s="9" t="s">
        <v>18</v>
      </c>
      <c r="D479" s="24">
        <v>88000</v>
      </c>
      <c r="E479" s="9" t="s">
        <v>2317</v>
      </c>
      <c r="F479" s="9" t="s">
        <v>63</v>
      </c>
      <c r="G479" s="9" t="s">
        <v>55</v>
      </c>
      <c r="H479" t="str" cm="1">
        <f t="array" ref="H479">_xlfn.IFS(D479&gt;=250000,"高額",D479&gt;=150000,"中額",TRUE,"低額")</f>
        <v>低額</v>
      </c>
    </row>
    <row r="480" spans="2:8" x14ac:dyDescent="0.25">
      <c r="B480" s="9" t="s">
        <v>1087</v>
      </c>
      <c r="C480" s="9" t="s">
        <v>18</v>
      </c>
      <c r="D480" s="24">
        <v>137000</v>
      </c>
      <c r="E480" s="9" t="s">
        <v>2318</v>
      </c>
      <c r="F480" s="9" t="s">
        <v>64</v>
      </c>
      <c r="G480" s="9" t="s">
        <v>47</v>
      </c>
      <c r="H480" t="str" cm="1">
        <f t="array" ref="H480">_xlfn.IFS(D480&gt;=250000,"高額",D480&gt;=150000,"中額",TRUE,"低額")</f>
        <v>低額</v>
      </c>
    </row>
    <row r="481" spans="2:8" x14ac:dyDescent="0.25">
      <c r="B481" s="9" t="s">
        <v>1089</v>
      </c>
      <c r="C481" s="9" t="s">
        <v>16</v>
      </c>
      <c r="D481" s="24">
        <v>109000</v>
      </c>
      <c r="E481" s="9" t="s">
        <v>2319</v>
      </c>
      <c r="F481" s="9" t="s">
        <v>66</v>
      </c>
      <c r="G481" s="9" t="s">
        <v>61</v>
      </c>
      <c r="H481" t="str" cm="1">
        <f t="array" ref="H481">_xlfn.IFS(D481&gt;=250000,"高額",D481&gt;=150000,"中額",TRUE,"低額")</f>
        <v>低額</v>
      </c>
    </row>
    <row r="482" spans="2:8" x14ac:dyDescent="0.25">
      <c r="B482" s="9" t="s">
        <v>1092</v>
      </c>
      <c r="C482" s="9" t="s">
        <v>14</v>
      </c>
      <c r="D482" s="24">
        <v>241000</v>
      </c>
      <c r="E482" s="9" t="s">
        <v>2319</v>
      </c>
      <c r="F482" s="9" t="s">
        <v>63</v>
      </c>
      <c r="G482" s="9" t="s">
        <v>58</v>
      </c>
      <c r="H482" t="str" cm="1">
        <f t="array" ref="H482">_xlfn.IFS(D482&gt;=250000,"高額",D482&gt;=150000,"中額",TRUE,"低額")</f>
        <v>中額</v>
      </c>
    </row>
    <row r="483" spans="2:8" x14ac:dyDescent="0.25">
      <c r="B483" s="9" t="s">
        <v>1093</v>
      </c>
      <c r="C483" s="9" t="s">
        <v>22</v>
      </c>
      <c r="D483" s="24">
        <v>286000</v>
      </c>
      <c r="E483" s="9" t="s">
        <v>2320</v>
      </c>
      <c r="F483" s="9" t="s">
        <v>64</v>
      </c>
      <c r="G483" s="9" t="s">
        <v>55</v>
      </c>
      <c r="H483" t="str" cm="1">
        <f t="array" ref="H483">_xlfn.IFS(D483&gt;=250000,"高額",D483&gt;=150000,"中額",TRUE,"低額")</f>
        <v>高額</v>
      </c>
    </row>
    <row r="484" spans="2:8" x14ac:dyDescent="0.25">
      <c r="B484" s="9" t="s">
        <v>1095</v>
      </c>
      <c r="C484" s="9" t="s">
        <v>24</v>
      </c>
      <c r="D484" s="24">
        <v>276000</v>
      </c>
      <c r="E484" s="9" t="s">
        <v>2320</v>
      </c>
      <c r="F484" s="9" t="s">
        <v>67</v>
      </c>
      <c r="G484" s="9" t="s">
        <v>47</v>
      </c>
      <c r="H484" t="str" cm="1">
        <f t="array" ref="H484">_xlfn.IFS(D484&gt;=250000,"高額",D484&gt;=150000,"中額",TRUE,"低額")</f>
        <v>高額</v>
      </c>
    </row>
    <row r="485" spans="2:8" x14ac:dyDescent="0.25">
      <c r="B485" s="9" t="s">
        <v>1096</v>
      </c>
      <c r="C485" s="9" t="s">
        <v>12</v>
      </c>
      <c r="D485" s="24">
        <v>267000</v>
      </c>
      <c r="E485" s="9" t="s">
        <v>2321</v>
      </c>
      <c r="F485" s="9" t="s">
        <v>65</v>
      </c>
      <c r="G485" s="9" t="s">
        <v>43</v>
      </c>
      <c r="H485" t="str" cm="1">
        <f t="array" ref="H485">_xlfn.IFS(D485&gt;=250000,"高額",D485&gt;=150000,"中額",TRUE,"低額")</f>
        <v>高額</v>
      </c>
    </row>
    <row r="486" spans="2:8" x14ac:dyDescent="0.25">
      <c r="B486" s="9" t="s">
        <v>1098</v>
      </c>
      <c r="C486" s="9" t="s">
        <v>14</v>
      </c>
      <c r="D486" s="24">
        <v>144000</v>
      </c>
      <c r="E486" s="9" t="s">
        <v>2322</v>
      </c>
      <c r="F486" s="9" t="s">
        <v>67</v>
      </c>
      <c r="G486" s="9" t="s">
        <v>61</v>
      </c>
      <c r="H486" t="str" cm="1">
        <f t="array" ref="H486">_xlfn.IFS(D486&gt;=250000,"高額",D486&gt;=150000,"中額",TRUE,"低額")</f>
        <v>低額</v>
      </c>
    </row>
    <row r="487" spans="2:8" x14ac:dyDescent="0.25">
      <c r="B487" s="9" t="s">
        <v>1100</v>
      </c>
      <c r="C487" s="9" t="s">
        <v>12</v>
      </c>
      <c r="D487" s="24">
        <v>145000</v>
      </c>
      <c r="E487" s="9" t="s">
        <v>2323</v>
      </c>
      <c r="F487" s="9" t="s">
        <v>63</v>
      </c>
      <c r="G487" s="9" t="s">
        <v>43</v>
      </c>
      <c r="H487" t="str" cm="1">
        <f t="array" ref="H487">_xlfn.IFS(D487&gt;=250000,"高額",D487&gt;=150000,"中額",TRUE,"低額")</f>
        <v>低額</v>
      </c>
    </row>
    <row r="488" spans="2:8" x14ac:dyDescent="0.25">
      <c r="B488" s="9" t="s">
        <v>1102</v>
      </c>
      <c r="C488" s="9" t="s">
        <v>14</v>
      </c>
      <c r="D488" s="24">
        <v>148000</v>
      </c>
      <c r="E488" s="9" t="s">
        <v>2324</v>
      </c>
      <c r="F488" s="9" t="s">
        <v>65</v>
      </c>
      <c r="G488" s="9" t="s">
        <v>55</v>
      </c>
      <c r="H488" t="str" cm="1">
        <f t="array" ref="H488">_xlfn.IFS(D488&gt;=250000,"高額",D488&gt;=150000,"中額",TRUE,"低額")</f>
        <v>低額</v>
      </c>
    </row>
    <row r="489" spans="2:8" x14ac:dyDescent="0.25">
      <c r="B489" s="9" t="s">
        <v>1104</v>
      </c>
      <c r="C489" s="9" t="s">
        <v>12</v>
      </c>
      <c r="D489" s="24">
        <v>78000</v>
      </c>
      <c r="E489" s="9" t="s">
        <v>2325</v>
      </c>
      <c r="F489" s="9" t="s">
        <v>62</v>
      </c>
      <c r="G489" s="9" t="s">
        <v>58</v>
      </c>
      <c r="H489" t="str" cm="1">
        <f t="array" ref="H489">_xlfn.IFS(D489&gt;=250000,"高額",D489&gt;=150000,"中額",TRUE,"低額")</f>
        <v>低額</v>
      </c>
    </row>
    <row r="490" spans="2:8" x14ac:dyDescent="0.25">
      <c r="B490" s="9" t="s">
        <v>1106</v>
      </c>
      <c r="C490" s="9" t="s">
        <v>24</v>
      </c>
      <c r="D490" s="24">
        <v>135000</v>
      </c>
      <c r="E490" s="9" t="s">
        <v>2326</v>
      </c>
      <c r="F490" s="9" t="s">
        <v>62</v>
      </c>
      <c r="G490" s="9" t="s">
        <v>55</v>
      </c>
      <c r="H490" t="str" cm="1">
        <f t="array" ref="H490">_xlfn.IFS(D490&gt;=250000,"高額",D490&gt;=150000,"中額",TRUE,"低額")</f>
        <v>低額</v>
      </c>
    </row>
    <row r="491" spans="2:8" x14ac:dyDescent="0.25">
      <c r="B491" s="9" t="s">
        <v>1109</v>
      </c>
      <c r="C491" s="9" t="s">
        <v>24</v>
      </c>
      <c r="D491" s="24">
        <v>253000</v>
      </c>
      <c r="E491" s="9" t="s">
        <v>2327</v>
      </c>
      <c r="F491" s="9" t="s">
        <v>65</v>
      </c>
      <c r="G491" s="9" t="s">
        <v>47</v>
      </c>
      <c r="H491" t="str" cm="1">
        <f t="array" ref="H491">_xlfn.IFS(D491&gt;=250000,"高額",D491&gt;=150000,"中額",TRUE,"低額")</f>
        <v>高額</v>
      </c>
    </row>
    <row r="492" spans="2:8" x14ac:dyDescent="0.25">
      <c r="B492" s="9" t="s">
        <v>1111</v>
      </c>
      <c r="C492" s="9" t="s">
        <v>24</v>
      </c>
      <c r="D492" s="24">
        <v>78000</v>
      </c>
      <c r="E492" s="9" t="s">
        <v>2328</v>
      </c>
      <c r="F492" s="9" t="s">
        <v>65</v>
      </c>
      <c r="G492" s="9" t="s">
        <v>53</v>
      </c>
      <c r="H492" t="str" cm="1">
        <f t="array" ref="H492">_xlfn.IFS(D492&gt;=250000,"高額",D492&gt;=150000,"中額",TRUE,"低額")</f>
        <v>低額</v>
      </c>
    </row>
    <row r="493" spans="2:8" x14ac:dyDescent="0.25">
      <c r="B493" s="9" t="s">
        <v>1113</v>
      </c>
      <c r="C493" s="9" t="s">
        <v>14</v>
      </c>
      <c r="D493" s="24">
        <v>33000</v>
      </c>
      <c r="E493" s="9" t="s">
        <v>2329</v>
      </c>
      <c r="F493" s="9" t="s">
        <v>62</v>
      </c>
      <c r="G493" s="9" t="s">
        <v>47</v>
      </c>
      <c r="H493" t="str" cm="1">
        <f t="array" ref="H493">_xlfn.IFS(D493&gt;=250000,"高額",D493&gt;=150000,"中額",TRUE,"低額")</f>
        <v>低額</v>
      </c>
    </row>
    <row r="494" spans="2:8" x14ac:dyDescent="0.25">
      <c r="B494" s="9" t="s">
        <v>1115</v>
      </c>
      <c r="C494" s="9" t="s">
        <v>20</v>
      </c>
      <c r="D494" s="24">
        <v>208000</v>
      </c>
      <c r="E494" s="9" t="s">
        <v>2330</v>
      </c>
      <c r="F494" s="9" t="s">
        <v>65</v>
      </c>
      <c r="G494" s="9" t="s">
        <v>49</v>
      </c>
      <c r="H494" t="str" cm="1">
        <f t="array" ref="H494">_xlfn.IFS(D494&gt;=250000,"高額",D494&gt;=150000,"中額",TRUE,"低額")</f>
        <v>中額</v>
      </c>
    </row>
    <row r="495" spans="2:8" x14ac:dyDescent="0.25">
      <c r="B495" s="9" t="s">
        <v>1117</v>
      </c>
      <c r="C495" s="9" t="s">
        <v>24</v>
      </c>
      <c r="D495" s="24">
        <v>152000</v>
      </c>
      <c r="E495" s="9" t="s">
        <v>2330</v>
      </c>
      <c r="F495" s="9" t="s">
        <v>64</v>
      </c>
      <c r="G495" s="9" t="s">
        <v>45</v>
      </c>
      <c r="H495" t="str" cm="1">
        <f t="array" ref="H495">_xlfn.IFS(D495&gt;=250000,"高額",D495&gt;=150000,"中額",TRUE,"低額")</f>
        <v>中額</v>
      </c>
    </row>
    <row r="496" spans="2:8" x14ac:dyDescent="0.25">
      <c r="B496" s="9" t="s">
        <v>1118</v>
      </c>
      <c r="C496" s="9" t="s">
        <v>18</v>
      </c>
      <c r="D496" s="24">
        <v>235000</v>
      </c>
      <c r="E496" s="9" t="s">
        <v>2331</v>
      </c>
      <c r="F496" s="9" t="s">
        <v>65</v>
      </c>
      <c r="G496" s="9" t="s">
        <v>51</v>
      </c>
      <c r="H496" t="str" cm="1">
        <f t="array" ref="H496">_xlfn.IFS(D496&gt;=250000,"高額",D496&gt;=150000,"中額",TRUE,"低額")</f>
        <v>中額</v>
      </c>
    </row>
    <row r="497" spans="2:8" x14ac:dyDescent="0.25">
      <c r="B497" s="9" t="s">
        <v>1120</v>
      </c>
      <c r="C497" s="9" t="s">
        <v>12</v>
      </c>
      <c r="D497" s="24">
        <v>42000</v>
      </c>
      <c r="E497" s="9" t="s">
        <v>2332</v>
      </c>
      <c r="F497" s="9" t="s">
        <v>62</v>
      </c>
      <c r="G497" s="9" t="s">
        <v>51</v>
      </c>
      <c r="H497" t="str" cm="1">
        <f t="array" ref="H497">_xlfn.IFS(D497&gt;=250000,"高額",D497&gt;=150000,"中額",TRUE,"低額")</f>
        <v>低額</v>
      </c>
    </row>
    <row r="498" spans="2:8" x14ac:dyDescent="0.25">
      <c r="B498" s="9" t="s">
        <v>1122</v>
      </c>
      <c r="C498" s="9" t="s">
        <v>12</v>
      </c>
      <c r="D498" s="24">
        <v>31000</v>
      </c>
      <c r="E498" s="9" t="s">
        <v>2333</v>
      </c>
      <c r="F498" s="9" t="s">
        <v>62</v>
      </c>
      <c r="G498" s="9" t="s">
        <v>53</v>
      </c>
      <c r="H498" t="str" cm="1">
        <f t="array" ref="H498">_xlfn.IFS(D498&gt;=250000,"高額",D498&gt;=150000,"中額",TRUE,"低額")</f>
        <v>低額</v>
      </c>
    </row>
    <row r="499" spans="2:8" x14ac:dyDescent="0.25">
      <c r="B499" s="9" t="s">
        <v>1124</v>
      </c>
      <c r="C499" s="9" t="s">
        <v>22</v>
      </c>
      <c r="D499" s="24">
        <v>240000</v>
      </c>
      <c r="E499" s="9" t="s">
        <v>2334</v>
      </c>
      <c r="F499" s="9" t="s">
        <v>66</v>
      </c>
      <c r="G499" s="9" t="s">
        <v>47</v>
      </c>
      <c r="H499" t="str" cm="1">
        <f t="array" ref="H499">_xlfn.IFS(D499&gt;=250000,"高額",D499&gt;=150000,"中額",TRUE,"低額")</f>
        <v>中額</v>
      </c>
    </row>
    <row r="500" spans="2:8" x14ac:dyDescent="0.25">
      <c r="B500" s="9" t="s">
        <v>1127</v>
      </c>
      <c r="C500" s="9" t="s">
        <v>18</v>
      </c>
      <c r="D500" s="24">
        <v>295000</v>
      </c>
      <c r="E500" s="9" t="s">
        <v>2335</v>
      </c>
      <c r="F500" s="9" t="s">
        <v>66</v>
      </c>
      <c r="G500" s="9" t="s">
        <v>47</v>
      </c>
      <c r="H500" t="str" cm="1">
        <f t="array" ref="H500">_xlfn.IFS(D500&gt;=250000,"高額",D500&gt;=150000,"中額",TRUE,"低額")</f>
        <v>高額</v>
      </c>
    </row>
    <row r="501" spans="2:8" x14ac:dyDescent="0.25">
      <c r="B501" s="9" t="s">
        <v>1130</v>
      </c>
      <c r="C501" s="9" t="s">
        <v>14</v>
      </c>
      <c r="D501" s="24">
        <v>31000</v>
      </c>
      <c r="E501" s="9" t="s">
        <v>2335</v>
      </c>
      <c r="F501" s="9" t="s">
        <v>67</v>
      </c>
      <c r="G501" s="9" t="s">
        <v>51</v>
      </c>
      <c r="H501" t="str" cm="1">
        <f t="array" ref="H501">_xlfn.IFS(D501&gt;=250000,"高額",D501&gt;=150000,"中額",TRUE,"低額")</f>
        <v>低額</v>
      </c>
    </row>
    <row r="502" spans="2:8" x14ac:dyDescent="0.25">
      <c r="B502" s="9" t="s">
        <v>1131</v>
      </c>
      <c r="C502" s="9" t="s">
        <v>24</v>
      </c>
      <c r="D502" s="24">
        <v>278000</v>
      </c>
      <c r="E502" s="9" t="s">
        <v>2336</v>
      </c>
      <c r="F502" s="9" t="s">
        <v>67</v>
      </c>
      <c r="G502" s="9" t="s">
        <v>61</v>
      </c>
      <c r="H502" t="str" cm="1">
        <f t="array" ref="H502">_xlfn.IFS(D502&gt;=250000,"高額",D502&gt;=150000,"中額",TRUE,"低額")</f>
        <v>高額</v>
      </c>
    </row>
    <row r="503" spans="2:8" x14ac:dyDescent="0.25">
      <c r="B503" s="9" t="s">
        <v>1133</v>
      </c>
      <c r="C503" s="9" t="s">
        <v>12</v>
      </c>
      <c r="D503" s="24">
        <v>218000</v>
      </c>
      <c r="E503" s="9" t="s">
        <v>2336</v>
      </c>
      <c r="F503" s="9" t="s">
        <v>62</v>
      </c>
      <c r="G503" s="9" t="s">
        <v>49</v>
      </c>
      <c r="H503" t="str" cm="1">
        <f t="array" ref="H503">_xlfn.IFS(D503&gt;=250000,"高額",D503&gt;=150000,"中額",TRUE,"低額")</f>
        <v>中額</v>
      </c>
    </row>
    <row r="504" spans="2:8" x14ac:dyDescent="0.25">
      <c r="B504" s="9" t="s">
        <v>1134</v>
      </c>
      <c r="C504" s="9" t="s">
        <v>18</v>
      </c>
      <c r="D504" s="24">
        <v>297000</v>
      </c>
      <c r="E504" s="9" t="s">
        <v>2336</v>
      </c>
      <c r="F504" s="9" t="s">
        <v>66</v>
      </c>
      <c r="G504" s="9" t="s">
        <v>51</v>
      </c>
      <c r="H504" t="str" cm="1">
        <f t="array" ref="H504">_xlfn.IFS(D504&gt;=250000,"高額",D504&gt;=150000,"中額",TRUE,"低額")</f>
        <v>高額</v>
      </c>
    </row>
    <row r="505" spans="2:8" x14ac:dyDescent="0.25">
      <c r="B505" s="9" t="s">
        <v>1135</v>
      </c>
      <c r="C505" s="9" t="s">
        <v>22</v>
      </c>
      <c r="D505" s="24">
        <v>241000</v>
      </c>
      <c r="E505" s="9" t="s">
        <v>2336</v>
      </c>
      <c r="F505" s="9" t="s">
        <v>67</v>
      </c>
      <c r="G505" s="9" t="s">
        <v>53</v>
      </c>
      <c r="H505" t="str" cm="1">
        <f t="array" ref="H505">_xlfn.IFS(D505&gt;=250000,"高額",D505&gt;=150000,"中額",TRUE,"低額")</f>
        <v>中額</v>
      </c>
    </row>
    <row r="506" spans="2:8" x14ac:dyDescent="0.25">
      <c r="B506" s="9" t="s">
        <v>1136</v>
      </c>
      <c r="C506" s="9" t="s">
        <v>22</v>
      </c>
      <c r="D506" s="24">
        <v>108000</v>
      </c>
      <c r="E506" s="9" t="s">
        <v>2337</v>
      </c>
      <c r="F506" s="9" t="s">
        <v>65</v>
      </c>
      <c r="G506" s="9" t="s">
        <v>51</v>
      </c>
      <c r="H506" t="str" cm="1">
        <f t="array" ref="H506">_xlfn.IFS(D506&gt;=250000,"高額",D506&gt;=150000,"中額",TRUE,"低額")</f>
        <v>低額</v>
      </c>
    </row>
    <row r="507" spans="2:8" x14ac:dyDescent="0.25">
      <c r="B507" s="9" t="s">
        <v>1138</v>
      </c>
      <c r="C507" s="9" t="s">
        <v>24</v>
      </c>
      <c r="D507" s="24">
        <v>108000</v>
      </c>
      <c r="E507" s="9" t="s">
        <v>2338</v>
      </c>
      <c r="F507" s="9" t="s">
        <v>67</v>
      </c>
      <c r="G507" s="9" t="s">
        <v>51</v>
      </c>
      <c r="H507" t="str" cm="1">
        <f t="array" ref="H507">_xlfn.IFS(D507&gt;=250000,"高額",D507&gt;=150000,"中額",TRUE,"低額")</f>
        <v>低額</v>
      </c>
    </row>
    <row r="508" spans="2:8" x14ac:dyDescent="0.25">
      <c r="B508" s="9" t="s">
        <v>1140</v>
      </c>
      <c r="C508" s="9" t="s">
        <v>18</v>
      </c>
      <c r="D508" s="24">
        <v>170000</v>
      </c>
      <c r="E508" s="9" t="s">
        <v>2339</v>
      </c>
      <c r="F508" s="9" t="s">
        <v>63</v>
      </c>
      <c r="G508" s="9" t="s">
        <v>53</v>
      </c>
      <c r="H508" t="str" cm="1">
        <f t="array" ref="H508">_xlfn.IFS(D508&gt;=250000,"高額",D508&gt;=150000,"中額",TRUE,"低額")</f>
        <v>中額</v>
      </c>
    </row>
    <row r="509" spans="2:8" x14ac:dyDescent="0.25">
      <c r="B509" s="9" t="s">
        <v>1142</v>
      </c>
      <c r="C509" s="9" t="s">
        <v>20</v>
      </c>
      <c r="D509" s="24">
        <v>211000</v>
      </c>
      <c r="E509" s="9" t="s">
        <v>2340</v>
      </c>
      <c r="F509" s="9" t="s">
        <v>65</v>
      </c>
      <c r="G509" s="9" t="s">
        <v>58</v>
      </c>
      <c r="H509" t="str" cm="1">
        <f t="array" ref="H509">_xlfn.IFS(D509&gt;=250000,"高額",D509&gt;=150000,"中額",TRUE,"低額")</f>
        <v>中額</v>
      </c>
    </row>
    <row r="510" spans="2:8" x14ac:dyDescent="0.25">
      <c r="B510" s="9" t="s">
        <v>1144</v>
      </c>
      <c r="C510" s="9" t="s">
        <v>18</v>
      </c>
      <c r="D510" s="24">
        <v>110000</v>
      </c>
      <c r="E510" s="9" t="s">
        <v>2341</v>
      </c>
      <c r="F510" s="9" t="s">
        <v>66</v>
      </c>
      <c r="G510" s="9" t="s">
        <v>49</v>
      </c>
      <c r="H510" t="str" cm="1">
        <f t="array" ref="H510">_xlfn.IFS(D510&gt;=250000,"高額",D510&gt;=150000,"中額",TRUE,"低額")</f>
        <v>低額</v>
      </c>
    </row>
    <row r="511" spans="2:8" x14ac:dyDescent="0.25">
      <c r="B511" s="9" t="s">
        <v>1146</v>
      </c>
      <c r="C511" s="9" t="s">
        <v>14</v>
      </c>
      <c r="D511" s="24">
        <v>254000</v>
      </c>
      <c r="E511" s="9" t="s">
        <v>2342</v>
      </c>
      <c r="F511" s="9" t="s">
        <v>62</v>
      </c>
      <c r="G511" s="9" t="s">
        <v>49</v>
      </c>
      <c r="H511" t="str" cm="1">
        <f t="array" ref="H511">_xlfn.IFS(D511&gt;=250000,"高額",D511&gt;=150000,"中額",TRUE,"低額")</f>
        <v>高額</v>
      </c>
    </row>
    <row r="512" spans="2:8" x14ac:dyDescent="0.25">
      <c r="B512" s="9" t="s">
        <v>1149</v>
      </c>
      <c r="C512" s="9" t="s">
        <v>22</v>
      </c>
      <c r="D512" s="24">
        <v>64000</v>
      </c>
      <c r="E512" s="9" t="s">
        <v>2342</v>
      </c>
      <c r="F512" s="9" t="s">
        <v>62</v>
      </c>
      <c r="G512" s="9" t="s">
        <v>61</v>
      </c>
      <c r="H512" t="str" cm="1">
        <f t="array" ref="H512">_xlfn.IFS(D512&gt;=250000,"高額",D512&gt;=150000,"中額",TRUE,"低額")</f>
        <v>低額</v>
      </c>
    </row>
    <row r="513" spans="2:8" x14ac:dyDescent="0.25">
      <c r="B513" s="9" t="s">
        <v>1150</v>
      </c>
      <c r="C513" s="9" t="s">
        <v>16</v>
      </c>
      <c r="D513" s="24">
        <v>133000</v>
      </c>
      <c r="E513" s="9" t="s">
        <v>2342</v>
      </c>
      <c r="F513" s="9" t="s">
        <v>63</v>
      </c>
      <c r="G513" s="9" t="s">
        <v>51</v>
      </c>
      <c r="H513" t="str" cm="1">
        <f t="array" ref="H513">_xlfn.IFS(D513&gt;=250000,"高額",D513&gt;=150000,"中額",TRUE,"低額")</f>
        <v>低額</v>
      </c>
    </row>
    <row r="514" spans="2:8" x14ac:dyDescent="0.25">
      <c r="B514" s="9" t="s">
        <v>1152</v>
      </c>
      <c r="C514" s="9" t="s">
        <v>12</v>
      </c>
      <c r="D514" s="24">
        <v>194000</v>
      </c>
      <c r="E514" s="9" t="s">
        <v>2343</v>
      </c>
      <c r="F514" s="9" t="s">
        <v>62</v>
      </c>
      <c r="G514" s="9" t="s">
        <v>49</v>
      </c>
      <c r="H514" t="str" cm="1">
        <f t="array" ref="H514">_xlfn.IFS(D514&gt;=250000,"高額",D514&gt;=150000,"中額",TRUE,"低額")</f>
        <v>中額</v>
      </c>
    </row>
    <row r="515" spans="2:8" x14ac:dyDescent="0.25">
      <c r="B515" s="9" t="s">
        <v>1155</v>
      </c>
      <c r="C515" s="9" t="s">
        <v>18</v>
      </c>
      <c r="D515" s="24">
        <v>108000</v>
      </c>
      <c r="E515" s="9" t="s">
        <v>2344</v>
      </c>
      <c r="F515" s="9" t="s">
        <v>67</v>
      </c>
      <c r="G515" s="9" t="s">
        <v>51</v>
      </c>
      <c r="H515" t="str" cm="1">
        <f t="array" ref="H515">_xlfn.IFS(D515&gt;=250000,"高額",D515&gt;=150000,"中額",TRUE,"低額")</f>
        <v>低額</v>
      </c>
    </row>
    <row r="516" spans="2:8" x14ac:dyDescent="0.25">
      <c r="B516" s="9" t="s">
        <v>1157</v>
      </c>
      <c r="C516" s="9" t="s">
        <v>22</v>
      </c>
      <c r="D516" s="24">
        <v>135000</v>
      </c>
      <c r="E516" s="9" t="s">
        <v>2345</v>
      </c>
      <c r="F516" s="9" t="s">
        <v>62</v>
      </c>
      <c r="G516" s="9" t="s">
        <v>45</v>
      </c>
      <c r="H516" t="str" cm="1">
        <f t="array" ref="H516">_xlfn.IFS(D516&gt;=250000,"高額",D516&gt;=150000,"中額",TRUE,"低額")</f>
        <v>低額</v>
      </c>
    </row>
    <row r="517" spans="2:8" x14ac:dyDescent="0.25">
      <c r="B517" s="9" t="s">
        <v>1159</v>
      </c>
      <c r="C517" s="9" t="s">
        <v>12</v>
      </c>
      <c r="D517" s="24">
        <v>129000</v>
      </c>
      <c r="E517" s="9" t="s">
        <v>2346</v>
      </c>
      <c r="F517" s="9" t="s">
        <v>66</v>
      </c>
      <c r="G517" s="9" t="s">
        <v>47</v>
      </c>
      <c r="H517" t="str" cm="1">
        <f t="array" ref="H517">_xlfn.IFS(D517&gt;=250000,"高額",D517&gt;=150000,"中額",TRUE,"低額")</f>
        <v>低額</v>
      </c>
    </row>
    <row r="518" spans="2:8" x14ac:dyDescent="0.25">
      <c r="B518" s="9" t="s">
        <v>1161</v>
      </c>
      <c r="C518" s="9" t="s">
        <v>12</v>
      </c>
      <c r="D518" s="24">
        <v>142000</v>
      </c>
      <c r="E518" s="9" t="s">
        <v>2347</v>
      </c>
      <c r="F518" s="9" t="s">
        <v>67</v>
      </c>
      <c r="G518" s="9" t="s">
        <v>51</v>
      </c>
      <c r="H518" t="str" cm="1">
        <f t="array" ref="H518">_xlfn.IFS(D518&gt;=250000,"高額",D518&gt;=150000,"中額",TRUE,"低額")</f>
        <v>低額</v>
      </c>
    </row>
    <row r="519" spans="2:8" x14ac:dyDescent="0.25">
      <c r="B519" s="9" t="s">
        <v>1163</v>
      </c>
      <c r="C519" s="9" t="s">
        <v>18</v>
      </c>
      <c r="D519" s="24">
        <v>253000</v>
      </c>
      <c r="E519" s="9" t="s">
        <v>2348</v>
      </c>
      <c r="F519" s="9" t="s">
        <v>66</v>
      </c>
      <c r="G519" s="9" t="s">
        <v>55</v>
      </c>
      <c r="H519" t="str" cm="1">
        <f t="array" ref="H519">_xlfn.IFS(D519&gt;=250000,"高額",D519&gt;=150000,"中額",TRUE,"低額")</f>
        <v>高額</v>
      </c>
    </row>
    <row r="520" spans="2:8" x14ac:dyDescent="0.25">
      <c r="B520" s="9" t="s">
        <v>1165</v>
      </c>
      <c r="C520" s="9" t="s">
        <v>18</v>
      </c>
      <c r="D520" s="24">
        <v>187000</v>
      </c>
      <c r="E520" s="9" t="s">
        <v>2349</v>
      </c>
      <c r="F520" s="9" t="s">
        <v>62</v>
      </c>
      <c r="G520" s="9" t="s">
        <v>58</v>
      </c>
      <c r="H520" t="str" cm="1">
        <f t="array" ref="H520">_xlfn.IFS(D520&gt;=250000,"高額",D520&gt;=150000,"中額",TRUE,"低額")</f>
        <v>中額</v>
      </c>
    </row>
    <row r="521" spans="2:8" x14ac:dyDescent="0.25">
      <c r="B521" s="9" t="s">
        <v>1167</v>
      </c>
      <c r="C521" s="9" t="s">
        <v>24</v>
      </c>
      <c r="D521" s="24">
        <v>243000</v>
      </c>
      <c r="E521" s="9" t="s">
        <v>2350</v>
      </c>
      <c r="F521" s="9" t="s">
        <v>62</v>
      </c>
      <c r="G521" s="9" t="s">
        <v>53</v>
      </c>
      <c r="H521" t="str" cm="1">
        <f t="array" ref="H521">_xlfn.IFS(D521&gt;=250000,"高額",D521&gt;=150000,"中額",TRUE,"低額")</f>
        <v>中額</v>
      </c>
    </row>
    <row r="522" spans="2:8" x14ac:dyDescent="0.25">
      <c r="B522" s="9" t="s">
        <v>1169</v>
      </c>
      <c r="C522" s="9" t="s">
        <v>18</v>
      </c>
      <c r="D522" s="24">
        <v>268000</v>
      </c>
      <c r="E522" s="9" t="s">
        <v>2350</v>
      </c>
      <c r="F522" s="9" t="s">
        <v>66</v>
      </c>
      <c r="G522" s="9" t="s">
        <v>45</v>
      </c>
      <c r="H522" t="str" cm="1">
        <f t="array" ref="H522">_xlfn.IFS(D522&gt;=250000,"高額",D522&gt;=150000,"中額",TRUE,"低額")</f>
        <v>高額</v>
      </c>
    </row>
    <row r="523" spans="2:8" x14ac:dyDescent="0.25">
      <c r="B523" s="9" t="s">
        <v>1170</v>
      </c>
      <c r="C523" s="9" t="s">
        <v>16</v>
      </c>
      <c r="D523" s="24">
        <v>68000</v>
      </c>
      <c r="E523" s="9" t="s">
        <v>2351</v>
      </c>
      <c r="F523" s="9" t="s">
        <v>62</v>
      </c>
      <c r="G523" s="9" t="s">
        <v>47</v>
      </c>
      <c r="H523" t="str" cm="1">
        <f t="array" ref="H523">_xlfn.IFS(D523&gt;=250000,"高額",D523&gt;=150000,"中額",TRUE,"低額")</f>
        <v>低額</v>
      </c>
    </row>
    <row r="524" spans="2:8" x14ac:dyDescent="0.25">
      <c r="B524" s="9" t="s">
        <v>1172</v>
      </c>
      <c r="C524" s="9" t="s">
        <v>22</v>
      </c>
      <c r="D524" s="24">
        <v>278000</v>
      </c>
      <c r="E524" s="9" t="s">
        <v>2352</v>
      </c>
      <c r="F524" s="9" t="s">
        <v>67</v>
      </c>
      <c r="G524" s="9" t="s">
        <v>43</v>
      </c>
      <c r="H524" t="str" cm="1">
        <f t="array" ref="H524">_xlfn.IFS(D524&gt;=250000,"高額",D524&gt;=150000,"中額",TRUE,"低額")</f>
        <v>高額</v>
      </c>
    </row>
    <row r="525" spans="2:8" x14ac:dyDescent="0.25">
      <c r="B525" s="9" t="s">
        <v>1174</v>
      </c>
      <c r="C525" s="9" t="s">
        <v>22</v>
      </c>
      <c r="D525" s="24">
        <v>198000</v>
      </c>
      <c r="E525" s="9" t="s">
        <v>2352</v>
      </c>
      <c r="F525" s="9" t="s">
        <v>64</v>
      </c>
      <c r="G525" s="9" t="s">
        <v>51</v>
      </c>
      <c r="H525" t="str" cm="1">
        <f t="array" ref="H525">_xlfn.IFS(D525&gt;=250000,"高額",D525&gt;=150000,"中額",TRUE,"低額")</f>
        <v>中額</v>
      </c>
    </row>
    <row r="526" spans="2:8" x14ac:dyDescent="0.25">
      <c r="B526" s="9" t="s">
        <v>1175</v>
      </c>
      <c r="C526" s="9" t="s">
        <v>16</v>
      </c>
      <c r="D526" s="24">
        <v>83000</v>
      </c>
      <c r="E526" s="9" t="s">
        <v>2353</v>
      </c>
      <c r="F526" s="9" t="s">
        <v>63</v>
      </c>
      <c r="G526" s="9" t="s">
        <v>47</v>
      </c>
      <c r="H526" t="str" cm="1">
        <f t="array" ref="H526">_xlfn.IFS(D526&gt;=250000,"高額",D526&gt;=150000,"中額",TRUE,"低額")</f>
        <v>低額</v>
      </c>
    </row>
    <row r="527" spans="2:8" x14ac:dyDescent="0.25">
      <c r="B527" s="9" t="s">
        <v>1177</v>
      </c>
      <c r="C527" s="9" t="s">
        <v>24</v>
      </c>
      <c r="D527" s="24">
        <v>92000</v>
      </c>
      <c r="E527" s="9" t="s">
        <v>2354</v>
      </c>
      <c r="F527" s="9" t="s">
        <v>66</v>
      </c>
      <c r="G527" s="9" t="s">
        <v>49</v>
      </c>
      <c r="H527" t="str" cm="1">
        <f t="array" ref="H527">_xlfn.IFS(D527&gt;=250000,"高額",D527&gt;=150000,"中額",TRUE,"低額")</f>
        <v>低額</v>
      </c>
    </row>
    <row r="528" spans="2:8" x14ac:dyDescent="0.25">
      <c r="B528" s="9" t="s">
        <v>1179</v>
      </c>
      <c r="C528" s="9" t="s">
        <v>14</v>
      </c>
      <c r="D528" s="24">
        <v>145000</v>
      </c>
      <c r="E528" s="9" t="s">
        <v>2354</v>
      </c>
      <c r="F528" s="9" t="s">
        <v>67</v>
      </c>
      <c r="G528" s="9" t="s">
        <v>51</v>
      </c>
      <c r="H528" t="str" cm="1">
        <f t="array" ref="H528">_xlfn.IFS(D528&gt;=250000,"高額",D528&gt;=150000,"中額",TRUE,"低額")</f>
        <v>低額</v>
      </c>
    </row>
    <row r="529" spans="2:8" x14ac:dyDescent="0.25">
      <c r="B529" s="9" t="s">
        <v>1180</v>
      </c>
      <c r="C529" s="9" t="s">
        <v>22</v>
      </c>
      <c r="D529" s="24">
        <v>218000</v>
      </c>
      <c r="E529" s="9" t="s">
        <v>2355</v>
      </c>
      <c r="F529" s="9" t="s">
        <v>65</v>
      </c>
      <c r="G529" s="9" t="s">
        <v>58</v>
      </c>
      <c r="H529" t="str" cm="1">
        <f t="array" ref="H529">_xlfn.IFS(D529&gt;=250000,"高額",D529&gt;=150000,"中額",TRUE,"低額")</f>
        <v>中額</v>
      </c>
    </row>
    <row r="530" spans="2:8" x14ac:dyDescent="0.25">
      <c r="B530" s="9" t="s">
        <v>1182</v>
      </c>
      <c r="C530" s="9" t="s">
        <v>16</v>
      </c>
      <c r="D530" s="24">
        <v>224000</v>
      </c>
      <c r="E530" s="9" t="s">
        <v>2355</v>
      </c>
      <c r="F530" s="9" t="s">
        <v>62</v>
      </c>
      <c r="G530" s="9" t="s">
        <v>55</v>
      </c>
      <c r="H530" t="str" cm="1">
        <f t="array" ref="H530">_xlfn.IFS(D530&gt;=250000,"高額",D530&gt;=150000,"中額",TRUE,"低額")</f>
        <v>中額</v>
      </c>
    </row>
    <row r="531" spans="2:8" x14ac:dyDescent="0.25">
      <c r="B531" s="9" t="s">
        <v>1184</v>
      </c>
      <c r="C531" s="9" t="s">
        <v>12</v>
      </c>
      <c r="D531" s="24">
        <v>179000</v>
      </c>
      <c r="E531" s="9" t="s">
        <v>2356</v>
      </c>
      <c r="F531" s="9" t="s">
        <v>62</v>
      </c>
      <c r="G531" s="9" t="s">
        <v>49</v>
      </c>
      <c r="H531" t="str" cm="1">
        <f t="array" ref="H531">_xlfn.IFS(D531&gt;=250000,"高額",D531&gt;=150000,"中額",TRUE,"低額")</f>
        <v>中額</v>
      </c>
    </row>
    <row r="532" spans="2:8" x14ac:dyDescent="0.25">
      <c r="B532" s="9" t="s">
        <v>1186</v>
      </c>
      <c r="C532" s="9" t="s">
        <v>20</v>
      </c>
      <c r="D532" s="24">
        <v>278000</v>
      </c>
      <c r="E532" s="9" t="s">
        <v>2356</v>
      </c>
      <c r="F532" s="9" t="s">
        <v>64</v>
      </c>
      <c r="G532" s="9" t="s">
        <v>49</v>
      </c>
      <c r="H532" t="str" cm="1">
        <f t="array" ref="H532">_xlfn.IFS(D532&gt;=250000,"高額",D532&gt;=150000,"中額",TRUE,"低額")</f>
        <v>高額</v>
      </c>
    </row>
    <row r="533" spans="2:8" x14ac:dyDescent="0.25">
      <c r="B533" s="9" t="s">
        <v>1187</v>
      </c>
      <c r="C533" s="9" t="s">
        <v>12</v>
      </c>
      <c r="D533" s="24">
        <v>224000</v>
      </c>
      <c r="E533" s="9" t="s">
        <v>2357</v>
      </c>
      <c r="F533" s="9" t="s">
        <v>62</v>
      </c>
      <c r="G533" s="9" t="s">
        <v>58</v>
      </c>
      <c r="H533" t="str" cm="1">
        <f t="array" ref="H533">_xlfn.IFS(D533&gt;=250000,"高額",D533&gt;=150000,"中額",TRUE,"低額")</f>
        <v>中額</v>
      </c>
    </row>
    <row r="534" spans="2:8" x14ac:dyDescent="0.25">
      <c r="B534" s="9" t="s">
        <v>1189</v>
      </c>
      <c r="C534" s="9" t="s">
        <v>24</v>
      </c>
      <c r="D534" s="24">
        <v>213000</v>
      </c>
      <c r="E534" s="9" t="s">
        <v>2357</v>
      </c>
      <c r="F534" s="9" t="s">
        <v>63</v>
      </c>
      <c r="G534" s="9" t="s">
        <v>55</v>
      </c>
      <c r="H534" t="str" cm="1">
        <f t="array" ref="H534">_xlfn.IFS(D534&gt;=250000,"高額",D534&gt;=150000,"中額",TRUE,"低額")</f>
        <v>中額</v>
      </c>
    </row>
    <row r="535" spans="2:8" x14ac:dyDescent="0.25">
      <c r="B535" s="9" t="s">
        <v>1190</v>
      </c>
      <c r="C535" s="9" t="s">
        <v>20</v>
      </c>
      <c r="D535" s="24">
        <v>80000</v>
      </c>
      <c r="E535" s="9" t="s">
        <v>2357</v>
      </c>
      <c r="F535" s="9" t="s">
        <v>63</v>
      </c>
      <c r="G535" s="9" t="s">
        <v>51</v>
      </c>
      <c r="H535" t="str" cm="1">
        <f t="array" ref="H535">_xlfn.IFS(D535&gt;=250000,"高額",D535&gt;=150000,"中額",TRUE,"低額")</f>
        <v>低額</v>
      </c>
    </row>
    <row r="536" spans="2:8" x14ac:dyDescent="0.25">
      <c r="B536" s="9" t="s">
        <v>1191</v>
      </c>
      <c r="C536" s="9" t="s">
        <v>24</v>
      </c>
      <c r="D536" s="24">
        <v>31000</v>
      </c>
      <c r="E536" s="9" t="s">
        <v>2358</v>
      </c>
      <c r="F536" s="9" t="s">
        <v>63</v>
      </c>
      <c r="G536" s="9" t="s">
        <v>49</v>
      </c>
      <c r="H536" t="str" cm="1">
        <f t="array" ref="H536">_xlfn.IFS(D536&gt;=250000,"高額",D536&gt;=150000,"中額",TRUE,"低額")</f>
        <v>低額</v>
      </c>
    </row>
    <row r="537" spans="2:8" x14ac:dyDescent="0.25">
      <c r="B537" s="9" t="s">
        <v>1193</v>
      </c>
      <c r="C537" s="9" t="s">
        <v>16</v>
      </c>
      <c r="D537" s="24">
        <v>212000</v>
      </c>
      <c r="E537" s="9" t="s">
        <v>2358</v>
      </c>
      <c r="F537" s="9" t="s">
        <v>62</v>
      </c>
      <c r="G537" s="9" t="s">
        <v>51</v>
      </c>
      <c r="H537" t="str" cm="1">
        <f t="array" ref="H537">_xlfn.IFS(D537&gt;=250000,"高額",D537&gt;=150000,"中額",TRUE,"低額")</f>
        <v>中額</v>
      </c>
    </row>
    <row r="538" spans="2:8" x14ac:dyDescent="0.25">
      <c r="B538" s="9" t="s">
        <v>1194</v>
      </c>
      <c r="C538" s="9" t="s">
        <v>14</v>
      </c>
      <c r="D538" s="24">
        <v>109000</v>
      </c>
      <c r="E538" s="9" t="s">
        <v>2359</v>
      </c>
      <c r="F538" s="9" t="s">
        <v>65</v>
      </c>
      <c r="G538" s="9" t="s">
        <v>47</v>
      </c>
      <c r="H538" t="str" cm="1">
        <f t="array" ref="H538">_xlfn.IFS(D538&gt;=250000,"高額",D538&gt;=150000,"中額",TRUE,"低額")</f>
        <v>低額</v>
      </c>
    </row>
    <row r="539" spans="2:8" x14ac:dyDescent="0.25">
      <c r="B539" s="9" t="s">
        <v>1196</v>
      </c>
      <c r="C539" s="9" t="s">
        <v>20</v>
      </c>
      <c r="D539" s="24">
        <v>233000</v>
      </c>
      <c r="E539" s="9" t="s">
        <v>2360</v>
      </c>
      <c r="F539" s="9" t="s">
        <v>62</v>
      </c>
      <c r="G539" s="9" t="s">
        <v>53</v>
      </c>
      <c r="H539" t="str" cm="1">
        <f t="array" ref="H539">_xlfn.IFS(D539&gt;=250000,"高額",D539&gt;=150000,"中額",TRUE,"低額")</f>
        <v>中額</v>
      </c>
    </row>
    <row r="540" spans="2:8" x14ac:dyDescent="0.25">
      <c r="B540" s="9" t="s">
        <v>1198</v>
      </c>
      <c r="C540" s="9" t="s">
        <v>24</v>
      </c>
      <c r="D540" s="24">
        <v>77000</v>
      </c>
      <c r="E540" s="9" t="s">
        <v>2360</v>
      </c>
      <c r="F540" s="9" t="s">
        <v>67</v>
      </c>
      <c r="G540" s="9" t="s">
        <v>51</v>
      </c>
      <c r="H540" t="str" cm="1">
        <f t="array" ref="H540">_xlfn.IFS(D540&gt;=250000,"高額",D540&gt;=150000,"中額",TRUE,"低額")</f>
        <v>低額</v>
      </c>
    </row>
    <row r="541" spans="2:8" x14ac:dyDescent="0.25">
      <c r="B541" s="9" t="s">
        <v>1199</v>
      </c>
      <c r="C541" s="9" t="s">
        <v>18</v>
      </c>
      <c r="D541" s="24">
        <v>267000</v>
      </c>
      <c r="E541" s="9" t="s">
        <v>2360</v>
      </c>
      <c r="F541" s="9" t="s">
        <v>64</v>
      </c>
      <c r="G541" s="9" t="s">
        <v>45</v>
      </c>
      <c r="H541" t="str" cm="1">
        <f t="array" ref="H541">_xlfn.IFS(D541&gt;=250000,"高額",D541&gt;=150000,"中額",TRUE,"低額")</f>
        <v>高額</v>
      </c>
    </row>
    <row r="542" spans="2:8" x14ac:dyDescent="0.25">
      <c r="B542" s="9" t="s">
        <v>1200</v>
      </c>
      <c r="C542" s="9" t="s">
        <v>12</v>
      </c>
      <c r="D542" s="24">
        <v>183000</v>
      </c>
      <c r="E542" s="9" t="s">
        <v>2361</v>
      </c>
      <c r="F542" s="9" t="s">
        <v>62</v>
      </c>
      <c r="G542" s="9" t="s">
        <v>47</v>
      </c>
      <c r="H542" t="str" cm="1">
        <f t="array" ref="H542">_xlfn.IFS(D542&gt;=250000,"高額",D542&gt;=150000,"中額",TRUE,"低額")</f>
        <v>中額</v>
      </c>
    </row>
    <row r="543" spans="2:8" x14ac:dyDescent="0.25">
      <c r="B543" s="9" t="s">
        <v>1202</v>
      </c>
      <c r="C543" s="9" t="s">
        <v>22</v>
      </c>
      <c r="D543" s="24">
        <v>184000</v>
      </c>
      <c r="E543" s="9" t="s">
        <v>2362</v>
      </c>
      <c r="F543" s="9" t="s">
        <v>65</v>
      </c>
      <c r="G543" s="9" t="s">
        <v>49</v>
      </c>
      <c r="H543" t="str" cm="1">
        <f t="array" ref="H543">_xlfn.IFS(D543&gt;=250000,"高額",D543&gt;=150000,"中額",TRUE,"低額")</f>
        <v>中額</v>
      </c>
    </row>
    <row r="544" spans="2:8" x14ac:dyDescent="0.25">
      <c r="B544" s="9" t="s">
        <v>1204</v>
      </c>
      <c r="C544" s="9" t="s">
        <v>18</v>
      </c>
      <c r="D544" s="24">
        <v>33000</v>
      </c>
      <c r="E544" s="9" t="s">
        <v>2363</v>
      </c>
      <c r="F544" s="9" t="s">
        <v>66</v>
      </c>
      <c r="G544" s="9" t="s">
        <v>49</v>
      </c>
      <c r="H544" t="str" cm="1">
        <f t="array" ref="H544">_xlfn.IFS(D544&gt;=250000,"高額",D544&gt;=150000,"中額",TRUE,"低額")</f>
        <v>低額</v>
      </c>
    </row>
    <row r="545" spans="2:8" x14ac:dyDescent="0.25">
      <c r="B545" s="9" t="s">
        <v>1206</v>
      </c>
      <c r="C545" s="9" t="s">
        <v>22</v>
      </c>
      <c r="D545" s="24">
        <v>198000</v>
      </c>
      <c r="E545" s="9" t="s">
        <v>2363</v>
      </c>
      <c r="F545" s="9" t="s">
        <v>65</v>
      </c>
      <c r="G545" s="9" t="s">
        <v>58</v>
      </c>
      <c r="H545" t="str" cm="1">
        <f t="array" ref="H545">_xlfn.IFS(D545&gt;=250000,"高額",D545&gt;=150000,"中額",TRUE,"低額")</f>
        <v>中額</v>
      </c>
    </row>
    <row r="546" spans="2:8" x14ac:dyDescent="0.25">
      <c r="B546" s="9" t="s">
        <v>1207</v>
      </c>
      <c r="C546" s="9" t="s">
        <v>16</v>
      </c>
      <c r="D546" s="24">
        <v>132000</v>
      </c>
      <c r="E546" s="9" t="s">
        <v>2364</v>
      </c>
      <c r="F546" s="9" t="s">
        <v>63</v>
      </c>
      <c r="G546" s="9" t="s">
        <v>51</v>
      </c>
      <c r="H546" t="str" cm="1">
        <f t="array" ref="H546">_xlfn.IFS(D546&gt;=250000,"高額",D546&gt;=150000,"中額",TRUE,"低額")</f>
        <v>低額</v>
      </c>
    </row>
    <row r="547" spans="2:8" x14ac:dyDescent="0.25">
      <c r="B547" s="9" t="s">
        <v>1209</v>
      </c>
      <c r="C547" s="9" t="s">
        <v>16</v>
      </c>
      <c r="D547" s="24">
        <v>40000</v>
      </c>
      <c r="E547" s="9" t="s">
        <v>2365</v>
      </c>
      <c r="F547" s="9" t="s">
        <v>65</v>
      </c>
      <c r="G547" s="9" t="s">
        <v>55</v>
      </c>
      <c r="H547" t="str" cm="1">
        <f t="array" ref="H547">_xlfn.IFS(D547&gt;=250000,"高額",D547&gt;=150000,"中額",TRUE,"低額")</f>
        <v>低額</v>
      </c>
    </row>
    <row r="548" spans="2:8" x14ac:dyDescent="0.25">
      <c r="B548" s="9" t="s">
        <v>1211</v>
      </c>
      <c r="C548" s="9" t="s">
        <v>12</v>
      </c>
      <c r="D548" s="24">
        <v>40000</v>
      </c>
      <c r="E548" s="9" t="s">
        <v>2365</v>
      </c>
      <c r="F548" s="9" t="s">
        <v>63</v>
      </c>
      <c r="G548" s="9" t="s">
        <v>49</v>
      </c>
      <c r="H548" t="str" cm="1">
        <f t="array" ref="H548">_xlfn.IFS(D548&gt;=250000,"高額",D548&gt;=150000,"中額",TRUE,"低額")</f>
        <v>低額</v>
      </c>
    </row>
    <row r="549" spans="2:8" x14ac:dyDescent="0.25">
      <c r="B549" s="9" t="s">
        <v>1212</v>
      </c>
      <c r="C549" s="9" t="s">
        <v>16</v>
      </c>
      <c r="D549" s="24">
        <v>160000</v>
      </c>
      <c r="E549" s="9" t="s">
        <v>2365</v>
      </c>
      <c r="F549" s="9" t="s">
        <v>65</v>
      </c>
      <c r="G549" s="9" t="s">
        <v>45</v>
      </c>
      <c r="H549" t="str" cm="1">
        <f t="array" ref="H549">_xlfn.IFS(D549&gt;=250000,"高額",D549&gt;=150000,"中額",TRUE,"低額")</f>
        <v>中額</v>
      </c>
    </row>
    <row r="550" spans="2:8" x14ac:dyDescent="0.25">
      <c r="B550" s="9" t="s">
        <v>1213</v>
      </c>
      <c r="C550" s="9" t="s">
        <v>18</v>
      </c>
      <c r="D550" s="24">
        <v>290000</v>
      </c>
      <c r="E550" s="9" t="s">
        <v>2366</v>
      </c>
      <c r="F550" s="9" t="s">
        <v>63</v>
      </c>
      <c r="G550" s="9" t="s">
        <v>45</v>
      </c>
      <c r="H550" t="str" cm="1">
        <f t="array" ref="H550">_xlfn.IFS(D550&gt;=250000,"高額",D550&gt;=150000,"中額",TRUE,"低額")</f>
        <v>高額</v>
      </c>
    </row>
    <row r="551" spans="2:8" x14ac:dyDescent="0.25">
      <c r="B551" s="9" t="s">
        <v>1215</v>
      </c>
      <c r="C551" s="9" t="s">
        <v>14</v>
      </c>
      <c r="D551" s="24">
        <v>99000</v>
      </c>
      <c r="E551" s="9" t="s">
        <v>2366</v>
      </c>
      <c r="F551" s="9" t="s">
        <v>65</v>
      </c>
      <c r="G551" s="9" t="s">
        <v>43</v>
      </c>
      <c r="H551" t="str" cm="1">
        <f t="array" ref="H551">_xlfn.IFS(D551&gt;=250000,"高額",D551&gt;=150000,"中額",TRUE,"低額")</f>
        <v>低額</v>
      </c>
    </row>
    <row r="552" spans="2:8" x14ac:dyDescent="0.25">
      <c r="B552" s="9" t="s">
        <v>1216</v>
      </c>
      <c r="C552" s="9" t="s">
        <v>14</v>
      </c>
      <c r="D552" s="24">
        <v>161000</v>
      </c>
      <c r="E552" s="9" t="s">
        <v>2367</v>
      </c>
      <c r="F552" s="9" t="s">
        <v>64</v>
      </c>
      <c r="G552" s="9" t="s">
        <v>51</v>
      </c>
      <c r="H552" t="str" cm="1">
        <f t="array" ref="H552">_xlfn.IFS(D552&gt;=250000,"高額",D552&gt;=150000,"中額",TRUE,"低額")</f>
        <v>中額</v>
      </c>
    </row>
    <row r="553" spans="2:8" x14ac:dyDescent="0.25">
      <c r="B553" s="9" t="s">
        <v>1218</v>
      </c>
      <c r="C553" s="9" t="s">
        <v>14</v>
      </c>
      <c r="D553" s="24">
        <v>281000</v>
      </c>
      <c r="E553" s="9" t="s">
        <v>2368</v>
      </c>
      <c r="F553" s="9" t="s">
        <v>62</v>
      </c>
      <c r="G553" s="9" t="s">
        <v>47</v>
      </c>
      <c r="H553" t="str" cm="1">
        <f t="array" ref="H553">_xlfn.IFS(D553&gt;=250000,"高額",D553&gt;=150000,"中額",TRUE,"低額")</f>
        <v>高額</v>
      </c>
    </row>
    <row r="554" spans="2:8" x14ac:dyDescent="0.25">
      <c r="B554" s="9" t="s">
        <v>1220</v>
      </c>
      <c r="C554" s="9" t="s">
        <v>16</v>
      </c>
      <c r="D554" s="24">
        <v>253000</v>
      </c>
      <c r="E554" s="9" t="s">
        <v>2369</v>
      </c>
      <c r="F554" s="9" t="s">
        <v>67</v>
      </c>
      <c r="G554" s="9" t="s">
        <v>53</v>
      </c>
      <c r="H554" t="str" cm="1">
        <f t="array" ref="H554">_xlfn.IFS(D554&gt;=250000,"高額",D554&gt;=150000,"中額",TRUE,"低額")</f>
        <v>高額</v>
      </c>
    </row>
    <row r="555" spans="2:8" x14ac:dyDescent="0.25">
      <c r="B555" s="9" t="s">
        <v>1222</v>
      </c>
      <c r="C555" s="9" t="s">
        <v>14</v>
      </c>
      <c r="D555" s="24">
        <v>225000</v>
      </c>
      <c r="E555" s="9" t="s">
        <v>2369</v>
      </c>
      <c r="F555" s="9" t="s">
        <v>64</v>
      </c>
      <c r="G555" s="9" t="s">
        <v>49</v>
      </c>
      <c r="H555" t="str" cm="1">
        <f t="array" ref="H555">_xlfn.IFS(D555&gt;=250000,"高額",D555&gt;=150000,"中額",TRUE,"低額")</f>
        <v>中額</v>
      </c>
    </row>
    <row r="556" spans="2:8" x14ac:dyDescent="0.25">
      <c r="B556" s="9" t="s">
        <v>1223</v>
      </c>
      <c r="C556" s="9" t="s">
        <v>12</v>
      </c>
      <c r="D556" s="24">
        <v>86000</v>
      </c>
      <c r="E556" s="9" t="s">
        <v>2370</v>
      </c>
      <c r="F556" s="9" t="s">
        <v>64</v>
      </c>
      <c r="G556" s="9" t="s">
        <v>51</v>
      </c>
      <c r="H556" t="str" cm="1">
        <f t="array" ref="H556">_xlfn.IFS(D556&gt;=250000,"高額",D556&gt;=150000,"中額",TRUE,"低額")</f>
        <v>低額</v>
      </c>
    </row>
    <row r="557" spans="2:8" x14ac:dyDescent="0.25">
      <c r="B557" s="9" t="s">
        <v>1225</v>
      </c>
      <c r="C557" s="9" t="s">
        <v>18</v>
      </c>
      <c r="D557" s="24">
        <v>214000</v>
      </c>
      <c r="E557" s="9" t="s">
        <v>2371</v>
      </c>
      <c r="F557" s="9" t="s">
        <v>67</v>
      </c>
      <c r="G557" s="9" t="s">
        <v>58</v>
      </c>
      <c r="H557" t="str" cm="1">
        <f t="array" ref="H557">_xlfn.IFS(D557&gt;=250000,"高額",D557&gt;=150000,"中額",TRUE,"低額")</f>
        <v>中額</v>
      </c>
    </row>
    <row r="558" spans="2:8" x14ac:dyDescent="0.25">
      <c r="B558" s="9" t="s">
        <v>1227</v>
      </c>
      <c r="C558" s="9" t="s">
        <v>22</v>
      </c>
      <c r="D558" s="24">
        <v>139000</v>
      </c>
      <c r="E558" s="9" t="s">
        <v>2371</v>
      </c>
      <c r="F558" s="9" t="s">
        <v>65</v>
      </c>
      <c r="G558" s="9" t="s">
        <v>51</v>
      </c>
      <c r="H558" t="str" cm="1">
        <f t="array" ref="H558">_xlfn.IFS(D558&gt;=250000,"高額",D558&gt;=150000,"中額",TRUE,"低額")</f>
        <v>低額</v>
      </c>
    </row>
    <row r="559" spans="2:8" x14ac:dyDescent="0.25">
      <c r="B559" s="9" t="s">
        <v>1228</v>
      </c>
      <c r="C559" s="9" t="s">
        <v>18</v>
      </c>
      <c r="D559" s="24">
        <v>176000</v>
      </c>
      <c r="E559" s="9" t="s">
        <v>2371</v>
      </c>
      <c r="F559" s="9" t="s">
        <v>64</v>
      </c>
      <c r="G559" s="9" t="s">
        <v>51</v>
      </c>
      <c r="H559" t="str" cm="1">
        <f t="array" ref="H559">_xlfn.IFS(D559&gt;=250000,"高額",D559&gt;=150000,"中額",TRUE,"低額")</f>
        <v>中額</v>
      </c>
    </row>
    <row r="560" spans="2:8" x14ac:dyDescent="0.25">
      <c r="B560" s="9" t="s">
        <v>1230</v>
      </c>
      <c r="C560" s="9" t="s">
        <v>20</v>
      </c>
      <c r="D560" s="24">
        <v>263000</v>
      </c>
      <c r="E560" s="9" t="s">
        <v>2372</v>
      </c>
      <c r="F560" s="9" t="s">
        <v>67</v>
      </c>
      <c r="G560" s="9" t="s">
        <v>43</v>
      </c>
      <c r="H560" t="str" cm="1">
        <f t="array" ref="H560">_xlfn.IFS(D560&gt;=250000,"高額",D560&gt;=150000,"中額",TRUE,"低額")</f>
        <v>高額</v>
      </c>
    </row>
    <row r="561" spans="2:8" x14ac:dyDescent="0.25">
      <c r="B561" s="9" t="s">
        <v>1232</v>
      </c>
      <c r="C561" s="9" t="s">
        <v>12</v>
      </c>
      <c r="D561" s="24">
        <v>252000</v>
      </c>
      <c r="E561" s="9" t="s">
        <v>2372</v>
      </c>
      <c r="F561" s="9" t="s">
        <v>65</v>
      </c>
      <c r="G561" s="9" t="s">
        <v>47</v>
      </c>
      <c r="H561" t="str" cm="1">
        <f t="array" ref="H561">_xlfn.IFS(D561&gt;=250000,"高額",D561&gt;=150000,"中額",TRUE,"低額")</f>
        <v>高額</v>
      </c>
    </row>
    <row r="562" spans="2:8" x14ac:dyDescent="0.25">
      <c r="B562" s="9" t="s">
        <v>1233</v>
      </c>
      <c r="C562" s="9" t="s">
        <v>20</v>
      </c>
      <c r="D562" s="24">
        <v>188000</v>
      </c>
      <c r="E562" s="9" t="s">
        <v>2373</v>
      </c>
      <c r="F562" s="9" t="s">
        <v>65</v>
      </c>
      <c r="G562" s="9" t="s">
        <v>45</v>
      </c>
      <c r="H562" t="str" cm="1">
        <f t="array" ref="H562">_xlfn.IFS(D562&gt;=250000,"高額",D562&gt;=150000,"中額",TRUE,"低額")</f>
        <v>中額</v>
      </c>
    </row>
    <row r="563" spans="2:8" x14ac:dyDescent="0.25">
      <c r="B563" s="9" t="s">
        <v>1235</v>
      </c>
      <c r="C563" s="9" t="s">
        <v>24</v>
      </c>
      <c r="D563" s="24">
        <v>51000</v>
      </c>
      <c r="E563" s="9" t="s">
        <v>2374</v>
      </c>
      <c r="F563" s="9" t="s">
        <v>63</v>
      </c>
      <c r="G563" s="9" t="s">
        <v>47</v>
      </c>
      <c r="H563" t="str" cm="1">
        <f t="array" ref="H563">_xlfn.IFS(D563&gt;=250000,"高額",D563&gt;=150000,"中額",TRUE,"低額")</f>
        <v>低額</v>
      </c>
    </row>
    <row r="564" spans="2:8" x14ac:dyDescent="0.25">
      <c r="B564" s="9" t="s">
        <v>1237</v>
      </c>
      <c r="C564" s="9" t="s">
        <v>16</v>
      </c>
      <c r="D564" s="24">
        <v>204000</v>
      </c>
      <c r="E564" s="9" t="s">
        <v>2374</v>
      </c>
      <c r="F564" s="9" t="s">
        <v>64</v>
      </c>
      <c r="G564" s="9" t="s">
        <v>49</v>
      </c>
      <c r="H564" t="str" cm="1">
        <f t="array" ref="H564">_xlfn.IFS(D564&gt;=250000,"高額",D564&gt;=150000,"中額",TRUE,"低額")</f>
        <v>中額</v>
      </c>
    </row>
    <row r="565" spans="2:8" x14ac:dyDescent="0.25">
      <c r="B565" s="9" t="s">
        <v>1238</v>
      </c>
      <c r="C565" s="9" t="s">
        <v>16</v>
      </c>
      <c r="D565" s="24">
        <v>245000</v>
      </c>
      <c r="E565" s="9" t="s">
        <v>2374</v>
      </c>
      <c r="F565" s="9" t="s">
        <v>64</v>
      </c>
      <c r="G565" s="9" t="s">
        <v>45</v>
      </c>
      <c r="H565" t="str" cm="1">
        <f t="array" ref="H565">_xlfn.IFS(D565&gt;=250000,"高額",D565&gt;=150000,"中額",TRUE,"低額")</f>
        <v>中額</v>
      </c>
    </row>
    <row r="566" spans="2:8" x14ac:dyDescent="0.25">
      <c r="B566" s="9" t="s">
        <v>1239</v>
      </c>
      <c r="C566" s="9" t="s">
        <v>16</v>
      </c>
      <c r="D566" s="24">
        <v>31000</v>
      </c>
      <c r="E566" s="9" t="s">
        <v>2375</v>
      </c>
      <c r="F566" s="9" t="s">
        <v>64</v>
      </c>
      <c r="G566" s="9" t="s">
        <v>55</v>
      </c>
      <c r="H566" t="str" cm="1">
        <f t="array" ref="H566">_xlfn.IFS(D566&gt;=250000,"高額",D566&gt;=150000,"中額",TRUE,"低額")</f>
        <v>低額</v>
      </c>
    </row>
    <row r="567" spans="2:8" x14ac:dyDescent="0.25">
      <c r="B567" s="9" t="s">
        <v>1241</v>
      </c>
      <c r="C567" s="9" t="s">
        <v>18</v>
      </c>
      <c r="D567" s="24">
        <v>121000</v>
      </c>
      <c r="E567" s="9" t="s">
        <v>2375</v>
      </c>
      <c r="F567" s="9" t="s">
        <v>67</v>
      </c>
      <c r="G567" s="9" t="s">
        <v>43</v>
      </c>
      <c r="H567" t="str" cm="1">
        <f t="array" ref="H567">_xlfn.IFS(D567&gt;=250000,"高額",D567&gt;=150000,"中額",TRUE,"低額")</f>
        <v>低額</v>
      </c>
    </row>
    <row r="568" spans="2:8" x14ac:dyDescent="0.25">
      <c r="B568" s="9" t="s">
        <v>1242</v>
      </c>
      <c r="C568" s="9" t="s">
        <v>22</v>
      </c>
      <c r="D568" s="24">
        <v>57000</v>
      </c>
      <c r="E568" s="9" t="s">
        <v>2376</v>
      </c>
      <c r="F568" s="9" t="s">
        <v>62</v>
      </c>
      <c r="G568" s="9" t="s">
        <v>58</v>
      </c>
      <c r="H568" t="str" cm="1">
        <f t="array" ref="H568">_xlfn.IFS(D568&gt;=250000,"高額",D568&gt;=150000,"中額",TRUE,"低額")</f>
        <v>低額</v>
      </c>
    </row>
    <row r="569" spans="2:8" x14ac:dyDescent="0.25">
      <c r="B569" s="9" t="s">
        <v>1244</v>
      </c>
      <c r="C569" s="9" t="s">
        <v>12</v>
      </c>
      <c r="D569" s="24">
        <v>194000</v>
      </c>
      <c r="E569" s="9" t="s">
        <v>2376</v>
      </c>
      <c r="F569" s="9" t="s">
        <v>64</v>
      </c>
      <c r="G569" s="9" t="s">
        <v>47</v>
      </c>
      <c r="H569" t="str" cm="1">
        <f t="array" ref="H569">_xlfn.IFS(D569&gt;=250000,"高額",D569&gt;=150000,"中額",TRUE,"低額")</f>
        <v>中額</v>
      </c>
    </row>
    <row r="570" spans="2:8" x14ac:dyDescent="0.25">
      <c r="B570" s="9" t="s">
        <v>1245</v>
      </c>
      <c r="C570" s="9" t="s">
        <v>16</v>
      </c>
      <c r="D570" s="24">
        <v>135000</v>
      </c>
      <c r="E570" s="9" t="s">
        <v>2377</v>
      </c>
      <c r="F570" s="9" t="s">
        <v>66</v>
      </c>
      <c r="G570" s="9" t="s">
        <v>45</v>
      </c>
      <c r="H570" t="str" cm="1">
        <f t="array" ref="H570">_xlfn.IFS(D570&gt;=250000,"高額",D570&gt;=150000,"中額",TRUE,"低額")</f>
        <v>低額</v>
      </c>
    </row>
    <row r="571" spans="2:8" x14ac:dyDescent="0.25">
      <c r="B571" s="9" t="s">
        <v>1247</v>
      </c>
      <c r="C571" s="9" t="s">
        <v>18</v>
      </c>
      <c r="D571" s="24">
        <v>102000</v>
      </c>
      <c r="E571" s="9" t="s">
        <v>2378</v>
      </c>
      <c r="F571" s="9" t="s">
        <v>66</v>
      </c>
      <c r="G571" s="9" t="s">
        <v>49</v>
      </c>
      <c r="H571" t="str" cm="1">
        <f t="array" ref="H571">_xlfn.IFS(D571&gt;=250000,"高額",D571&gt;=150000,"中額",TRUE,"低額")</f>
        <v>低額</v>
      </c>
    </row>
    <row r="572" spans="2:8" x14ac:dyDescent="0.25">
      <c r="B572" s="9" t="s">
        <v>1249</v>
      </c>
      <c r="C572" s="9" t="s">
        <v>12</v>
      </c>
      <c r="D572" s="24">
        <v>150000</v>
      </c>
      <c r="E572" s="9" t="s">
        <v>2379</v>
      </c>
      <c r="F572" s="9" t="s">
        <v>66</v>
      </c>
      <c r="G572" s="9" t="s">
        <v>53</v>
      </c>
      <c r="H572" t="str" cm="1">
        <f t="array" ref="H572">_xlfn.IFS(D572&gt;=250000,"高額",D572&gt;=150000,"中額",TRUE,"低額")</f>
        <v>中額</v>
      </c>
    </row>
    <row r="573" spans="2:8" x14ac:dyDescent="0.25">
      <c r="B573" s="9" t="s">
        <v>1251</v>
      </c>
      <c r="C573" s="9" t="s">
        <v>24</v>
      </c>
      <c r="D573" s="24">
        <v>107000</v>
      </c>
      <c r="E573" s="9" t="s">
        <v>2380</v>
      </c>
      <c r="F573" s="9" t="s">
        <v>63</v>
      </c>
      <c r="G573" s="9" t="s">
        <v>58</v>
      </c>
      <c r="H573" t="str" cm="1">
        <f t="array" ref="H573">_xlfn.IFS(D573&gt;=250000,"高額",D573&gt;=150000,"中額",TRUE,"低額")</f>
        <v>低額</v>
      </c>
    </row>
    <row r="574" spans="2:8" x14ac:dyDescent="0.25">
      <c r="B574" s="9" t="s">
        <v>1253</v>
      </c>
      <c r="C574" s="9" t="s">
        <v>24</v>
      </c>
      <c r="D574" s="24">
        <v>109000</v>
      </c>
      <c r="E574" s="9" t="s">
        <v>2381</v>
      </c>
      <c r="F574" s="9" t="s">
        <v>65</v>
      </c>
      <c r="G574" s="9" t="s">
        <v>43</v>
      </c>
      <c r="H574" t="str" cm="1">
        <f t="array" ref="H574">_xlfn.IFS(D574&gt;=250000,"高額",D574&gt;=150000,"中額",TRUE,"低額")</f>
        <v>低額</v>
      </c>
    </row>
    <row r="575" spans="2:8" x14ac:dyDescent="0.25">
      <c r="B575" s="9" t="s">
        <v>1255</v>
      </c>
      <c r="C575" s="9" t="s">
        <v>24</v>
      </c>
      <c r="D575" s="24">
        <v>55000</v>
      </c>
      <c r="E575" s="9" t="s">
        <v>2382</v>
      </c>
      <c r="F575" s="9" t="s">
        <v>64</v>
      </c>
      <c r="G575" s="9" t="s">
        <v>47</v>
      </c>
      <c r="H575" t="str" cm="1">
        <f t="array" ref="H575">_xlfn.IFS(D575&gt;=250000,"高額",D575&gt;=150000,"中額",TRUE,"低額")</f>
        <v>低額</v>
      </c>
    </row>
    <row r="576" spans="2:8" x14ac:dyDescent="0.25">
      <c r="B576" s="9" t="s">
        <v>1257</v>
      </c>
      <c r="C576" s="9" t="s">
        <v>14</v>
      </c>
      <c r="D576" s="24">
        <v>247000</v>
      </c>
      <c r="E576" s="9" t="s">
        <v>2383</v>
      </c>
      <c r="F576" s="9" t="s">
        <v>67</v>
      </c>
      <c r="G576" s="9" t="s">
        <v>43</v>
      </c>
      <c r="H576" t="str" cm="1">
        <f t="array" ref="H576">_xlfn.IFS(D576&gt;=250000,"高額",D576&gt;=150000,"中額",TRUE,"低額")</f>
        <v>中額</v>
      </c>
    </row>
    <row r="577" spans="2:8" x14ac:dyDescent="0.25">
      <c r="B577" s="9" t="s">
        <v>1259</v>
      </c>
      <c r="C577" s="9" t="s">
        <v>22</v>
      </c>
      <c r="D577" s="24">
        <v>85000</v>
      </c>
      <c r="E577" s="9" t="s">
        <v>2384</v>
      </c>
      <c r="F577" s="9" t="s">
        <v>62</v>
      </c>
      <c r="G577" s="9" t="s">
        <v>58</v>
      </c>
      <c r="H577" t="str" cm="1">
        <f t="array" ref="H577">_xlfn.IFS(D577&gt;=250000,"高額",D577&gt;=150000,"中額",TRUE,"低額")</f>
        <v>低額</v>
      </c>
    </row>
    <row r="578" spans="2:8" x14ac:dyDescent="0.25">
      <c r="B578" s="9" t="s">
        <v>1261</v>
      </c>
      <c r="C578" s="9" t="s">
        <v>24</v>
      </c>
      <c r="D578" s="24">
        <v>191000</v>
      </c>
      <c r="E578" s="9" t="s">
        <v>2385</v>
      </c>
      <c r="F578" s="9" t="s">
        <v>64</v>
      </c>
      <c r="G578" s="9" t="s">
        <v>55</v>
      </c>
      <c r="H578" t="str" cm="1">
        <f t="array" ref="H578">_xlfn.IFS(D578&gt;=250000,"高額",D578&gt;=150000,"中額",TRUE,"低額")</f>
        <v>中額</v>
      </c>
    </row>
    <row r="579" spans="2:8" x14ac:dyDescent="0.25">
      <c r="B579" s="9" t="s">
        <v>1263</v>
      </c>
      <c r="C579" s="9" t="s">
        <v>14</v>
      </c>
      <c r="D579" s="24">
        <v>137000</v>
      </c>
      <c r="E579" s="9" t="s">
        <v>2386</v>
      </c>
      <c r="F579" s="9" t="s">
        <v>65</v>
      </c>
      <c r="G579" s="9" t="s">
        <v>51</v>
      </c>
      <c r="H579" t="str" cm="1">
        <f t="array" ref="H579">_xlfn.IFS(D579&gt;=250000,"高額",D579&gt;=150000,"中額",TRUE,"低額")</f>
        <v>低額</v>
      </c>
    </row>
    <row r="580" spans="2:8" x14ac:dyDescent="0.25">
      <c r="B580" s="9" t="s">
        <v>1265</v>
      </c>
      <c r="C580" s="9" t="s">
        <v>24</v>
      </c>
      <c r="D580" s="24">
        <v>245000</v>
      </c>
      <c r="E580" s="9" t="s">
        <v>2386</v>
      </c>
      <c r="F580" s="9" t="s">
        <v>65</v>
      </c>
      <c r="G580" s="9" t="s">
        <v>47</v>
      </c>
      <c r="H580" t="str" cm="1">
        <f t="array" ref="H580">_xlfn.IFS(D580&gt;=250000,"高額",D580&gt;=150000,"中額",TRUE,"低額")</f>
        <v>中額</v>
      </c>
    </row>
    <row r="581" spans="2:8" x14ac:dyDescent="0.25">
      <c r="B581" s="9" t="s">
        <v>1266</v>
      </c>
      <c r="C581" s="9" t="s">
        <v>14</v>
      </c>
      <c r="D581" s="24">
        <v>299000</v>
      </c>
      <c r="E581" s="9" t="s">
        <v>2387</v>
      </c>
      <c r="F581" s="9" t="s">
        <v>62</v>
      </c>
      <c r="G581" s="9" t="s">
        <v>47</v>
      </c>
      <c r="H581" t="str" cm="1">
        <f t="array" ref="H581">_xlfn.IFS(D581&gt;=250000,"高額",D581&gt;=150000,"中額",TRUE,"低額")</f>
        <v>高額</v>
      </c>
    </row>
    <row r="582" spans="2:8" x14ac:dyDescent="0.25">
      <c r="B582" s="9" t="s">
        <v>1268</v>
      </c>
      <c r="C582" s="9" t="s">
        <v>14</v>
      </c>
      <c r="D582" s="24">
        <v>134000</v>
      </c>
      <c r="E582" s="9" t="s">
        <v>2387</v>
      </c>
      <c r="F582" s="9" t="s">
        <v>64</v>
      </c>
      <c r="G582" s="9" t="s">
        <v>47</v>
      </c>
      <c r="H582" t="str" cm="1">
        <f t="array" ref="H582">_xlfn.IFS(D582&gt;=250000,"高額",D582&gt;=150000,"中額",TRUE,"低額")</f>
        <v>低額</v>
      </c>
    </row>
    <row r="583" spans="2:8" x14ac:dyDescent="0.25">
      <c r="B583" s="9" t="s">
        <v>1269</v>
      </c>
      <c r="C583" s="9" t="s">
        <v>18</v>
      </c>
      <c r="D583" s="24">
        <v>170000</v>
      </c>
      <c r="E583" s="9" t="s">
        <v>2388</v>
      </c>
      <c r="F583" s="9" t="s">
        <v>62</v>
      </c>
      <c r="G583" s="9" t="s">
        <v>53</v>
      </c>
      <c r="H583" t="str" cm="1">
        <f t="array" ref="H583">_xlfn.IFS(D583&gt;=250000,"高額",D583&gt;=150000,"中額",TRUE,"低額")</f>
        <v>中額</v>
      </c>
    </row>
    <row r="584" spans="2:8" x14ac:dyDescent="0.25">
      <c r="B584" s="9" t="s">
        <v>1271</v>
      </c>
      <c r="C584" s="9" t="s">
        <v>12</v>
      </c>
      <c r="D584" s="24">
        <v>224000</v>
      </c>
      <c r="E584" s="9" t="s">
        <v>2388</v>
      </c>
      <c r="F584" s="9" t="s">
        <v>63</v>
      </c>
      <c r="G584" s="9" t="s">
        <v>58</v>
      </c>
      <c r="H584" t="str" cm="1">
        <f t="array" ref="H584">_xlfn.IFS(D584&gt;=250000,"高額",D584&gt;=150000,"中額",TRUE,"低額")</f>
        <v>中額</v>
      </c>
    </row>
    <row r="585" spans="2:8" x14ac:dyDescent="0.25">
      <c r="B585" s="9" t="s">
        <v>1272</v>
      </c>
      <c r="C585" s="9" t="s">
        <v>20</v>
      </c>
      <c r="D585" s="24">
        <v>162000</v>
      </c>
      <c r="E585" s="9" t="s">
        <v>2389</v>
      </c>
      <c r="F585" s="9" t="s">
        <v>63</v>
      </c>
      <c r="G585" s="9" t="s">
        <v>45</v>
      </c>
      <c r="H585" t="str" cm="1">
        <f t="array" ref="H585">_xlfn.IFS(D585&gt;=250000,"高額",D585&gt;=150000,"中額",TRUE,"低額")</f>
        <v>中額</v>
      </c>
    </row>
    <row r="586" spans="2:8" x14ac:dyDescent="0.25">
      <c r="B586" s="9" t="s">
        <v>1275</v>
      </c>
      <c r="C586" s="9" t="s">
        <v>20</v>
      </c>
      <c r="D586" s="24">
        <v>163000</v>
      </c>
      <c r="E586" s="9" t="s">
        <v>2390</v>
      </c>
      <c r="F586" s="9" t="s">
        <v>67</v>
      </c>
      <c r="G586" s="9" t="s">
        <v>53</v>
      </c>
      <c r="H586" t="str" cm="1">
        <f t="array" ref="H586">_xlfn.IFS(D586&gt;=250000,"高額",D586&gt;=150000,"中額",TRUE,"低額")</f>
        <v>中額</v>
      </c>
    </row>
    <row r="587" spans="2:8" x14ac:dyDescent="0.25">
      <c r="B587" s="9" t="s">
        <v>1277</v>
      </c>
      <c r="C587" s="9" t="s">
        <v>18</v>
      </c>
      <c r="D587" s="24">
        <v>119000</v>
      </c>
      <c r="E587" s="9" t="s">
        <v>2390</v>
      </c>
      <c r="F587" s="9" t="s">
        <v>64</v>
      </c>
      <c r="G587" s="9" t="s">
        <v>51</v>
      </c>
      <c r="H587" t="str" cm="1">
        <f t="array" ref="H587">_xlfn.IFS(D587&gt;=250000,"高額",D587&gt;=150000,"中額",TRUE,"低額")</f>
        <v>低額</v>
      </c>
    </row>
    <row r="588" spans="2:8" x14ac:dyDescent="0.25">
      <c r="B588" s="9" t="s">
        <v>1278</v>
      </c>
      <c r="C588" s="9" t="s">
        <v>22</v>
      </c>
      <c r="D588" s="24">
        <v>99000</v>
      </c>
      <c r="E588" s="9" t="s">
        <v>2391</v>
      </c>
      <c r="F588" s="9" t="s">
        <v>66</v>
      </c>
      <c r="G588" s="9" t="s">
        <v>49</v>
      </c>
      <c r="H588" t="str" cm="1">
        <f t="array" ref="H588">_xlfn.IFS(D588&gt;=250000,"高額",D588&gt;=150000,"中額",TRUE,"低額")</f>
        <v>低額</v>
      </c>
    </row>
    <row r="589" spans="2:8" x14ac:dyDescent="0.25">
      <c r="B589" s="9" t="s">
        <v>1280</v>
      </c>
      <c r="C589" s="9" t="s">
        <v>16</v>
      </c>
      <c r="D589" s="24">
        <v>164000</v>
      </c>
      <c r="E589" s="9" t="s">
        <v>2392</v>
      </c>
      <c r="F589" s="9" t="s">
        <v>64</v>
      </c>
      <c r="G589" s="9" t="s">
        <v>51</v>
      </c>
      <c r="H589" t="str" cm="1">
        <f t="array" ref="H589">_xlfn.IFS(D589&gt;=250000,"高額",D589&gt;=150000,"中額",TRUE,"低額")</f>
        <v>中額</v>
      </c>
    </row>
    <row r="590" spans="2:8" x14ac:dyDescent="0.25">
      <c r="B590" s="9" t="s">
        <v>1283</v>
      </c>
      <c r="C590" s="9" t="s">
        <v>18</v>
      </c>
      <c r="D590" s="24">
        <v>58000</v>
      </c>
      <c r="E590" s="9" t="s">
        <v>2393</v>
      </c>
      <c r="F590" s="9" t="s">
        <v>64</v>
      </c>
      <c r="G590" s="9" t="s">
        <v>58</v>
      </c>
      <c r="H590" t="str" cm="1">
        <f t="array" ref="H590">_xlfn.IFS(D590&gt;=250000,"高額",D590&gt;=150000,"中額",TRUE,"低額")</f>
        <v>低額</v>
      </c>
    </row>
    <row r="591" spans="2:8" x14ac:dyDescent="0.25">
      <c r="B591" s="9" t="s">
        <v>1285</v>
      </c>
      <c r="C591" s="9" t="s">
        <v>18</v>
      </c>
      <c r="D591" s="24">
        <v>41000</v>
      </c>
      <c r="E591" s="9" t="s">
        <v>2394</v>
      </c>
      <c r="F591" s="9" t="s">
        <v>63</v>
      </c>
      <c r="G591" s="9" t="s">
        <v>55</v>
      </c>
      <c r="H591" t="str" cm="1">
        <f t="array" ref="H591">_xlfn.IFS(D591&gt;=250000,"高額",D591&gt;=150000,"中額",TRUE,"低額")</f>
        <v>低額</v>
      </c>
    </row>
    <row r="592" spans="2:8" x14ac:dyDescent="0.25">
      <c r="B592" s="9" t="s">
        <v>1287</v>
      </c>
      <c r="C592" s="9" t="s">
        <v>16</v>
      </c>
      <c r="D592" s="24">
        <v>87000</v>
      </c>
      <c r="E592" s="9" t="s">
        <v>2395</v>
      </c>
      <c r="F592" s="9" t="s">
        <v>65</v>
      </c>
      <c r="G592" s="9" t="s">
        <v>51</v>
      </c>
      <c r="H592" t="str" cm="1">
        <f t="array" ref="H592">_xlfn.IFS(D592&gt;=250000,"高額",D592&gt;=150000,"中額",TRUE,"低額")</f>
        <v>低額</v>
      </c>
    </row>
    <row r="593" spans="2:8" x14ac:dyDescent="0.25">
      <c r="B593" s="9" t="s">
        <v>1289</v>
      </c>
      <c r="C593" s="9" t="s">
        <v>14</v>
      </c>
      <c r="D593" s="24">
        <v>279000</v>
      </c>
      <c r="E593" s="9" t="s">
        <v>2396</v>
      </c>
      <c r="F593" s="9" t="s">
        <v>64</v>
      </c>
      <c r="G593" s="9" t="s">
        <v>45</v>
      </c>
      <c r="H593" t="str" cm="1">
        <f t="array" ref="H593">_xlfn.IFS(D593&gt;=250000,"高額",D593&gt;=150000,"中額",TRUE,"低額")</f>
        <v>高額</v>
      </c>
    </row>
    <row r="594" spans="2:8" x14ac:dyDescent="0.25">
      <c r="B594" s="9" t="s">
        <v>1291</v>
      </c>
      <c r="C594" s="9" t="s">
        <v>18</v>
      </c>
      <c r="D594" s="24">
        <v>168000</v>
      </c>
      <c r="E594" s="9" t="s">
        <v>2396</v>
      </c>
      <c r="F594" s="9" t="s">
        <v>66</v>
      </c>
      <c r="G594" s="9" t="s">
        <v>49</v>
      </c>
      <c r="H594" t="str" cm="1">
        <f t="array" ref="H594">_xlfn.IFS(D594&gt;=250000,"高額",D594&gt;=150000,"中額",TRUE,"低額")</f>
        <v>中額</v>
      </c>
    </row>
    <row r="595" spans="2:8" x14ac:dyDescent="0.25">
      <c r="B595" s="9" t="s">
        <v>1292</v>
      </c>
      <c r="C595" s="9" t="s">
        <v>24</v>
      </c>
      <c r="D595" s="24">
        <v>48000</v>
      </c>
      <c r="E595" s="9" t="s">
        <v>2397</v>
      </c>
      <c r="F595" s="9" t="s">
        <v>62</v>
      </c>
      <c r="G595" s="9" t="s">
        <v>58</v>
      </c>
      <c r="H595" t="str" cm="1">
        <f t="array" ref="H595">_xlfn.IFS(D595&gt;=250000,"高額",D595&gt;=150000,"中額",TRUE,"低額")</f>
        <v>低額</v>
      </c>
    </row>
    <row r="596" spans="2:8" x14ac:dyDescent="0.25">
      <c r="B596" s="9" t="s">
        <v>1294</v>
      </c>
      <c r="C596" s="9" t="s">
        <v>12</v>
      </c>
      <c r="D596" s="24">
        <v>101000</v>
      </c>
      <c r="E596" s="9" t="s">
        <v>2398</v>
      </c>
      <c r="F596" s="9" t="s">
        <v>62</v>
      </c>
      <c r="G596" s="9" t="s">
        <v>43</v>
      </c>
      <c r="H596" t="str" cm="1">
        <f t="array" ref="H596">_xlfn.IFS(D596&gt;=250000,"高額",D596&gt;=150000,"中額",TRUE,"低額")</f>
        <v>低額</v>
      </c>
    </row>
    <row r="597" spans="2:8" x14ac:dyDescent="0.25">
      <c r="B597" s="9" t="s">
        <v>1296</v>
      </c>
      <c r="C597" s="9" t="s">
        <v>16</v>
      </c>
      <c r="D597" s="24">
        <v>287000</v>
      </c>
      <c r="E597" s="9" t="s">
        <v>2398</v>
      </c>
      <c r="F597" s="9" t="s">
        <v>64</v>
      </c>
      <c r="G597" s="9" t="s">
        <v>58</v>
      </c>
      <c r="H597" t="str" cm="1">
        <f t="array" ref="H597">_xlfn.IFS(D597&gt;=250000,"高額",D597&gt;=150000,"中額",TRUE,"低額")</f>
        <v>高額</v>
      </c>
    </row>
    <row r="598" spans="2:8" x14ac:dyDescent="0.25">
      <c r="B598" s="9" t="s">
        <v>1297</v>
      </c>
      <c r="C598" s="9" t="s">
        <v>18</v>
      </c>
      <c r="D598" s="24">
        <v>173000</v>
      </c>
      <c r="E598" s="9" t="s">
        <v>2399</v>
      </c>
      <c r="F598" s="9" t="s">
        <v>62</v>
      </c>
      <c r="G598" s="9" t="s">
        <v>43</v>
      </c>
      <c r="H598" t="str" cm="1">
        <f t="array" ref="H598">_xlfn.IFS(D598&gt;=250000,"高額",D598&gt;=150000,"中額",TRUE,"低額")</f>
        <v>中額</v>
      </c>
    </row>
    <row r="599" spans="2:8" x14ac:dyDescent="0.25">
      <c r="B599" s="9" t="s">
        <v>1299</v>
      </c>
      <c r="C599" s="9" t="s">
        <v>16</v>
      </c>
      <c r="D599" s="24">
        <v>290000</v>
      </c>
      <c r="E599" s="9" t="s">
        <v>2400</v>
      </c>
      <c r="F599" s="9" t="s">
        <v>64</v>
      </c>
      <c r="G599" s="9" t="s">
        <v>55</v>
      </c>
      <c r="H599" t="str" cm="1">
        <f t="array" ref="H599">_xlfn.IFS(D599&gt;=250000,"高額",D599&gt;=150000,"中額",TRUE,"低額")</f>
        <v>高額</v>
      </c>
    </row>
    <row r="600" spans="2:8" x14ac:dyDescent="0.25">
      <c r="B600" s="9" t="s">
        <v>1301</v>
      </c>
      <c r="C600" s="9" t="s">
        <v>22</v>
      </c>
      <c r="D600" s="24">
        <v>299000</v>
      </c>
      <c r="E600" s="9" t="s">
        <v>2400</v>
      </c>
      <c r="F600" s="9" t="s">
        <v>66</v>
      </c>
      <c r="G600" s="9" t="s">
        <v>53</v>
      </c>
      <c r="H600" t="str" cm="1">
        <f t="array" ref="H600">_xlfn.IFS(D600&gt;=250000,"高額",D600&gt;=150000,"中額",TRUE,"低額")</f>
        <v>高額</v>
      </c>
    </row>
    <row r="601" spans="2:8" x14ac:dyDescent="0.25">
      <c r="B601" s="9" t="s">
        <v>1302</v>
      </c>
      <c r="C601" s="9" t="s">
        <v>12</v>
      </c>
      <c r="D601" s="24">
        <v>163000</v>
      </c>
      <c r="E601" s="9" t="s">
        <v>2401</v>
      </c>
      <c r="F601" s="9" t="s">
        <v>62</v>
      </c>
      <c r="G601" s="9" t="s">
        <v>43</v>
      </c>
      <c r="H601" t="str" cm="1">
        <f t="array" ref="H601">_xlfn.IFS(D601&gt;=250000,"高額",D601&gt;=150000,"中額",TRUE,"低額")</f>
        <v>中額</v>
      </c>
    </row>
    <row r="602" spans="2:8" x14ac:dyDescent="0.25">
      <c r="B602" s="9" t="s">
        <v>1304</v>
      </c>
      <c r="C602" s="9" t="s">
        <v>16</v>
      </c>
      <c r="D602" s="24">
        <v>199000</v>
      </c>
      <c r="E602" s="9" t="s">
        <v>2401</v>
      </c>
      <c r="F602" s="9" t="s">
        <v>65</v>
      </c>
      <c r="G602" s="9" t="s">
        <v>43</v>
      </c>
      <c r="H602" t="str" cm="1">
        <f t="array" ref="H602">_xlfn.IFS(D602&gt;=250000,"高額",D602&gt;=150000,"中額",TRUE,"低額")</f>
        <v>中額</v>
      </c>
    </row>
    <row r="603" spans="2:8" x14ac:dyDescent="0.25">
      <c r="B603" s="9" t="s">
        <v>1305</v>
      </c>
      <c r="C603" s="9" t="s">
        <v>12</v>
      </c>
      <c r="D603" s="24">
        <v>251000</v>
      </c>
      <c r="E603" s="9" t="s">
        <v>2402</v>
      </c>
      <c r="F603" s="9" t="s">
        <v>63</v>
      </c>
      <c r="G603" s="9" t="s">
        <v>45</v>
      </c>
      <c r="H603" t="str" cm="1">
        <f t="array" ref="H603">_xlfn.IFS(D603&gt;=250000,"高額",D603&gt;=150000,"中額",TRUE,"低額")</f>
        <v>高額</v>
      </c>
    </row>
    <row r="604" spans="2:8" x14ac:dyDescent="0.25">
      <c r="B604" s="9" t="s">
        <v>1307</v>
      </c>
      <c r="C604" s="9" t="s">
        <v>16</v>
      </c>
      <c r="D604" s="24">
        <v>187000</v>
      </c>
      <c r="E604" s="9" t="s">
        <v>2403</v>
      </c>
      <c r="F604" s="9" t="s">
        <v>67</v>
      </c>
      <c r="G604" s="9" t="s">
        <v>49</v>
      </c>
      <c r="H604" t="str" cm="1">
        <f t="array" ref="H604">_xlfn.IFS(D604&gt;=250000,"高額",D604&gt;=150000,"中額",TRUE,"低額")</f>
        <v>中額</v>
      </c>
    </row>
    <row r="605" spans="2:8" x14ac:dyDescent="0.25">
      <c r="B605" s="9" t="s">
        <v>1309</v>
      </c>
      <c r="C605" s="9" t="s">
        <v>16</v>
      </c>
      <c r="D605" s="24">
        <v>33000</v>
      </c>
      <c r="E605" s="9" t="s">
        <v>2404</v>
      </c>
      <c r="F605" s="9" t="s">
        <v>66</v>
      </c>
      <c r="G605" s="9" t="s">
        <v>43</v>
      </c>
      <c r="H605" t="str" cm="1">
        <f t="array" ref="H605">_xlfn.IFS(D605&gt;=250000,"高額",D605&gt;=150000,"中額",TRUE,"低額")</f>
        <v>低額</v>
      </c>
    </row>
    <row r="606" spans="2:8" x14ac:dyDescent="0.25">
      <c r="B606" s="9" t="s">
        <v>1311</v>
      </c>
      <c r="C606" s="9" t="s">
        <v>16</v>
      </c>
      <c r="D606" s="24">
        <v>176000</v>
      </c>
      <c r="E606" s="9" t="s">
        <v>2405</v>
      </c>
      <c r="F606" s="9" t="s">
        <v>64</v>
      </c>
      <c r="G606" s="9" t="s">
        <v>45</v>
      </c>
      <c r="H606" t="str" cm="1">
        <f t="array" ref="H606">_xlfn.IFS(D606&gt;=250000,"高額",D606&gt;=150000,"中額",TRUE,"低額")</f>
        <v>中額</v>
      </c>
    </row>
    <row r="607" spans="2:8" x14ac:dyDescent="0.25">
      <c r="B607" s="9" t="s">
        <v>1313</v>
      </c>
      <c r="C607" s="9" t="s">
        <v>20</v>
      </c>
      <c r="D607" s="24">
        <v>220000</v>
      </c>
      <c r="E607" s="9" t="s">
        <v>2406</v>
      </c>
      <c r="F607" s="9" t="s">
        <v>64</v>
      </c>
      <c r="G607" s="9" t="s">
        <v>55</v>
      </c>
      <c r="H607" t="str" cm="1">
        <f t="array" ref="H607">_xlfn.IFS(D607&gt;=250000,"高額",D607&gt;=150000,"中額",TRUE,"低額")</f>
        <v>中額</v>
      </c>
    </row>
    <row r="608" spans="2:8" x14ac:dyDescent="0.25">
      <c r="B608" s="9" t="s">
        <v>1316</v>
      </c>
      <c r="C608" s="9" t="s">
        <v>12</v>
      </c>
      <c r="D608" s="24">
        <v>76000</v>
      </c>
      <c r="E608" s="9" t="s">
        <v>2406</v>
      </c>
      <c r="F608" s="9" t="s">
        <v>66</v>
      </c>
      <c r="G608" s="9" t="s">
        <v>49</v>
      </c>
      <c r="H608" t="str" cm="1">
        <f t="array" ref="H608">_xlfn.IFS(D608&gt;=250000,"高額",D608&gt;=150000,"中額",TRUE,"低額")</f>
        <v>低額</v>
      </c>
    </row>
    <row r="609" spans="2:8" x14ac:dyDescent="0.25">
      <c r="B609" s="9" t="s">
        <v>1318</v>
      </c>
      <c r="C609" s="9" t="s">
        <v>14</v>
      </c>
      <c r="D609" s="24">
        <v>187000</v>
      </c>
      <c r="E609" s="9" t="s">
        <v>2406</v>
      </c>
      <c r="F609" s="9" t="s">
        <v>63</v>
      </c>
      <c r="G609" s="9" t="s">
        <v>49</v>
      </c>
      <c r="H609" t="str" cm="1">
        <f t="array" ref="H609">_xlfn.IFS(D609&gt;=250000,"高額",D609&gt;=150000,"中額",TRUE,"低額")</f>
        <v>中額</v>
      </c>
    </row>
    <row r="610" spans="2:8" x14ac:dyDescent="0.25">
      <c r="B610" s="9" t="s">
        <v>1319</v>
      </c>
      <c r="C610" s="9" t="s">
        <v>12</v>
      </c>
      <c r="D610" s="24">
        <v>225000</v>
      </c>
      <c r="E610" s="9" t="s">
        <v>2407</v>
      </c>
      <c r="F610" s="9" t="s">
        <v>63</v>
      </c>
      <c r="G610" s="9" t="s">
        <v>47</v>
      </c>
      <c r="H610" t="str" cm="1">
        <f t="array" ref="H610">_xlfn.IFS(D610&gt;=250000,"高額",D610&gt;=150000,"中額",TRUE,"低額")</f>
        <v>中額</v>
      </c>
    </row>
    <row r="611" spans="2:8" x14ac:dyDescent="0.25">
      <c r="B611" s="9" t="s">
        <v>1321</v>
      </c>
      <c r="C611" s="9" t="s">
        <v>16</v>
      </c>
      <c r="D611" s="24">
        <v>283000</v>
      </c>
      <c r="E611" s="9" t="s">
        <v>2408</v>
      </c>
      <c r="F611" s="9" t="s">
        <v>67</v>
      </c>
      <c r="G611" s="9" t="s">
        <v>49</v>
      </c>
      <c r="H611" t="str" cm="1">
        <f t="array" ref="H611">_xlfn.IFS(D611&gt;=250000,"高額",D611&gt;=150000,"中額",TRUE,"低額")</f>
        <v>高額</v>
      </c>
    </row>
    <row r="612" spans="2:8" x14ac:dyDescent="0.25">
      <c r="B612" s="9" t="s">
        <v>1324</v>
      </c>
      <c r="C612" s="9" t="s">
        <v>22</v>
      </c>
      <c r="D612" s="24">
        <v>225000</v>
      </c>
      <c r="E612" s="9" t="s">
        <v>2409</v>
      </c>
      <c r="F612" s="9" t="s">
        <v>65</v>
      </c>
      <c r="G612" s="9" t="s">
        <v>51</v>
      </c>
      <c r="H612" t="str" cm="1">
        <f t="array" ref="H612">_xlfn.IFS(D612&gt;=250000,"高額",D612&gt;=150000,"中額",TRUE,"低額")</f>
        <v>中額</v>
      </c>
    </row>
    <row r="613" spans="2:8" x14ac:dyDescent="0.25">
      <c r="B613" s="9" t="s">
        <v>1326</v>
      </c>
      <c r="C613" s="9" t="s">
        <v>16</v>
      </c>
      <c r="D613" s="24">
        <v>44000</v>
      </c>
      <c r="E613" s="9" t="s">
        <v>2410</v>
      </c>
      <c r="F613" s="9" t="s">
        <v>65</v>
      </c>
      <c r="G613" s="9" t="s">
        <v>43</v>
      </c>
      <c r="H613" t="str" cm="1">
        <f t="array" ref="H613">_xlfn.IFS(D613&gt;=250000,"高額",D613&gt;=150000,"中額",TRUE,"低額")</f>
        <v>低額</v>
      </c>
    </row>
    <row r="614" spans="2:8" x14ac:dyDescent="0.25">
      <c r="B614" s="9" t="s">
        <v>1329</v>
      </c>
      <c r="C614" s="9" t="s">
        <v>16</v>
      </c>
      <c r="D614" s="24">
        <v>132000</v>
      </c>
      <c r="E614" s="9" t="s">
        <v>2410</v>
      </c>
      <c r="F614" s="9" t="s">
        <v>62</v>
      </c>
      <c r="G614" s="9" t="s">
        <v>61</v>
      </c>
      <c r="H614" t="str" cm="1">
        <f t="array" ref="H614">_xlfn.IFS(D614&gt;=250000,"高額",D614&gt;=150000,"中額",TRUE,"低額")</f>
        <v>低額</v>
      </c>
    </row>
    <row r="615" spans="2:8" x14ac:dyDescent="0.25">
      <c r="B615" s="9" t="s">
        <v>1330</v>
      </c>
      <c r="C615" s="9" t="s">
        <v>12</v>
      </c>
      <c r="D615" s="24">
        <v>202000</v>
      </c>
      <c r="E615" s="9" t="s">
        <v>2410</v>
      </c>
      <c r="F615" s="9" t="s">
        <v>64</v>
      </c>
      <c r="G615" s="9" t="s">
        <v>49</v>
      </c>
      <c r="H615" t="str" cm="1">
        <f t="array" ref="H615">_xlfn.IFS(D615&gt;=250000,"高額",D615&gt;=150000,"中額",TRUE,"低額")</f>
        <v>中額</v>
      </c>
    </row>
    <row r="616" spans="2:8" x14ac:dyDescent="0.25">
      <c r="B616" s="9" t="s">
        <v>1331</v>
      </c>
      <c r="C616" s="9" t="s">
        <v>14</v>
      </c>
      <c r="D616" s="24">
        <v>261000</v>
      </c>
      <c r="E616" s="9" t="s">
        <v>2411</v>
      </c>
      <c r="F616" s="9" t="s">
        <v>64</v>
      </c>
      <c r="G616" s="9" t="s">
        <v>58</v>
      </c>
      <c r="H616" t="str" cm="1">
        <f t="array" ref="H616">_xlfn.IFS(D616&gt;=250000,"高額",D616&gt;=150000,"中額",TRUE,"低額")</f>
        <v>高額</v>
      </c>
    </row>
    <row r="617" spans="2:8" x14ac:dyDescent="0.25">
      <c r="B617" s="9" t="s">
        <v>1333</v>
      </c>
      <c r="C617" s="9" t="s">
        <v>22</v>
      </c>
      <c r="D617" s="24">
        <v>213000</v>
      </c>
      <c r="E617" s="9" t="s">
        <v>2412</v>
      </c>
      <c r="F617" s="9" t="s">
        <v>67</v>
      </c>
      <c r="G617" s="9" t="s">
        <v>47</v>
      </c>
      <c r="H617" t="str" cm="1">
        <f t="array" ref="H617">_xlfn.IFS(D617&gt;=250000,"高額",D617&gt;=150000,"中額",TRUE,"低額")</f>
        <v>中額</v>
      </c>
    </row>
    <row r="618" spans="2:8" x14ac:dyDescent="0.25">
      <c r="B618" s="9" t="s">
        <v>1335</v>
      </c>
      <c r="C618" s="9" t="s">
        <v>24</v>
      </c>
      <c r="D618" s="24">
        <v>296000</v>
      </c>
      <c r="E618" s="9" t="s">
        <v>2413</v>
      </c>
      <c r="F618" s="9" t="s">
        <v>63</v>
      </c>
      <c r="G618" s="9" t="s">
        <v>61</v>
      </c>
      <c r="H618" t="str" cm="1">
        <f t="array" ref="H618">_xlfn.IFS(D618&gt;=250000,"高額",D618&gt;=150000,"中額",TRUE,"低額")</f>
        <v>高額</v>
      </c>
    </row>
    <row r="619" spans="2:8" x14ac:dyDescent="0.25">
      <c r="B619" s="9" t="s">
        <v>1337</v>
      </c>
      <c r="C619" s="9" t="s">
        <v>14</v>
      </c>
      <c r="D619" s="24">
        <v>169000</v>
      </c>
      <c r="E619" s="9" t="s">
        <v>2413</v>
      </c>
      <c r="F619" s="9" t="s">
        <v>67</v>
      </c>
      <c r="G619" s="9" t="s">
        <v>43</v>
      </c>
      <c r="H619" t="str" cm="1">
        <f t="array" ref="H619">_xlfn.IFS(D619&gt;=250000,"高額",D619&gt;=150000,"中額",TRUE,"低額")</f>
        <v>中額</v>
      </c>
    </row>
    <row r="620" spans="2:8" x14ac:dyDescent="0.25">
      <c r="B620" s="9" t="s">
        <v>1338</v>
      </c>
      <c r="C620" s="9" t="s">
        <v>20</v>
      </c>
      <c r="D620" s="24">
        <v>64000</v>
      </c>
      <c r="E620" s="9" t="s">
        <v>2413</v>
      </c>
      <c r="F620" s="9" t="s">
        <v>64</v>
      </c>
      <c r="G620" s="9" t="s">
        <v>43</v>
      </c>
      <c r="H620" t="str" cm="1">
        <f t="array" ref="H620">_xlfn.IFS(D620&gt;=250000,"高額",D620&gt;=150000,"中額",TRUE,"低額")</f>
        <v>低額</v>
      </c>
    </row>
    <row r="621" spans="2:8" x14ac:dyDescent="0.25">
      <c r="B621" s="9" t="s">
        <v>1339</v>
      </c>
      <c r="C621" s="9" t="s">
        <v>20</v>
      </c>
      <c r="D621" s="24">
        <v>101000</v>
      </c>
      <c r="E621" s="9" t="s">
        <v>2414</v>
      </c>
      <c r="F621" s="9" t="s">
        <v>67</v>
      </c>
      <c r="G621" s="9" t="s">
        <v>47</v>
      </c>
      <c r="H621" t="str" cm="1">
        <f t="array" ref="H621">_xlfn.IFS(D621&gt;=250000,"高額",D621&gt;=150000,"中額",TRUE,"低額")</f>
        <v>低額</v>
      </c>
    </row>
    <row r="622" spans="2:8" x14ac:dyDescent="0.25">
      <c r="B622" s="9" t="s">
        <v>1341</v>
      </c>
      <c r="C622" s="9" t="s">
        <v>22</v>
      </c>
      <c r="D622" s="24">
        <v>87000</v>
      </c>
      <c r="E622" s="9" t="s">
        <v>2415</v>
      </c>
      <c r="F622" s="9" t="s">
        <v>62</v>
      </c>
      <c r="G622" s="9" t="s">
        <v>49</v>
      </c>
      <c r="H622" t="str" cm="1">
        <f t="array" ref="H622">_xlfn.IFS(D622&gt;=250000,"高額",D622&gt;=150000,"中額",TRUE,"低額")</f>
        <v>低額</v>
      </c>
    </row>
    <row r="623" spans="2:8" x14ac:dyDescent="0.25">
      <c r="B623" s="9" t="s">
        <v>1343</v>
      </c>
      <c r="C623" s="9" t="s">
        <v>14</v>
      </c>
      <c r="D623" s="24">
        <v>195000</v>
      </c>
      <c r="E623" s="9" t="s">
        <v>2416</v>
      </c>
      <c r="F623" s="9" t="s">
        <v>64</v>
      </c>
      <c r="G623" s="9" t="s">
        <v>43</v>
      </c>
      <c r="H623" t="str" cm="1">
        <f t="array" ref="H623">_xlfn.IFS(D623&gt;=250000,"高額",D623&gt;=150000,"中額",TRUE,"低額")</f>
        <v>中額</v>
      </c>
    </row>
    <row r="624" spans="2:8" x14ac:dyDescent="0.25">
      <c r="B624" s="9" t="s">
        <v>1346</v>
      </c>
      <c r="C624" s="9" t="s">
        <v>16</v>
      </c>
      <c r="D624" s="24">
        <v>103000</v>
      </c>
      <c r="E624" s="9" t="s">
        <v>2417</v>
      </c>
      <c r="F624" s="9" t="s">
        <v>64</v>
      </c>
      <c r="G624" s="9" t="s">
        <v>47</v>
      </c>
      <c r="H624" t="str" cm="1">
        <f t="array" ref="H624">_xlfn.IFS(D624&gt;=250000,"高額",D624&gt;=150000,"中額",TRUE,"低額")</f>
        <v>低額</v>
      </c>
    </row>
    <row r="625" spans="2:8" x14ac:dyDescent="0.25">
      <c r="B625" s="9" t="s">
        <v>1348</v>
      </c>
      <c r="C625" s="9" t="s">
        <v>12</v>
      </c>
      <c r="D625" s="24">
        <v>262000</v>
      </c>
      <c r="E625" s="9" t="s">
        <v>2417</v>
      </c>
      <c r="F625" s="9" t="s">
        <v>62</v>
      </c>
      <c r="G625" s="9" t="s">
        <v>43</v>
      </c>
      <c r="H625" t="str" cm="1">
        <f t="array" ref="H625">_xlfn.IFS(D625&gt;=250000,"高額",D625&gt;=150000,"中額",TRUE,"低額")</f>
        <v>高額</v>
      </c>
    </row>
    <row r="626" spans="2:8" x14ac:dyDescent="0.25">
      <c r="B626" s="9" t="s">
        <v>1350</v>
      </c>
      <c r="C626" s="9" t="s">
        <v>14</v>
      </c>
      <c r="D626" s="24">
        <v>91000</v>
      </c>
      <c r="E626" s="9" t="s">
        <v>2417</v>
      </c>
      <c r="F626" s="9" t="s">
        <v>67</v>
      </c>
      <c r="G626" s="9" t="s">
        <v>45</v>
      </c>
      <c r="H626" t="str" cm="1">
        <f t="array" ref="H626">_xlfn.IFS(D626&gt;=250000,"高額",D626&gt;=150000,"中額",TRUE,"低額")</f>
        <v>低額</v>
      </c>
    </row>
    <row r="627" spans="2:8" x14ac:dyDescent="0.25">
      <c r="B627" s="9" t="s">
        <v>1351</v>
      </c>
      <c r="C627" s="9" t="s">
        <v>20</v>
      </c>
      <c r="D627" s="24">
        <v>78000</v>
      </c>
      <c r="E627" s="9" t="s">
        <v>2418</v>
      </c>
      <c r="F627" s="9" t="s">
        <v>65</v>
      </c>
      <c r="G627" s="9" t="s">
        <v>49</v>
      </c>
      <c r="H627" t="str" cm="1">
        <f t="array" ref="H627">_xlfn.IFS(D627&gt;=250000,"高額",D627&gt;=150000,"中額",TRUE,"低額")</f>
        <v>低額</v>
      </c>
    </row>
    <row r="628" spans="2:8" x14ac:dyDescent="0.25">
      <c r="B628" s="9" t="s">
        <v>1353</v>
      </c>
      <c r="C628" s="9" t="s">
        <v>14</v>
      </c>
      <c r="D628" s="24">
        <v>232000</v>
      </c>
      <c r="E628" s="9" t="s">
        <v>2418</v>
      </c>
      <c r="F628" s="9" t="s">
        <v>62</v>
      </c>
      <c r="G628" s="9" t="s">
        <v>55</v>
      </c>
      <c r="H628" t="str" cm="1">
        <f t="array" ref="H628">_xlfn.IFS(D628&gt;=250000,"高額",D628&gt;=150000,"中額",TRUE,"低額")</f>
        <v>中額</v>
      </c>
    </row>
    <row r="629" spans="2:8" x14ac:dyDescent="0.25">
      <c r="B629" s="9" t="s">
        <v>1354</v>
      </c>
      <c r="C629" s="9" t="s">
        <v>18</v>
      </c>
      <c r="D629" s="24">
        <v>288000</v>
      </c>
      <c r="E629" s="9" t="s">
        <v>2419</v>
      </c>
      <c r="F629" s="9" t="s">
        <v>67</v>
      </c>
      <c r="G629" s="9" t="s">
        <v>53</v>
      </c>
      <c r="H629" t="str" cm="1">
        <f t="array" ref="H629">_xlfn.IFS(D629&gt;=250000,"高額",D629&gt;=150000,"中額",TRUE,"低額")</f>
        <v>高額</v>
      </c>
    </row>
    <row r="630" spans="2:8" x14ac:dyDescent="0.25">
      <c r="B630" s="9" t="s">
        <v>1356</v>
      </c>
      <c r="C630" s="9" t="s">
        <v>24</v>
      </c>
      <c r="D630" s="24">
        <v>58000</v>
      </c>
      <c r="E630" s="9" t="s">
        <v>2420</v>
      </c>
      <c r="F630" s="9" t="s">
        <v>67</v>
      </c>
      <c r="G630" s="9" t="s">
        <v>55</v>
      </c>
      <c r="H630" t="str" cm="1">
        <f t="array" ref="H630">_xlfn.IFS(D630&gt;=250000,"高額",D630&gt;=150000,"中額",TRUE,"低額")</f>
        <v>低額</v>
      </c>
    </row>
    <row r="631" spans="2:8" x14ac:dyDescent="0.25">
      <c r="B631" s="9" t="s">
        <v>1358</v>
      </c>
      <c r="C631" s="9" t="s">
        <v>16</v>
      </c>
      <c r="D631" s="24">
        <v>55000</v>
      </c>
      <c r="E631" s="9" t="s">
        <v>2421</v>
      </c>
      <c r="F631" s="9" t="s">
        <v>63</v>
      </c>
      <c r="G631" s="9" t="s">
        <v>45</v>
      </c>
      <c r="H631" t="str" cm="1">
        <f t="array" ref="H631">_xlfn.IFS(D631&gt;=250000,"高額",D631&gt;=150000,"中額",TRUE,"低額")</f>
        <v>低額</v>
      </c>
    </row>
    <row r="632" spans="2:8" x14ac:dyDescent="0.25">
      <c r="B632" s="9" t="s">
        <v>1360</v>
      </c>
      <c r="C632" s="9" t="s">
        <v>22</v>
      </c>
      <c r="D632" s="24">
        <v>61000</v>
      </c>
      <c r="E632" s="9" t="s">
        <v>2422</v>
      </c>
      <c r="F632" s="9" t="s">
        <v>66</v>
      </c>
      <c r="G632" s="9" t="s">
        <v>53</v>
      </c>
      <c r="H632" t="str" cm="1">
        <f t="array" ref="H632">_xlfn.IFS(D632&gt;=250000,"高額",D632&gt;=150000,"中額",TRUE,"低額")</f>
        <v>低額</v>
      </c>
    </row>
    <row r="633" spans="2:8" x14ac:dyDescent="0.25">
      <c r="B633" s="9" t="s">
        <v>1362</v>
      </c>
      <c r="C633" s="9" t="s">
        <v>14</v>
      </c>
      <c r="D633" s="24">
        <v>211000</v>
      </c>
      <c r="E633" s="9" t="s">
        <v>2423</v>
      </c>
      <c r="F633" s="9" t="s">
        <v>62</v>
      </c>
      <c r="G633" s="9" t="s">
        <v>47</v>
      </c>
      <c r="H633" t="str" cm="1">
        <f t="array" ref="H633">_xlfn.IFS(D633&gt;=250000,"高額",D633&gt;=150000,"中額",TRUE,"低額")</f>
        <v>中額</v>
      </c>
    </row>
    <row r="634" spans="2:8" x14ac:dyDescent="0.25">
      <c r="B634" s="9" t="s">
        <v>1364</v>
      </c>
      <c r="C634" s="9" t="s">
        <v>22</v>
      </c>
      <c r="D634" s="24">
        <v>197000</v>
      </c>
      <c r="E634" s="9" t="s">
        <v>2424</v>
      </c>
      <c r="F634" s="9" t="s">
        <v>65</v>
      </c>
      <c r="G634" s="9" t="s">
        <v>58</v>
      </c>
      <c r="H634" t="str" cm="1">
        <f t="array" ref="H634">_xlfn.IFS(D634&gt;=250000,"高額",D634&gt;=150000,"中額",TRUE,"低額")</f>
        <v>中額</v>
      </c>
    </row>
    <row r="635" spans="2:8" x14ac:dyDescent="0.25">
      <c r="B635" s="9" t="s">
        <v>1366</v>
      </c>
      <c r="C635" s="9" t="s">
        <v>14</v>
      </c>
      <c r="D635" s="24">
        <v>69000</v>
      </c>
      <c r="E635" s="9" t="s">
        <v>2425</v>
      </c>
      <c r="F635" s="9" t="s">
        <v>66</v>
      </c>
      <c r="G635" s="9" t="s">
        <v>55</v>
      </c>
      <c r="H635" t="str" cm="1">
        <f t="array" ref="H635">_xlfn.IFS(D635&gt;=250000,"高額",D635&gt;=150000,"中額",TRUE,"低額")</f>
        <v>低額</v>
      </c>
    </row>
    <row r="636" spans="2:8" x14ac:dyDescent="0.25">
      <c r="B636" s="9" t="s">
        <v>1368</v>
      </c>
      <c r="C636" s="9" t="s">
        <v>22</v>
      </c>
      <c r="D636" s="24">
        <v>123000</v>
      </c>
      <c r="E636" s="9" t="s">
        <v>2426</v>
      </c>
      <c r="F636" s="9" t="s">
        <v>63</v>
      </c>
      <c r="G636" s="9" t="s">
        <v>55</v>
      </c>
      <c r="H636" t="str" cm="1">
        <f t="array" ref="H636">_xlfn.IFS(D636&gt;=250000,"高額",D636&gt;=150000,"中額",TRUE,"低額")</f>
        <v>低額</v>
      </c>
    </row>
    <row r="637" spans="2:8" x14ac:dyDescent="0.25">
      <c r="B637" s="9" t="s">
        <v>1370</v>
      </c>
      <c r="C637" s="9" t="s">
        <v>12</v>
      </c>
      <c r="D637" s="24">
        <v>157000</v>
      </c>
      <c r="E637" s="9" t="s">
        <v>2427</v>
      </c>
      <c r="F637" s="9" t="s">
        <v>63</v>
      </c>
      <c r="G637" s="9" t="s">
        <v>49</v>
      </c>
      <c r="H637" t="str" cm="1">
        <f t="array" ref="H637">_xlfn.IFS(D637&gt;=250000,"高額",D637&gt;=150000,"中額",TRUE,"低額")</f>
        <v>中額</v>
      </c>
    </row>
    <row r="638" spans="2:8" x14ac:dyDescent="0.25">
      <c r="B638" s="9" t="s">
        <v>1372</v>
      </c>
      <c r="C638" s="9" t="s">
        <v>24</v>
      </c>
      <c r="D638" s="24">
        <v>110000</v>
      </c>
      <c r="E638" s="9" t="s">
        <v>2428</v>
      </c>
      <c r="F638" s="9" t="s">
        <v>64</v>
      </c>
      <c r="G638" s="9" t="s">
        <v>53</v>
      </c>
      <c r="H638" t="str" cm="1">
        <f t="array" ref="H638">_xlfn.IFS(D638&gt;=250000,"高額",D638&gt;=150000,"中額",TRUE,"低額")</f>
        <v>低額</v>
      </c>
    </row>
    <row r="639" spans="2:8" x14ac:dyDescent="0.25">
      <c r="B639" s="9" t="s">
        <v>1374</v>
      </c>
      <c r="C639" s="9" t="s">
        <v>22</v>
      </c>
      <c r="D639" s="24">
        <v>167000</v>
      </c>
      <c r="E639" s="9" t="s">
        <v>2429</v>
      </c>
      <c r="F639" s="9" t="s">
        <v>64</v>
      </c>
      <c r="G639" s="9" t="s">
        <v>55</v>
      </c>
      <c r="H639" t="str" cm="1">
        <f t="array" ref="H639">_xlfn.IFS(D639&gt;=250000,"高額",D639&gt;=150000,"中額",TRUE,"低額")</f>
        <v>中額</v>
      </c>
    </row>
    <row r="640" spans="2:8" x14ac:dyDescent="0.25">
      <c r="B640" s="9" t="s">
        <v>1376</v>
      </c>
      <c r="C640" s="9" t="s">
        <v>24</v>
      </c>
      <c r="D640" s="24">
        <v>161000</v>
      </c>
      <c r="E640" s="9" t="s">
        <v>2429</v>
      </c>
      <c r="F640" s="9" t="s">
        <v>67</v>
      </c>
      <c r="G640" s="9" t="s">
        <v>51</v>
      </c>
      <c r="H640" t="str" cm="1">
        <f t="array" ref="H640">_xlfn.IFS(D640&gt;=250000,"高額",D640&gt;=150000,"中額",TRUE,"低額")</f>
        <v>中額</v>
      </c>
    </row>
    <row r="641" spans="2:8" x14ac:dyDescent="0.25">
      <c r="B641" s="9" t="s">
        <v>1377</v>
      </c>
      <c r="C641" s="9" t="s">
        <v>12</v>
      </c>
      <c r="D641" s="24">
        <v>241000</v>
      </c>
      <c r="E641" s="9" t="s">
        <v>2430</v>
      </c>
      <c r="F641" s="9" t="s">
        <v>67</v>
      </c>
      <c r="G641" s="9" t="s">
        <v>47</v>
      </c>
      <c r="H641" t="str" cm="1">
        <f t="array" ref="H641">_xlfn.IFS(D641&gt;=250000,"高額",D641&gt;=150000,"中額",TRUE,"低額")</f>
        <v>中額</v>
      </c>
    </row>
    <row r="642" spans="2:8" x14ac:dyDescent="0.25">
      <c r="B642" s="9" t="s">
        <v>1379</v>
      </c>
      <c r="C642" s="9" t="s">
        <v>16</v>
      </c>
      <c r="D642" s="24">
        <v>216000</v>
      </c>
      <c r="E642" s="9" t="s">
        <v>2430</v>
      </c>
      <c r="F642" s="9" t="s">
        <v>67</v>
      </c>
      <c r="G642" s="9" t="s">
        <v>51</v>
      </c>
      <c r="H642" t="str" cm="1">
        <f t="array" ref="H642">_xlfn.IFS(D642&gt;=250000,"高額",D642&gt;=150000,"中額",TRUE,"低額")</f>
        <v>中額</v>
      </c>
    </row>
    <row r="643" spans="2:8" x14ac:dyDescent="0.25">
      <c r="B643" s="9" t="s">
        <v>1380</v>
      </c>
      <c r="C643" s="9" t="s">
        <v>14</v>
      </c>
      <c r="D643" s="24">
        <v>39000</v>
      </c>
      <c r="E643" s="9" t="s">
        <v>2431</v>
      </c>
      <c r="F643" s="9" t="s">
        <v>62</v>
      </c>
      <c r="G643" s="9" t="s">
        <v>53</v>
      </c>
      <c r="H643" t="str" cm="1">
        <f t="array" ref="H643">_xlfn.IFS(D643&gt;=250000,"高額",D643&gt;=150000,"中額",TRUE,"低額")</f>
        <v>低額</v>
      </c>
    </row>
    <row r="644" spans="2:8" x14ac:dyDescent="0.25">
      <c r="B644" s="9" t="s">
        <v>1383</v>
      </c>
      <c r="C644" s="9" t="s">
        <v>18</v>
      </c>
      <c r="D644" s="24">
        <v>152000</v>
      </c>
      <c r="E644" s="9" t="s">
        <v>2432</v>
      </c>
      <c r="F644" s="9" t="s">
        <v>63</v>
      </c>
      <c r="G644" s="9" t="s">
        <v>55</v>
      </c>
      <c r="H644" t="str" cm="1">
        <f t="array" ref="H644">_xlfn.IFS(D644&gt;=250000,"高額",D644&gt;=150000,"中額",TRUE,"低額")</f>
        <v>中額</v>
      </c>
    </row>
    <row r="645" spans="2:8" x14ac:dyDescent="0.25">
      <c r="B645" s="9" t="s">
        <v>1385</v>
      </c>
      <c r="C645" s="9" t="s">
        <v>22</v>
      </c>
      <c r="D645" s="24">
        <v>61000</v>
      </c>
      <c r="E645" s="9" t="s">
        <v>2433</v>
      </c>
      <c r="F645" s="9" t="s">
        <v>67</v>
      </c>
      <c r="G645" s="9" t="s">
        <v>47</v>
      </c>
      <c r="H645" t="str" cm="1">
        <f t="array" ref="H645">_xlfn.IFS(D645&gt;=250000,"高額",D645&gt;=150000,"中額",TRUE,"低額")</f>
        <v>低額</v>
      </c>
    </row>
    <row r="646" spans="2:8" x14ac:dyDescent="0.25">
      <c r="B646" s="9" t="s">
        <v>1387</v>
      </c>
      <c r="C646" s="9" t="s">
        <v>12</v>
      </c>
      <c r="D646" s="24">
        <v>41000</v>
      </c>
      <c r="E646" s="9" t="s">
        <v>2433</v>
      </c>
      <c r="F646" s="9" t="s">
        <v>64</v>
      </c>
      <c r="G646" s="9" t="s">
        <v>58</v>
      </c>
      <c r="H646" t="str" cm="1">
        <f t="array" ref="H646">_xlfn.IFS(D646&gt;=250000,"高額",D646&gt;=150000,"中額",TRUE,"低額")</f>
        <v>低額</v>
      </c>
    </row>
    <row r="647" spans="2:8" x14ac:dyDescent="0.25">
      <c r="B647" s="9" t="s">
        <v>1388</v>
      </c>
      <c r="C647" s="9" t="s">
        <v>16</v>
      </c>
      <c r="D647" s="24">
        <v>102000</v>
      </c>
      <c r="E647" s="9" t="s">
        <v>2434</v>
      </c>
      <c r="F647" s="9" t="s">
        <v>66</v>
      </c>
      <c r="G647" s="9" t="s">
        <v>49</v>
      </c>
      <c r="H647" t="str" cm="1">
        <f t="array" ref="H647">_xlfn.IFS(D647&gt;=250000,"高額",D647&gt;=150000,"中額",TRUE,"低額")</f>
        <v>低額</v>
      </c>
    </row>
    <row r="648" spans="2:8" x14ac:dyDescent="0.25">
      <c r="B648" s="9" t="s">
        <v>1390</v>
      </c>
      <c r="C648" s="9" t="s">
        <v>14</v>
      </c>
      <c r="D648" s="24">
        <v>79000</v>
      </c>
      <c r="E648" s="9" t="s">
        <v>2435</v>
      </c>
      <c r="F648" s="9" t="s">
        <v>65</v>
      </c>
      <c r="G648" s="9" t="s">
        <v>45</v>
      </c>
      <c r="H648" t="str" cm="1">
        <f t="array" ref="H648">_xlfn.IFS(D648&gt;=250000,"高額",D648&gt;=150000,"中額",TRUE,"低額")</f>
        <v>低額</v>
      </c>
    </row>
    <row r="649" spans="2:8" x14ac:dyDescent="0.25">
      <c r="B649" s="9" t="s">
        <v>1392</v>
      </c>
      <c r="C649" s="9" t="s">
        <v>12</v>
      </c>
      <c r="D649" s="24">
        <v>47000</v>
      </c>
      <c r="E649" s="9" t="s">
        <v>2435</v>
      </c>
      <c r="F649" s="9" t="s">
        <v>62</v>
      </c>
      <c r="G649" s="9" t="s">
        <v>58</v>
      </c>
      <c r="H649" t="str" cm="1">
        <f t="array" ref="H649">_xlfn.IFS(D649&gt;=250000,"高額",D649&gt;=150000,"中額",TRUE,"低額")</f>
        <v>低額</v>
      </c>
    </row>
    <row r="650" spans="2:8" x14ac:dyDescent="0.25">
      <c r="B650" s="9" t="s">
        <v>1393</v>
      </c>
      <c r="C650" s="9" t="s">
        <v>18</v>
      </c>
      <c r="D650" s="24">
        <v>91000</v>
      </c>
      <c r="E650" s="9" t="s">
        <v>2436</v>
      </c>
      <c r="F650" s="9" t="s">
        <v>66</v>
      </c>
      <c r="G650" s="9" t="s">
        <v>51</v>
      </c>
      <c r="H650" t="str" cm="1">
        <f t="array" ref="H650">_xlfn.IFS(D650&gt;=250000,"高額",D650&gt;=150000,"中額",TRUE,"低額")</f>
        <v>低額</v>
      </c>
    </row>
    <row r="651" spans="2:8" x14ac:dyDescent="0.25">
      <c r="B651" s="9" t="s">
        <v>1395</v>
      </c>
      <c r="C651" s="9" t="s">
        <v>22</v>
      </c>
      <c r="D651" s="24">
        <v>65000</v>
      </c>
      <c r="E651" s="9" t="s">
        <v>2437</v>
      </c>
      <c r="F651" s="9" t="s">
        <v>66</v>
      </c>
      <c r="G651" s="9" t="s">
        <v>55</v>
      </c>
      <c r="H651" t="str" cm="1">
        <f t="array" ref="H651">_xlfn.IFS(D651&gt;=250000,"高額",D651&gt;=150000,"中額",TRUE,"低額")</f>
        <v>低額</v>
      </c>
    </row>
    <row r="652" spans="2:8" x14ac:dyDescent="0.25">
      <c r="B652" s="9" t="s">
        <v>1397</v>
      </c>
      <c r="C652" s="9" t="s">
        <v>20</v>
      </c>
      <c r="D652" s="24">
        <v>125000</v>
      </c>
      <c r="E652" s="9" t="s">
        <v>2438</v>
      </c>
      <c r="F652" s="9" t="s">
        <v>64</v>
      </c>
      <c r="G652" s="9" t="s">
        <v>55</v>
      </c>
      <c r="H652" t="str" cm="1">
        <f t="array" ref="H652">_xlfn.IFS(D652&gt;=250000,"高額",D652&gt;=150000,"中額",TRUE,"低額")</f>
        <v>低額</v>
      </c>
    </row>
    <row r="653" spans="2:8" x14ac:dyDescent="0.25">
      <c r="B653" s="9" t="s">
        <v>1399</v>
      </c>
      <c r="C653" s="9" t="s">
        <v>20</v>
      </c>
      <c r="D653" s="24">
        <v>198000</v>
      </c>
      <c r="E653" s="9" t="s">
        <v>2439</v>
      </c>
      <c r="F653" s="9" t="s">
        <v>64</v>
      </c>
      <c r="G653" s="9" t="s">
        <v>47</v>
      </c>
      <c r="H653" t="str" cm="1">
        <f t="array" ref="H653">_xlfn.IFS(D653&gt;=250000,"高額",D653&gt;=150000,"中額",TRUE,"低額")</f>
        <v>中額</v>
      </c>
    </row>
    <row r="654" spans="2:8" x14ac:dyDescent="0.25">
      <c r="B654" s="9" t="s">
        <v>1401</v>
      </c>
      <c r="C654" s="9" t="s">
        <v>22</v>
      </c>
      <c r="D654" s="24">
        <v>116000</v>
      </c>
      <c r="E654" s="9" t="s">
        <v>2440</v>
      </c>
      <c r="F654" s="9" t="s">
        <v>67</v>
      </c>
      <c r="G654" s="9" t="s">
        <v>49</v>
      </c>
      <c r="H654" t="str" cm="1">
        <f t="array" ref="H654">_xlfn.IFS(D654&gt;=250000,"高額",D654&gt;=150000,"中額",TRUE,"低額")</f>
        <v>低額</v>
      </c>
    </row>
    <row r="655" spans="2:8" x14ac:dyDescent="0.25">
      <c r="B655" s="9" t="s">
        <v>1403</v>
      </c>
      <c r="C655" s="9" t="s">
        <v>16</v>
      </c>
      <c r="D655" s="24">
        <v>255000</v>
      </c>
      <c r="E655" s="9" t="s">
        <v>2440</v>
      </c>
      <c r="F655" s="9" t="s">
        <v>65</v>
      </c>
      <c r="G655" s="9" t="s">
        <v>49</v>
      </c>
      <c r="H655" t="str" cm="1">
        <f t="array" ref="H655">_xlfn.IFS(D655&gt;=250000,"高額",D655&gt;=150000,"中額",TRUE,"低額")</f>
        <v>高額</v>
      </c>
    </row>
    <row r="656" spans="2:8" x14ac:dyDescent="0.25">
      <c r="B656" s="9" t="s">
        <v>1404</v>
      </c>
      <c r="C656" s="9" t="s">
        <v>24</v>
      </c>
      <c r="D656" s="24">
        <v>120000</v>
      </c>
      <c r="E656" s="9" t="s">
        <v>2441</v>
      </c>
      <c r="F656" s="9" t="s">
        <v>66</v>
      </c>
      <c r="G656" s="9" t="s">
        <v>55</v>
      </c>
      <c r="H656" t="str" cm="1">
        <f t="array" ref="H656">_xlfn.IFS(D656&gt;=250000,"高額",D656&gt;=150000,"中額",TRUE,"低額")</f>
        <v>低額</v>
      </c>
    </row>
    <row r="657" spans="2:8" x14ac:dyDescent="0.25">
      <c r="B657" s="9" t="s">
        <v>1406</v>
      </c>
      <c r="C657" s="9" t="s">
        <v>12</v>
      </c>
      <c r="D657" s="24">
        <v>68000</v>
      </c>
      <c r="E657" s="9" t="s">
        <v>2442</v>
      </c>
      <c r="F657" s="9" t="s">
        <v>63</v>
      </c>
      <c r="G657" s="9" t="s">
        <v>47</v>
      </c>
      <c r="H657" t="str" cm="1">
        <f t="array" ref="H657">_xlfn.IFS(D657&gt;=250000,"高額",D657&gt;=150000,"中額",TRUE,"低額")</f>
        <v>低額</v>
      </c>
    </row>
    <row r="658" spans="2:8" x14ac:dyDescent="0.25">
      <c r="B658" s="9" t="s">
        <v>1408</v>
      </c>
      <c r="C658" s="9" t="s">
        <v>18</v>
      </c>
      <c r="D658" s="24">
        <v>67000</v>
      </c>
      <c r="E658" s="9" t="s">
        <v>2442</v>
      </c>
      <c r="F658" s="9" t="s">
        <v>65</v>
      </c>
      <c r="G658" s="9" t="s">
        <v>53</v>
      </c>
      <c r="H658" t="str" cm="1">
        <f t="array" ref="H658">_xlfn.IFS(D658&gt;=250000,"高額",D658&gt;=150000,"中額",TRUE,"低額")</f>
        <v>低額</v>
      </c>
    </row>
    <row r="659" spans="2:8" x14ac:dyDescent="0.25">
      <c r="B659" s="9" t="s">
        <v>1410</v>
      </c>
      <c r="C659" s="9" t="s">
        <v>12</v>
      </c>
      <c r="D659" s="24">
        <v>173000</v>
      </c>
      <c r="E659" s="9" t="s">
        <v>2443</v>
      </c>
      <c r="F659" s="9" t="s">
        <v>67</v>
      </c>
      <c r="G659" s="9" t="s">
        <v>47</v>
      </c>
      <c r="H659" t="str" cm="1">
        <f t="array" ref="H659">_xlfn.IFS(D659&gt;=250000,"高額",D659&gt;=150000,"中額",TRUE,"低額")</f>
        <v>中額</v>
      </c>
    </row>
    <row r="660" spans="2:8" x14ac:dyDescent="0.25">
      <c r="B660" s="9" t="s">
        <v>1412</v>
      </c>
      <c r="C660" s="9" t="s">
        <v>20</v>
      </c>
      <c r="D660" s="24">
        <v>178000</v>
      </c>
      <c r="E660" s="9" t="s">
        <v>2443</v>
      </c>
      <c r="F660" s="9" t="s">
        <v>66</v>
      </c>
      <c r="G660" s="9" t="s">
        <v>45</v>
      </c>
      <c r="H660" t="str" cm="1">
        <f t="array" ref="H660">_xlfn.IFS(D660&gt;=250000,"高額",D660&gt;=150000,"中額",TRUE,"低額")</f>
        <v>中額</v>
      </c>
    </row>
    <row r="661" spans="2:8" x14ac:dyDescent="0.25">
      <c r="B661" s="9" t="s">
        <v>1413</v>
      </c>
      <c r="C661" s="9" t="s">
        <v>22</v>
      </c>
      <c r="D661" s="24">
        <v>252000</v>
      </c>
      <c r="E661" s="9" t="s">
        <v>2444</v>
      </c>
      <c r="F661" s="9" t="s">
        <v>66</v>
      </c>
      <c r="G661" s="9" t="s">
        <v>61</v>
      </c>
      <c r="H661" t="str" cm="1">
        <f t="array" ref="H661">_xlfn.IFS(D661&gt;=250000,"高額",D661&gt;=150000,"中額",TRUE,"低額")</f>
        <v>高額</v>
      </c>
    </row>
    <row r="662" spans="2:8" x14ac:dyDescent="0.25">
      <c r="B662" s="9" t="s">
        <v>1415</v>
      </c>
      <c r="C662" s="9" t="s">
        <v>14</v>
      </c>
      <c r="D662" s="24">
        <v>217000</v>
      </c>
      <c r="E662" s="9" t="s">
        <v>2445</v>
      </c>
      <c r="F662" s="9" t="s">
        <v>62</v>
      </c>
      <c r="G662" s="9" t="s">
        <v>55</v>
      </c>
      <c r="H662" t="str" cm="1">
        <f t="array" ref="H662">_xlfn.IFS(D662&gt;=250000,"高額",D662&gt;=150000,"中額",TRUE,"低額")</f>
        <v>中額</v>
      </c>
    </row>
    <row r="663" spans="2:8" x14ac:dyDescent="0.25">
      <c r="B663" s="9" t="s">
        <v>1417</v>
      </c>
      <c r="C663" s="9" t="s">
        <v>12</v>
      </c>
      <c r="D663" s="24">
        <v>224000</v>
      </c>
      <c r="E663" s="9" t="s">
        <v>2446</v>
      </c>
      <c r="F663" s="9" t="s">
        <v>67</v>
      </c>
      <c r="G663" s="9" t="s">
        <v>47</v>
      </c>
      <c r="H663" t="str" cm="1">
        <f t="array" ref="H663">_xlfn.IFS(D663&gt;=250000,"高額",D663&gt;=150000,"中額",TRUE,"低額")</f>
        <v>中額</v>
      </c>
    </row>
    <row r="664" spans="2:8" x14ac:dyDescent="0.25">
      <c r="B664" s="9" t="s">
        <v>1419</v>
      </c>
      <c r="C664" s="9" t="s">
        <v>12</v>
      </c>
      <c r="D664" s="24">
        <v>252000</v>
      </c>
      <c r="E664" s="9" t="s">
        <v>2447</v>
      </c>
      <c r="F664" s="9" t="s">
        <v>67</v>
      </c>
      <c r="G664" s="9" t="s">
        <v>51</v>
      </c>
      <c r="H664" t="str" cm="1">
        <f t="array" ref="H664">_xlfn.IFS(D664&gt;=250000,"高額",D664&gt;=150000,"中額",TRUE,"低額")</f>
        <v>高額</v>
      </c>
    </row>
    <row r="665" spans="2:8" x14ac:dyDescent="0.25">
      <c r="B665" s="9" t="s">
        <v>1421</v>
      </c>
      <c r="C665" s="9" t="s">
        <v>14</v>
      </c>
      <c r="D665" s="24">
        <v>130000</v>
      </c>
      <c r="E665" s="9" t="s">
        <v>2447</v>
      </c>
      <c r="F665" s="9" t="s">
        <v>63</v>
      </c>
      <c r="G665" s="9" t="s">
        <v>53</v>
      </c>
      <c r="H665" t="str" cm="1">
        <f t="array" ref="H665">_xlfn.IFS(D665&gt;=250000,"高額",D665&gt;=150000,"中額",TRUE,"低額")</f>
        <v>低額</v>
      </c>
    </row>
    <row r="666" spans="2:8" x14ac:dyDescent="0.25">
      <c r="B666" s="9" t="s">
        <v>1422</v>
      </c>
      <c r="C666" s="9" t="s">
        <v>22</v>
      </c>
      <c r="D666" s="24">
        <v>297000</v>
      </c>
      <c r="E666" s="9" t="s">
        <v>2448</v>
      </c>
      <c r="F666" s="9" t="s">
        <v>63</v>
      </c>
      <c r="G666" s="9" t="s">
        <v>45</v>
      </c>
      <c r="H666" t="str" cm="1">
        <f t="array" ref="H666">_xlfn.IFS(D666&gt;=250000,"高額",D666&gt;=150000,"中額",TRUE,"低額")</f>
        <v>高額</v>
      </c>
    </row>
    <row r="667" spans="2:8" x14ac:dyDescent="0.25">
      <c r="B667" s="9" t="s">
        <v>1424</v>
      </c>
      <c r="C667" s="9" t="s">
        <v>18</v>
      </c>
      <c r="D667" s="24">
        <v>179000</v>
      </c>
      <c r="E667" s="9" t="s">
        <v>2449</v>
      </c>
      <c r="F667" s="9" t="s">
        <v>63</v>
      </c>
      <c r="G667" s="9" t="s">
        <v>51</v>
      </c>
      <c r="H667" t="str" cm="1">
        <f t="array" ref="H667">_xlfn.IFS(D667&gt;=250000,"高額",D667&gt;=150000,"中額",TRUE,"低額")</f>
        <v>中額</v>
      </c>
    </row>
    <row r="668" spans="2:8" x14ac:dyDescent="0.25">
      <c r="B668" s="9" t="s">
        <v>1426</v>
      </c>
      <c r="C668" s="9" t="s">
        <v>20</v>
      </c>
      <c r="D668" s="24">
        <v>264000</v>
      </c>
      <c r="E668" s="9" t="s">
        <v>2449</v>
      </c>
      <c r="F668" s="9" t="s">
        <v>67</v>
      </c>
      <c r="G668" s="9" t="s">
        <v>61</v>
      </c>
      <c r="H668" t="str" cm="1">
        <f t="array" ref="H668">_xlfn.IFS(D668&gt;=250000,"高額",D668&gt;=150000,"中額",TRUE,"低額")</f>
        <v>高額</v>
      </c>
    </row>
    <row r="669" spans="2:8" x14ac:dyDescent="0.25">
      <c r="B669" s="9" t="s">
        <v>1427</v>
      </c>
      <c r="C669" s="9" t="s">
        <v>18</v>
      </c>
      <c r="D669" s="24">
        <v>212000</v>
      </c>
      <c r="E669" s="9" t="s">
        <v>2450</v>
      </c>
      <c r="F669" s="9" t="s">
        <v>67</v>
      </c>
      <c r="G669" s="9" t="s">
        <v>51</v>
      </c>
      <c r="H669" t="str" cm="1">
        <f t="array" ref="H669">_xlfn.IFS(D669&gt;=250000,"高額",D669&gt;=150000,"中額",TRUE,"低額")</f>
        <v>中額</v>
      </c>
    </row>
    <row r="670" spans="2:8" x14ac:dyDescent="0.25">
      <c r="B670" s="9" t="s">
        <v>1429</v>
      </c>
      <c r="C670" s="9" t="s">
        <v>16</v>
      </c>
      <c r="D670" s="24">
        <v>153000</v>
      </c>
      <c r="E670" s="9" t="s">
        <v>2451</v>
      </c>
      <c r="F670" s="9" t="s">
        <v>65</v>
      </c>
      <c r="G670" s="9" t="s">
        <v>49</v>
      </c>
      <c r="H670" t="str" cm="1">
        <f t="array" ref="H670">_xlfn.IFS(D670&gt;=250000,"高額",D670&gt;=150000,"中額",TRUE,"低額")</f>
        <v>中額</v>
      </c>
    </row>
    <row r="671" spans="2:8" x14ac:dyDescent="0.25">
      <c r="B671" s="9" t="s">
        <v>1431</v>
      </c>
      <c r="C671" s="9" t="s">
        <v>12</v>
      </c>
      <c r="D671" s="24">
        <v>176000</v>
      </c>
      <c r="E671" s="9" t="s">
        <v>2451</v>
      </c>
      <c r="F671" s="9" t="s">
        <v>67</v>
      </c>
      <c r="G671" s="9" t="s">
        <v>61</v>
      </c>
      <c r="H671" t="str" cm="1">
        <f t="array" ref="H671">_xlfn.IFS(D671&gt;=250000,"高額",D671&gt;=150000,"中額",TRUE,"低額")</f>
        <v>中額</v>
      </c>
    </row>
    <row r="672" spans="2:8" x14ac:dyDescent="0.25">
      <c r="B672" s="9" t="s">
        <v>1432</v>
      </c>
      <c r="C672" s="9" t="s">
        <v>20</v>
      </c>
      <c r="D672" s="24">
        <v>38000</v>
      </c>
      <c r="E672" s="9" t="s">
        <v>2452</v>
      </c>
      <c r="F672" s="9" t="s">
        <v>67</v>
      </c>
      <c r="G672" s="9" t="s">
        <v>43</v>
      </c>
      <c r="H672" t="str" cm="1">
        <f t="array" ref="H672">_xlfn.IFS(D672&gt;=250000,"高額",D672&gt;=150000,"中額",TRUE,"低額")</f>
        <v>低額</v>
      </c>
    </row>
    <row r="673" spans="2:8" x14ac:dyDescent="0.25">
      <c r="B673" s="9" t="s">
        <v>1434</v>
      </c>
      <c r="C673" s="9" t="s">
        <v>20</v>
      </c>
      <c r="D673" s="24">
        <v>153000</v>
      </c>
      <c r="E673" s="9" t="s">
        <v>2452</v>
      </c>
      <c r="F673" s="9" t="s">
        <v>63</v>
      </c>
      <c r="G673" s="9" t="s">
        <v>61</v>
      </c>
      <c r="H673" t="str" cm="1">
        <f t="array" ref="H673">_xlfn.IFS(D673&gt;=250000,"高額",D673&gt;=150000,"中額",TRUE,"低額")</f>
        <v>中額</v>
      </c>
    </row>
    <row r="674" spans="2:8" x14ac:dyDescent="0.25">
      <c r="B674" s="9" t="s">
        <v>1435</v>
      </c>
      <c r="C674" s="9" t="s">
        <v>16</v>
      </c>
      <c r="D674" s="24">
        <v>166000</v>
      </c>
      <c r="E674" s="9" t="s">
        <v>2453</v>
      </c>
      <c r="F674" s="9" t="s">
        <v>63</v>
      </c>
      <c r="G674" s="9" t="s">
        <v>53</v>
      </c>
      <c r="H674" t="str" cm="1">
        <f t="array" ref="H674">_xlfn.IFS(D674&gt;=250000,"高額",D674&gt;=150000,"中額",TRUE,"低額")</f>
        <v>中額</v>
      </c>
    </row>
    <row r="675" spans="2:8" x14ac:dyDescent="0.25">
      <c r="B675" s="9" t="s">
        <v>1437</v>
      </c>
      <c r="C675" s="9" t="s">
        <v>18</v>
      </c>
      <c r="D675" s="24">
        <v>269000</v>
      </c>
      <c r="E675" s="9" t="s">
        <v>2454</v>
      </c>
      <c r="F675" s="9" t="s">
        <v>67</v>
      </c>
      <c r="G675" s="9" t="s">
        <v>47</v>
      </c>
      <c r="H675" t="str" cm="1">
        <f t="array" ref="H675">_xlfn.IFS(D675&gt;=250000,"高額",D675&gt;=150000,"中額",TRUE,"低額")</f>
        <v>高額</v>
      </c>
    </row>
    <row r="676" spans="2:8" x14ac:dyDescent="0.25">
      <c r="B676" s="9" t="s">
        <v>1439</v>
      </c>
      <c r="C676" s="9" t="s">
        <v>14</v>
      </c>
      <c r="D676" s="24">
        <v>69000</v>
      </c>
      <c r="E676" s="9" t="s">
        <v>2454</v>
      </c>
      <c r="F676" s="9" t="s">
        <v>64</v>
      </c>
      <c r="G676" s="9" t="s">
        <v>55</v>
      </c>
      <c r="H676" t="str" cm="1">
        <f t="array" ref="H676">_xlfn.IFS(D676&gt;=250000,"高額",D676&gt;=150000,"中額",TRUE,"低額")</f>
        <v>低額</v>
      </c>
    </row>
    <row r="677" spans="2:8" x14ac:dyDescent="0.25">
      <c r="B677" s="9" t="s">
        <v>1440</v>
      </c>
      <c r="C677" s="9" t="s">
        <v>16</v>
      </c>
      <c r="D677" s="24">
        <v>276000</v>
      </c>
      <c r="E677" s="9" t="s">
        <v>2455</v>
      </c>
      <c r="F677" s="9" t="s">
        <v>65</v>
      </c>
      <c r="G677" s="9" t="s">
        <v>47</v>
      </c>
      <c r="H677" t="str" cm="1">
        <f t="array" ref="H677">_xlfn.IFS(D677&gt;=250000,"高額",D677&gt;=150000,"中額",TRUE,"低額")</f>
        <v>高額</v>
      </c>
    </row>
    <row r="678" spans="2:8" x14ac:dyDescent="0.25">
      <c r="B678" s="9" t="s">
        <v>1442</v>
      </c>
      <c r="C678" s="9" t="s">
        <v>16</v>
      </c>
      <c r="D678" s="24">
        <v>50000</v>
      </c>
      <c r="E678" s="9" t="s">
        <v>2455</v>
      </c>
      <c r="F678" s="9" t="s">
        <v>66</v>
      </c>
      <c r="G678" s="9" t="s">
        <v>45</v>
      </c>
      <c r="H678" t="str" cm="1">
        <f t="array" ref="H678">_xlfn.IFS(D678&gt;=250000,"高額",D678&gt;=150000,"中額",TRUE,"低額")</f>
        <v>低額</v>
      </c>
    </row>
    <row r="679" spans="2:8" x14ac:dyDescent="0.25">
      <c r="B679" s="9" t="s">
        <v>1444</v>
      </c>
      <c r="C679" s="9" t="s">
        <v>18</v>
      </c>
      <c r="D679" s="24">
        <v>79000</v>
      </c>
      <c r="E679" s="9" t="s">
        <v>2456</v>
      </c>
      <c r="F679" s="9" t="s">
        <v>65</v>
      </c>
      <c r="G679" s="9" t="s">
        <v>47</v>
      </c>
      <c r="H679" t="str" cm="1">
        <f t="array" ref="H679">_xlfn.IFS(D679&gt;=250000,"高額",D679&gt;=150000,"中額",TRUE,"低額")</f>
        <v>低額</v>
      </c>
    </row>
    <row r="680" spans="2:8" x14ac:dyDescent="0.25">
      <c r="B680" s="9" t="s">
        <v>1446</v>
      </c>
      <c r="C680" s="9" t="s">
        <v>16</v>
      </c>
      <c r="D680" s="24">
        <v>266000</v>
      </c>
      <c r="E680" s="9" t="s">
        <v>2457</v>
      </c>
      <c r="F680" s="9" t="s">
        <v>67</v>
      </c>
      <c r="G680" s="9" t="s">
        <v>53</v>
      </c>
      <c r="H680" t="str" cm="1">
        <f t="array" ref="H680">_xlfn.IFS(D680&gt;=250000,"高額",D680&gt;=150000,"中額",TRUE,"低額")</f>
        <v>高額</v>
      </c>
    </row>
    <row r="681" spans="2:8" x14ac:dyDescent="0.25">
      <c r="B681" s="9" t="s">
        <v>1448</v>
      </c>
      <c r="C681" s="9" t="s">
        <v>16</v>
      </c>
      <c r="D681" s="24">
        <v>249000</v>
      </c>
      <c r="E681" s="9" t="s">
        <v>2457</v>
      </c>
      <c r="F681" s="9" t="s">
        <v>63</v>
      </c>
      <c r="G681" s="9" t="s">
        <v>55</v>
      </c>
      <c r="H681" t="str" cm="1">
        <f t="array" ref="H681">_xlfn.IFS(D681&gt;=250000,"高額",D681&gt;=150000,"中額",TRUE,"低額")</f>
        <v>中額</v>
      </c>
    </row>
    <row r="682" spans="2:8" x14ac:dyDescent="0.25">
      <c r="B682" s="9" t="s">
        <v>1449</v>
      </c>
      <c r="C682" s="9" t="s">
        <v>16</v>
      </c>
      <c r="D682" s="24">
        <v>98000</v>
      </c>
      <c r="E682" s="9" t="s">
        <v>2457</v>
      </c>
      <c r="F682" s="9" t="s">
        <v>67</v>
      </c>
      <c r="G682" s="9" t="s">
        <v>53</v>
      </c>
      <c r="H682" t="str" cm="1">
        <f t="array" ref="H682">_xlfn.IFS(D682&gt;=250000,"高額",D682&gt;=150000,"中額",TRUE,"低額")</f>
        <v>低額</v>
      </c>
    </row>
    <row r="683" spans="2:8" x14ac:dyDescent="0.25">
      <c r="B683" s="9" t="s">
        <v>1450</v>
      </c>
      <c r="C683" s="9" t="s">
        <v>16</v>
      </c>
      <c r="D683" s="24">
        <v>161000</v>
      </c>
      <c r="E683" s="9" t="s">
        <v>2457</v>
      </c>
      <c r="F683" s="9" t="s">
        <v>67</v>
      </c>
      <c r="G683" s="9" t="s">
        <v>47</v>
      </c>
      <c r="H683" t="str" cm="1">
        <f t="array" ref="H683">_xlfn.IFS(D683&gt;=250000,"高額",D683&gt;=150000,"中額",TRUE,"低額")</f>
        <v>中額</v>
      </c>
    </row>
    <row r="684" spans="2:8" x14ac:dyDescent="0.25">
      <c r="B684" s="9" t="s">
        <v>1451</v>
      </c>
      <c r="C684" s="9" t="s">
        <v>12</v>
      </c>
      <c r="D684" s="24">
        <v>175000</v>
      </c>
      <c r="E684" s="9" t="s">
        <v>2458</v>
      </c>
      <c r="F684" s="9" t="s">
        <v>62</v>
      </c>
      <c r="G684" s="9" t="s">
        <v>47</v>
      </c>
      <c r="H684" t="str" cm="1">
        <f t="array" ref="H684">_xlfn.IFS(D684&gt;=250000,"高額",D684&gt;=150000,"中額",TRUE,"低額")</f>
        <v>中額</v>
      </c>
    </row>
    <row r="685" spans="2:8" x14ac:dyDescent="0.25">
      <c r="B685" s="9" t="s">
        <v>1453</v>
      </c>
      <c r="C685" s="9" t="s">
        <v>12</v>
      </c>
      <c r="D685" s="24">
        <v>249000</v>
      </c>
      <c r="E685" s="9" t="s">
        <v>2458</v>
      </c>
      <c r="F685" s="9" t="s">
        <v>66</v>
      </c>
      <c r="G685" s="9" t="s">
        <v>45</v>
      </c>
      <c r="H685" t="str" cm="1">
        <f t="array" ref="H685">_xlfn.IFS(D685&gt;=250000,"高額",D685&gt;=150000,"中額",TRUE,"低額")</f>
        <v>中額</v>
      </c>
    </row>
    <row r="686" spans="2:8" x14ac:dyDescent="0.25">
      <c r="B686" s="9" t="s">
        <v>1454</v>
      </c>
      <c r="C686" s="9" t="s">
        <v>14</v>
      </c>
      <c r="D686" s="24">
        <v>182000</v>
      </c>
      <c r="E686" s="9" t="s">
        <v>2459</v>
      </c>
      <c r="F686" s="9" t="s">
        <v>63</v>
      </c>
      <c r="G686" s="9" t="s">
        <v>47</v>
      </c>
      <c r="H686" t="str" cm="1">
        <f t="array" ref="H686">_xlfn.IFS(D686&gt;=250000,"高額",D686&gt;=150000,"中額",TRUE,"低額")</f>
        <v>中額</v>
      </c>
    </row>
    <row r="687" spans="2:8" x14ac:dyDescent="0.25">
      <c r="B687" s="9" t="s">
        <v>1456</v>
      </c>
      <c r="C687" s="9" t="s">
        <v>12</v>
      </c>
      <c r="D687" s="24">
        <v>251000</v>
      </c>
      <c r="E687" s="9" t="s">
        <v>2459</v>
      </c>
      <c r="F687" s="9" t="s">
        <v>63</v>
      </c>
      <c r="G687" s="9" t="s">
        <v>58</v>
      </c>
      <c r="H687" t="str" cm="1">
        <f t="array" ref="H687">_xlfn.IFS(D687&gt;=250000,"高額",D687&gt;=150000,"中額",TRUE,"低額")</f>
        <v>高額</v>
      </c>
    </row>
    <row r="688" spans="2:8" x14ac:dyDescent="0.25">
      <c r="B688" s="9" t="s">
        <v>1457</v>
      </c>
      <c r="C688" s="9" t="s">
        <v>14</v>
      </c>
      <c r="D688" s="24">
        <v>133000</v>
      </c>
      <c r="E688" s="9" t="s">
        <v>2460</v>
      </c>
      <c r="F688" s="9" t="s">
        <v>66</v>
      </c>
      <c r="G688" s="9" t="s">
        <v>61</v>
      </c>
      <c r="H688" t="str" cm="1">
        <f t="array" ref="H688">_xlfn.IFS(D688&gt;=250000,"高額",D688&gt;=150000,"中額",TRUE,"低額")</f>
        <v>低額</v>
      </c>
    </row>
    <row r="689" spans="2:8" x14ac:dyDescent="0.25">
      <c r="B689" s="9" t="s">
        <v>1459</v>
      </c>
      <c r="C689" s="9" t="s">
        <v>14</v>
      </c>
      <c r="D689" s="24">
        <v>179000</v>
      </c>
      <c r="E689" s="9" t="s">
        <v>2461</v>
      </c>
      <c r="F689" s="9" t="s">
        <v>62</v>
      </c>
      <c r="G689" s="9" t="s">
        <v>47</v>
      </c>
      <c r="H689" t="str" cm="1">
        <f t="array" ref="H689">_xlfn.IFS(D689&gt;=250000,"高額",D689&gt;=150000,"中額",TRUE,"低額")</f>
        <v>中額</v>
      </c>
    </row>
    <row r="690" spans="2:8" x14ac:dyDescent="0.25">
      <c r="B690" s="9" t="s">
        <v>1461</v>
      </c>
      <c r="C690" s="9" t="s">
        <v>24</v>
      </c>
      <c r="D690" s="24">
        <v>149000</v>
      </c>
      <c r="E690" s="9" t="s">
        <v>2461</v>
      </c>
      <c r="F690" s="9" t="s">
        <v>62</v>
      </c>
      <c r="G690" s="9" t="s">
        <v>55</v>
      </c>
      <c r="H690" t="str" cm="1">
        <f t="array" ref="H690">_xlfn.IFS(D690&gt;=250000,"高額",D690&gt;=150000,"中額",TRUE,"低額")</f>
        <v>低額</v>
      </c>
    </row>
    <row r="691" spans="2:8" x14ac:dyDescent="0.25">
      <c r="B691" s="9" t="s">
        <v>1462</v>
      </c>
      <c r="C691" s="9" t="s">
        <v>18</v>
      </c>
      <c r="D691" s="24">
        <v>247000</v>
      </c>
      <c r="E691" s="9" t="s">
        <v>2462</v>
      </c>
      <c r="F691" s="9" t="s">
        <v>64</v>
      </c>
      <c r="G691" s="9" t="s">
        <v>58</v>
      </c>
      <c r="H691" t="str" cm="1">
        <f t="array" ref="H691">_xlfn.IFS(D691&gt;=250000,"高額",D691&gt;=150000,"中額",TRUE,"低額")</f>
        <v>中額</v>
      </c>
    </row>
    <row r="692" spans="2:8" x14ac:dyDescent="0.25">
      <c r="B692" s="9" t="s">
        <v>1464</v>
      </c>
      <c r="C692" s="9" t="s">
        <v>22</v>
      </c>
      <c r="D692" s="24">
        <v>272000</v>
      </c>
      <c r="E692" s="9" t="s">
        <v>2463</v>
      </c>
      <c r="F692" s="9" t="s">
        <v>67</v>
      </c>
      <c r="G692" s="9" t="s">
        <v>47</v>
      </c>
      <c r="H692" t="str" cm="1">
        <f t="array" ref="H692">_xlfn.IFS(D692&gt;=250000,"高額",D692&gt;=150000,"中額",TRUE,"低額")</f>
        <v>高額</v>
      </c>
    </row>
    <row r="693" spans="2:8" x14ac:dyDescent="0.25">
      <c r="B693" s="9" t="s">
        <v>1466</v>
      </c>
      <c r="C693" s="9" t="s">
        <v>20</v>
      </c>
      <c r="D693" s="24">
        <v>107000</v>
      </c>
      <c r="E693" s="9" t="s">
        <v>2464</v>
      </c>
      <c r="F693" s="9" t="s">
        <v>64</v>
      </c>
      <c r="G693" s="9" t="s">
        <v>51</v>
      </c>
      <c r="H693" t="str" cm="1">
        <f t="array" ref="H693">_xlfn.IFS(D693&gt;=250000,"高額",D693&gt;=150000,"中額",TRUE,"低額")</f>
        <v>低額</v>
      </c>
    </row>
    <row r="694" spans="2:8" x14ac:dyDescent="0.25">
      <c r="B694" s="9" t="s">
        <v>1468</v>
      </c>
      <c r="C694" s="9" t="s">
        <v>24</v>
      </c>
      <c r="D694" s="24">
        <v>289000</v>
      </c>
      <c r="E694" s="9" t="s">
        <v>2465</v>
      </c>
      <c r="F694" s="9" t="s">
        <v>62</v>
      </c>
      <c r="G694" s="9" t="s">
        <v>61</v>
      </c>
      <c r="H694" t="str" cm="1">
        <f t="array" ref="H694">_xlfn.IFS(D694&gt;=250000,"高額",D694&gt;=150000,"中額",TRUE,"低額")</f>
        <v>高額</v>
      </c>
    </row>
    <row r="695" spans="2:8" x14ac:dyDescent="0.25">
      <c r="B695" s="9" t="s">
        <v>1470</v>
      </c>
      <c r="C695" s="9" t="s">
        <v>22</v>
      </c>
      <c r="D695" s="24">
        <v>214000</v>
      </c>
      <c r="E695" s="9" t="s">
        <v>2466</v>
      </c>
      <c r="F695" s="9" t="s">
        <v>63</v>
      </c>
      <c r="G695" s="9" t="s">
        <v>58</v>
      </c>
      <c r="H695" t="str" cm="1">
        <f t="array" ref="H695">_xlfn.IFS(D695&gt;=250000,"高額",D695&gt;=150000,"中額",TRUE,"低額")</f>
        <v>中額</v>
      </c>
    </row>
    <row r="696" spans="2:8" x14ac:dyDescent="0.25">
      <c r="B696" s="9" t="s">
        <v>1472</v>
      </c>
      <c r="C696" s="9" t="s">
        <v>14</v>
      </c>
      <c r="D696" s="24">
        <v>195000</v>
      </c>
      <c r="E696" s="9" t="s">
        <v>2467</v>
      </c>
      <c r="F696" s="9" t="s">
        <v>66</v>
      </c>
      <c r="G696" s="9" t="s">
        <v>49</v>
      </c>
      <c r="H696" t="str" cm="1">
        <f t="array" ref="H696">_xlfn.IFS(D696&gt;=250000,"高額",D696&gt;=150000,"中額",TRUE,"低額")</f>
        <v>中額</v>
      </c>
    </row>
    <row r="697" spans="2:8" x14ac:dyDescent="0.25">
      <c r="B697" s="9" t="s">
        <v>1474</v>
      </c>
      <c r="C697" s="9" t="s">
        <v>16</v>
      </c>
      <c r="D697" s="24">
        <v>264000</v>
      </c>
      <c r="E697" s="9" t="s">
        <v>2467</v>
      </c>
      <c r="F697" s="9" t="s">
        <v>65</v>
      </c>
      <c r="G697" s="9" t="s">
        <v>47</v>
      </c>
      <c r="H697" t="str" cm="1">
        <f t="array" ref="H697">_xlfn.IFS(D697&gt;=250000,"高額",D697&gt;=150000,"中額",TRUE,"低額")</f>
        <v>高額</v>
      </c>
    </row>
    <row r="698" spans="2:8" x14ac:dyDescent="0.25">
      <c r="B698" s="9" t="s">
        <v>1475</v>
      </c>
      <c r="C698" s="9" t="s">
        <v>12</v>
      </c>
      <c r="D698" s="24">
        <v>242000</v>
      </c>
      <c r="E698" s="9" t="s">
        <v>2468</v>
      </c>
      <c r="F698" s="9" t="s">
        <v>64</v>
      </c>
      <c r="G698" s="9" t="s">
        <v>43</v>
      </c>
      <c r="H698" t="str" cm="1">
        <f t="array" ref="H698">_xlfn.IFS(D698&gt;=250000,"高額",D698&gt;=150000,"中額",TRUE,"低額")</f>
        <v>中額</v>
      </c>
    </row>
    <row r="699" spans="2:8" x14ac:dyDescent="0.25">
      <c r="B699" s="9" t="s">
        <v>1477</v>
      </c>
      <c r="C699" s="9" t="s">
        <v>18</v>
      </c>
      <c r="D699" s="24">
        <v>252000</v>
      </c>
      <c r="E699" s="9" t="s">
        <v>2468</v>
      </c>
      <c r="F699" s="9" t="s">
        <v>64</v>
      </c>
      <c r="G699" s="9" t="s">
        <v>43</v>
      </c>
      <c r="H699" t="str" cm="1">
        <f t="array" ref="H699">_xlfn.IFS(D699&gt;=250000,"高額",D699&gt;=150000,"中額",TRUE,"低額")</f>
        <v>高額</v>
      </c>
    </row>
    <row r="700" spans="2:8" x14ac:dyDescent="0.25">
      <c r="B700" s="9" t="s">
        <v>1478</v>
      </c>
      <c r="C700" s="9" t="s">
        <v>24</v>
      </c>
      <c r="D700" s="24">
        <v>200000</v>
      </c>
      <c r="E700" s="9" t="s">
        <v>2469</v>
      </c>
      <c r="F700" s="9" t="s">
        <v>62</v>
      </c>
      <c r="G700" s="9" t="s">
        <v>53</v>
      </c>
      <c r="H700" t="str" cm="1">
        <f t="array" ref="H700">_xlfn.IFS(D700&gt;=250000,"高額",D700&gt;=150000,"中額",TRUE,"低額")</f>
        <v>中額</v>
      </c>
    </row>
    <row r="701" spans="2:8" x14ac:dyDescent="0.25">
      <c r="B701" s="9" t="s">
        <v>1480</v>
      </c>
      <c r="C701" s="9" t="s">
        <v>12</v>
      </c>
      <c r="D701" s="24">
        <v>90000</v>
      </c>
      <c r="E701" s="9" t="s">
        <v>2470</v>
      </c>
      <c r="F701" s="9" t="s">
        <v>63</v>
      </c>
      <c r="G701" s="9" t="s">
        <v>47</v>
      </c>
      <c r="H701" t="str" cm="1">
        <f t="array" ref="H701">_xlfn.IFS(D701&gt;=250000,"高額",D701&gt;=150000,"中額",TRUE,"低額")</f>
        <v>低額</v>
      </c>
    </row>
    <row r="702" spans="2:8" x14ac:dyDescent="0.25">
      <c r="B702" s="9" t="s">
        <v>1482</v>
      </c>
      <c r="C702" s="9" t="s">
        <v>24</v>
      </c>
      <c r="D702" s="24">
        <v>266000</v>
      </c>
      <c r="E702" s="9" t="s">
        <v>2470</v>
      </c>
      <c r="F702" s="9" t="s">
        <v>64</v>
      </c>
      <c r="G702" s="9" t="s">
        <v>61</v>
      </c>
      <c r="H702" t="str" cm="1">
        <f t="array" ref="H702">_xlfn.IFS(D702&gt;=250000,"高額",D702&gt;=150000,"中額",TRUE,"低額")</f>
        <v>高額</v>
      </c>
    </row>
    <row r="703" spans="2:8" x14ac:dyDescent="0.25">
      <c r="B703" s="9" t="s">
        <v>1483</v>
      </c>
      <c r="C703" s="9" t="s">
        <v>18</v>
      </c>
      <c r="D703" s="24">
        <v>73000</v>
      </c>
      <c r="E703" s="9" t="s">
        <v>2471</v>
      </c>
      <c r="F703" s="9" t="s">
        <v>64</v>
      </c>
      <c r="G703" s="9" t="s">
        <v>53</v>
      </c>
      <c r="H703" t="str" cm="1">
        <f t="array" ref="H703">_xlfn.IFS(D703&gt;=250000,"高額",D703&gt;=150000,"中額",TRUE,"低額")</f>
        <v>低額</v>
      </c>
    </row>
    <row r="704" spans="2:8" x14ac:dyDescent="0.25">
      <c r="B704" s="9" t="s">
        <v>1486</v>
      </c>
      <c r="C704" s="9" t="s">
        <v>16</v>
      </c>
      <c r="D704" s="24">
        <v>84000</v>
      </c>
      <c r="E704" s="9" t="s">
        <v>2472</v>
      </c>
      <c r="F704" s="9" t="s">
        <v>63</v>
      </c>
      <c r="G704" s="9" t="s">
        <v>49</v>
      </c>
      <c r="H704" t="str" cm="1">
        <f t="array" ref="H704">_xlfn.IFS(D704&gt;=250000,"高額",D704&gt;=150000,"中額",TRUE,"低額")</f>
        <v>低額</v>
      </c>
    </row>
    <row r="705" spans="2:8" x14ac:dyDescent="0.25">
      <c r="B705" s="9" t="s">
        <v>1488</v>
      </c>
      <c r="C705" s="9" t="s">
        <v>22</v>
      </c>
      <c r="D705" s="24">
        <v>261000</v>
      </c>
      <c r="E705" s="9" t="s">
        <v>2472</v>
      </c>
      <c r="F705" s="9" t="s">
        <v>64</v>
      </c>
      <c r="G705" s="9" t="s">
        <v>53</v>
      </c>
      <c r="H705" t="str" cm="1">
        <f t="array" ref="H705">_xlfn.IFS(D705&gt;=250000,"高額",D705&gt;=150000,"中額",TRUE,"低額")</f>
        <v>高額</v>
      </c>
    </row>
    <row r="706" spans="2:8" x14ac:dyDescent="0.25">
      <c r="B706" s="9" t="s">
        <v>1489</v>
      </c>
      <c r="C706" s="9" t="s">
        <v>12</v>
      </c>
      <c r="D706" s="24">
        <v>69000</v>
      </c>
      <c r="E706" s="9" t="s">
        <v>2473</v>
      </c>
      <c r="F706" s="9" t="s">
        <v>63</v>
      </c>
      <c r="G706" s="9" t="s">
        <v>47</v>
      </c>
      <c r="H706" t="str" cm="1">
        <f t="array" ref="H706">_xlfn.IFS(D706&gt;=250000,"高額",D706&gt;=150000,"中額",TRUE,"低額")</f>
        <v>低額</v>
      </c>
    </row>
    <row r="707" spans="2:8" x14ac:dyDescent="0.25">
      <c r="B707" s="9" t="s">
        <v>1491</v>
      </c>
      <c r="C707" s="9" t="s">
        <v>14</v>
      </c>
      <c r="D707" s="24">
        <v>175000</v>
      </c>
      <c r="E707" s="9" t="s">
        <v>2474</v>
      </c>
      <c r="F707" s="9" t="s">
        <v>67</v>
      </c>
      <c r="G707" s="9" t="s">
        <v>61</v>
      </c>
      <c r="H707" t="str" cm="1">
        <f t="array" ref="H707">_xlfn.IFS(D707&gt;=250000,"高額",D707&gt;=150000,"中額",TRUE,"低額")</f>
        <v>中額</v>
      </c>
    </row>
    <row r="708" spans="2:8" x14ac:dyDescent="0.25">
      <c r="B708" s="9" t="s">
        <v>1493</v>
      </c>
      <c r="C708" s="9" t="s">
        <v>14</v>
      </c>
      <c r="D708" s="24">
        <v>39000</v>
      </c>
      <c r="E708" s="9" t="s">
        <v>2475</v>
      </c>
      <c r="F708" s="9" t="s">
        <v>63</v>
      </c>
      <c r="G708" s="9" t="s">
        <v>49</v>
      </c>
      <c r="H708" t="str" cm="1">
        <f t="array" ref="H708">_xlfn.IFS(D708&gt;=250000,"高額",D708&gt;=150000,"中額",TRUE,"低額")</f>
        <v>低額</v>
      </c>
    </row>
    <row r="709" spans="2:8" x14ac:dyDescent="0.25">
      <c r="B709" s="9" t="s">
        <v>1495</v>
      </c>
      <c r="C709" s="9" t="s">
        <v>18</v>
      </c>
      <c r="D709" s="24">
        <v>185000</v>
      </c>
      <c r="E709" s="9" t="s">
        <v>2476</v>
      </c>
      <c r="F709" s="9" t="s">
        <v>65</v>
      </c>
      <c r="G709" s="9" t="s">
        <v>51</v>
      </c>
      <c r="H709" t="str" cm="1">
        <f t="array" ref="H709">_xlfn.IFS(D709&gt;=250000,"高額",D709&gt;=150000,"中額",TRUE,"低額")</f>
        <v>中額</v>
      </c>
    </row>
    <row r="710" spans="2:8" x14ac:dyDescent="0.25">
      <c r="B710" s="9" t="s">
        <v>1497</v>
      </c>
      <c r="C710" s="9" t="s">
        <v>24</v>
      </c>
      <c r="D710" s="24">
        <v>240000</v>
      </c>
      <c r="E710" s="9" t="s">
        <v>2476</v>
      </c>
      <c r="F710" s="9" t="s">
        <v>65</v>
      </c>
      <c r="G710" s="9" t="s">
        <v>58</v>
      </c>
      <c r="H710" t="str" cm="1">
        <f t="array" ref="H710">_xlfn.IFS(D710&gt;=250000,"高額",D710&gt;=150000,"中額",TRUE,"低額")</f>
        <v>中額</v>
      </c>
    </row>
    <row r="711" spans="2:8" x14ac:dyDescent="0.25">
      <c r="B711" s="9" t="s">
        <v>1498</v>
      </c>
      <c r="C711" s="9" t="s">
        <v>24</v>
      </c>
      <c r="D711" s="24">
        <v>211000</v>
      </c>
      <c r="E711" s="9" t="s">
        <v>2477</v>
      </c>
      <c r="F711" s="9" t="s">
        <v>66</v>
      </c>
      <c r="G711" s="9" t="s">
        <v>49</v>
      </c>
      <c r="H711" t="str" cm="1">
        <f t="array" ref="H711">_xlfn.IFS(D711&gt;=250000,"高額",D711&gt;=150000,"中額",TRUE,"低額")</f>
        <v>中額</v>
      </c>
    </row>
    <row r="712" spans="2:8" x14ac:dyDescent="0.25">
      <c r="B712" s="9" t="s">
        <v>1500</v>
      </c>
      <c r="C712" s="9" t="s">
        <v>12</v>
      </c>
      <c r="D712" s="24">
        <v>291000</v>
      </c>
      <c r="E712" s="9" t="s">
        <v>2478</v>
      </c>
      <c r="F712" s="9" t="s">
        <v>65</v>
      </c>
      <c r="G712" s="9" t="s">
        <v>51</v>
      </c>
      <c r="H712" t="str" cm="1">
        <f t="array" ref="H712">_xlfn.IFS(D712&gt;=250000,"高額",D712&gt;=150000,"中額",TRUE,"低額")</f>
        <v>高額</v>
      </c>
    </row>
    <row r="713" spans="2:8" x14ac:dyDescent="0.25">
      <c r="B713" s="9" t="s">
        <v>1502</v>
      </c>
      <c r="C713" s="9" t="s">
        <v>16</v>
      </c>
      <c r="D713" s="24">
        <v>201000</v>
      </c>
      <c r="E713" s="9" t="s">
        <v>2478</v>
      </c>
      <c r="F713" s="9" t="s">
        <v>64</v>
      </c>
      <c r="G713" s="9" t="s">
        <v>45</v>
      </c>
      <c r="H713" t="str" cm="1">
        <f t="array" ref="H713">_xlfn.IFS(D713&gt;=250000,"高額",D713&gt;=150000,"中額",TRUE,"低額")</f>
        <v>中額</v>
      </c>
    </row>
    <row r="714" spans="2:8" x14ac:dyDescent="0.25">
      <c r="B714" s="9" t="s">
        <v>1504</v>
      </c>
      <c r="C714" s="9" t="s">
        <v>22</v>
      </c>
      <c r="D714" s="24">
        <v>120000</v>
      </c>
      <c r="E714" s="9" t="s">
        <v>2479</v>
      </c>
      <c r="F714" s="9" t="s">
        <v>63</v>
      </c>
      <c r="G714" s="9" t="s">
        <v>49</v>
      </c>
      <c r="H714" t="str" cm="1">
        <f t="array" ref="H714">_xlfn.IFS(D714&gt;=250000,"高額",D714&gt;=150000,"中額",TRUE,"低額")</f>
        <v>低額</v>
      </c>
    </row>
    <row r="715" spans="2:8" x14ac:dyDescent="0.25">
      <c r="B715" s="9" t="s">
        <v>1506</v>
      </c>
      <c r="C715" s="9" t="s">
        <v>14</v>
      </c>
      <c r="D715" s="24">
        <v>45000</v>
      </c>
      <c r="E715" s="9" t="s">
        <v>2479</v>
      </c>
      <c r="F715" s="9" t="s">
        <v>65</v>
      </c>
      <c r="G715" s="9" t="s">
        <v>53</v>
      </c>
      <c r="H715" t="str" cm="1">
        <f t="array" ref="H715">_xlfn.IFS(D715&gt;=250000,"高額",D715&gt;=150000,"中額",TRUE,"低額")</f>
        <v>低額</v>
      </c>
    </row>
    <row r="716" spans="2:8" x14ac:dyDescent="0.25">
      <c r="B716" s="9" t="s">
        <v>1508</v>
      </c>
      <c r="C716" s="9" t="s">
        <v>12</v>
      </c>
      <c r="D716" s="24">
        <v>135000</v>
      </c>
      <c r="E716" s="9" t="s">
        <v>2480</v>
      </c>
      <c r="F716" s="9" t="s">
        <v>63</v>
      </c>
      <c r="G716" s="9" t="s">
        <v>47</v>
      </c>
      <c r="H716" t="str" cm="1">
        <f t="array" ref="H716">_xlfn.IFS(D716&gt;=250000,"高額",D716&gt;=150000,"中額",TRUE,"低額")</f>
        <v>低額</v>
      </c>
    </row>
    <row r="717" spans="2:8" x14ac:dyDescent="0.25">
      <c r="B717" s="9" t="s">
        <v>1510</v>
      </c>
      <c r="C717" s="9" t="s">
        <v>24</v>
      </c>
      <c r="D717" s="24">
        <v>211000</v>
      </c>
      <c r="E717" s="9" t="s">
        <v>2481</v>
      </c>
      <c r="F717" s="9" t="s">
        <v>63</v>
      </c>
      <c r="G717" s="9" t="s">
        <v>45</v>
      </c>
      <c r="H717" t="str" cm="1">
        <f t="array" ref="H717">_xlfn.IFS(D717&gt;=250000,"高額",D717&gt;=150000,"中額",TRUE,"低額")</f>
        <v>中額</v>
      </c>
    </row>
    <row r="718" spans="2:8" x14ac:dyDescent="0.25">
      <c r="B718" s="9" t="s">
        <v>1512</v>
      </c>
      <c r="C718" s="9" t="s">
        <v>16</v>
      </c>
      <c r="D718" s="24">
        <v>230000</v>
      </c>
      <c r="E718" s="9" t="s">
        <v>2482</v>
      </c>
      <c r="F718" s="9" t="s">
        <v>63</v>
      </c>
      <c r="G718" s="9" t="s">
        <v>51</v>
      </c>
      <c r="H718" t="str" cm="1">
        <f t="array" ref="H718">_xlfn.IFS(D718&gt;=250000,"高額",D718&gt;=150000,"中額",TRUE,"低額")</f>
        <v>中額</v>
      </c>
    </row>
    <row r="719" spans="2:8" x14ac:dyDescent="0.25">
      <c r="B719" s="9" t="s">
        <v>1514</v>
      </c>
      <c r="C719" s="9" t="s">
        <v>22</v>
      </c>
      <c r="D719" s="24">
        <v>249000</v>
      </c>
      <c r="E719" s="9" t="s">
        <v>2482</v>
      </c>
      <c r="F719" s="9" t="s">
        <v>65</v>
      </c>
      <c r="G719" s="9" t="s">
        <v>51</v>
      </c>
      <c r="H719" t="str" cm="1">
        <f t="array" ref="H719">_xlfn.IFS(D719&gt;=250000,"高額",D719&gt;=150000,"中額",TRUE,"低額")</f>
        <v>中額</v>
      </c>
    </row>
    <row r="720" spans="2:8" x14ac:dyDescent="0.25">
      <c r="B720" s="9" t="s">
        <v>1515</v>
      </c>
      <c r="C720" s="9" t="s">
        <v>12</v>
      </c>
      <c r="D720" s="24">
        <v>200000</v>
      </c>
      <c r="E720" s="9" t="s">
        <v>2482</v>
      </c>
      <c r="F720" s="9" t="s">
        <v>67</v>
      </c>
      <c r="G720" s="9" t="s">
        <v>45</v>
      </c>
      <c r="H720" t="str" cm="1">
        <f t="array" ref="H720">_xlfn.IFS(D720&gt;=250000,"高額",D720&gt;=150000,"中額",TRUE,"低額")</f>
        <v>中額</v>
      </c>
    </row>
    <row r="721" spans="2:8" x14ac:dyDescent="0.25">
      <c r="B721" s="9" t="s">
        <v>1516</v>
      </c>
      <c r="C721" s="9" t="s">
        <v>16</v>
      </c>
      <c r="D721" s="24">
        <v>270000</v>
      </c>
      <c r="E721" s="9" t="s">
        <v>2483</v>
      </c>
      <c r="F721" s="9" t="s">
        <v>67</v>
      </c>
      <c r="G721" s="9" t="s">
        <v>58</v>
      </c>
      <c r="H721" t="str" cm="1">
        <f t="array" ref="H721">_xlfn.IFS(D721&gt;=250000,"高額",D721&gt;=150000,"中額",TRUE,"低額")</f>
        <v>高額</v>
      </c>
    </row>
    <row r="722" spans="2:8" x14ac:dyDescent="0.25">
      <c r="B722" s="9" t="s">
        <v>1518</v>
      </c>
      <c r="C722" s="9" t="s">
        <v>14</v>
      </c>
      <c r="D722" s="24">
        <v>169000</v>
      </c>
      <c r="E722" s="9" t="s">
        <v>2484</v>
      </c>
      <c r="F722" s="9" t="s">
        <v>66</v>
      </c>
      <c r="G722" s="9" t="s">
        <v>61</v>
      </c>
      <c r="H722" t="str" cm="1">
        <f t="array" ref="H722">_xlfn.IFS(D722&gt;=250000,"高額",D722&gt;=150000,"中額",TRUE,"低額")</f>
        <v>中額</v>
      </c>
    </row>
    <row r="723" spans="2:8" x14ac:dyDescent="0.25">
      <c r="B723" s="9" t="s">
        <v>1520</v>
      </c>
      <c r="C723" s="9" t="s">
        <v>18</v>
      </c>
      <c r="D723" s="24">
        <v>99000</v>
      </c>
      <c r="E723" s="9" t="s">
        <v>2485</v>
      </c>
      <c r="F723" s="9" t="s">
        <v>62</v>
      </c>
      <c r="G723" s="9" t="s">
        <v>53</v>
      </c>
      <c r="H723" t="str" cm="1">
        <f t="array" ref="H723">_xlfn.IFS(D723&gt;=250000,"高額",D723&gt;=150000,"中額",TRUE,"低額")</f>
        <v>低額</v>
      </c>
    </row>
    <row r="724" spans="2:8" x14ac:dyDescent="0.25">
      <c r="B724" s="9" t="s">
        <v>1522</v>
      </c>
      <c r="C724" s="9" t="s">
        <v>12</v>
      </c>
      <c r="D724" s="24">
        <v>60000</v>
      </c>
      <c r="E724" s="9" t="s">
        <v>2486</v>
      </c>
      <c r="F724" s="9" t="s">
        <v>66</v>
      </c>
      <c r="G724" s="9" t="s">
        <v>47</v>
      </c>
      <c r="H724" t="str" cm="1">
        <f t="array" ref="H724">_xlfn.IFS(D724&gt;=250000,"高額",D724&gt;=150000,"中額",TRUE,"低額")</f>
        <v>低額</v>
      </c>
    </row>
    <row r="725" spans="2:8" x14ac:dyDescent="0.25">
      <c r="B725" s="9" t="s">
        <v>1524</v>
      </c>
      <c r="C725" s="9" t="s">
        <v>24</v>
      </c>
      <c r="D725" s="24">
        <v>248000</v>
      </c>
      <c r="E725" s="9" t="s">
        <v>2486</v>
      </c>
      <c r="F725" s="9" t="s">
        <v>63</v>
      </c>
      <c r="G725" s="9" t="s">
        <v>58</v>
      </c>
      <c r="H725" t="str" cm="1">
        <f t="array" ref="H725">_xlfn.IFS(D725&gt;=250000,"高額",D725&gt;=150000,"中額",TRUE,"低額")</f>
        <v>中額</v>
      </c>
    </row>
    <row r="726" spans="2:8" x14ac:dyDescent="0.25">
      <c r="B726" s="9" t="s">
        <v>1525</v>
      </c>
      <c r="C726" s="9" t="s">
        <v>14</v>
      </c>
      <c r="D726" s="24">
        <v>36000</v>
      </c>
      <c r="E726" s="9" t="s">
        <v>2486</v>
      </c>
      <c r="F726" s="9" t="s">
        <v>67</v>
      </c>
      <c r="G726" s="9" t="s">
        <v>47</v>
      </c>
      <c r="H726" t="str" cm="1">
        <f t="array" ref="H726">_xlfn.IFS(D726&gt;=250000,"高額",D726&gt;=150000,"中額",TRUE,"低額")</f>
        <v>低額</v>
      </c>
    </row>
    <row r="727" spans="2:8" x14ac:dyDescent="0.25">
      <c r="B727" s="9" t="s">
        <v>1526</v>
      </c>
      <c r="C727" s="9" t="s">
        <v>14</v>
      </c>
      <c r="D727" s="24">
        <v>55000</v>
      </c>
      <c r="E727" s="9" t="s">
        <v>2486</v>
      </c>
      <c r="F727" s="9" t="s">
        <v>65</v>
      </c>
      <c r="G727" s="9" t="s">
        <v>43</v>
      </c>
      <c r="H727" t="str" cm="1">
        <f t="array" ref="H727">_xlfn.IFS(D727&gt;=250000,"高額",D727&gt;=150000,"中額",TRUE,"低額")</f>
        <v>低額</v>
      </c>
    </row>
    <row r="728" spans="2:8" x14ac:dyDescent="0.25">
      <c r="B728" s="9" t="s">
        <v>1527</v>
      </c>
      <c r="C728" s="9" t="s">
        <v>18</v>
      </c>
      <c r="D728" s="24">
        <v>139000</v>
      </c>
      <c r="E728" s="9" t="s">
        <v>2487</v>
      </c>
      <c r="F728" s="9" t="s">
        <v>65</v>
      </c>
      <c r="G728" s="9" t="s">
        <v>55</v>
      </c>
      <c r="H728" t="str" cm="1">
        <f t="array" ref="H728">_xlfn.IFS(D728&gt;=250000,"高額",D728&gt;=150000,"中額",TRUE,"低額")</f>
        <v>低額</v>
      </c>
    </row>
    <row r="729" spans="2:8" x14ac:dyDescent="0.25">
      <c r="B729" s="9" t="s">
        <v>1529</v>
      </c>
      <c r="C729" s="9" t="s">
        <v>16</v>
      </c>
      <c r="D729" s="24">
        <v>291000</v>
      </c>
      <c r="E729" s="9" t="s">
        <v>2488</v>
      </c>
      <c r="F729" s="9" t="s">
        <v>67</v>
      </c>
      <c r="G729" s="9" t="s">
        <v>53</v>
      </c>
      <c r="H729" t="str" cm="1">
        <f t="array" ref="H729">_xlfn.IFS(D729&gt;=250000,"高額",D729&gt;=150000,"中額",TRUE,"低額")</f>
        <v>高額</v>
      </c>
    </row>
    <row r="730" spans="2:8" x14ac:dyDescent="0.25">
      <c r="B730" s="9" t="s">
        <v>1531</v>
      </c>
      <c r="C730" s="9" t="s">
        <v>20</v>
      </c>
      <c r="D730" s="24">
        <v>102000</v>
      </c>
      <c r="E730" s="9" t="s">
        <v>2489</v>
      </c>
      <c r="F730" s="9" t="s">
        <v>67</v>
      </c>
      <c r="G730" s="9" t="s">
        <v>47</v>
      </c>
      <c r="H730" t="str" cm="1">
        <f t="array" ref="H730">_xlfn.IFS(D730&gt;=250000,"高額",D730&gt;=150000,"中額",TRUE,"低額")</f>
        <v>低額</v>
      </c>
    </row>
    <row r="731" spans="2:8" x14ac:dyDescent="0.25">
      <c r="B731" s="9" t="s">
        <v>1533</v>
      </c>
      <c r="C731" s="9" t="s">
        <v>16</v>
      </c>
      <c r="D731" s="24">
        <v>131000</v>
      </c>
      <c r="E731" s="9" t="s">
        <v>2490</v>
      </c>
      <c r="F731" s="9" t="s">
        <v>67</v>
      </c>
      <c r="G731" s="9" t="s">
        <v>43</v>
      </c>
      <c r="H731" t="str" cm="1">
        <f t="array" ref="H731">_xlfn.IFS(D731&gt;=250000,"高額",D731&gt;=150000,"中額",TRUE,"低額")</f>
        <v>低額</v>
      </c>
    </row>
    <row r="732" spans="2:8" x14ac:dyDescent="0.25">
      <c r="B732" s="9" t="s">
        <v>1536</v>
      </c>
      <c r="C732" s="9" t="s">
        <v>20</v>
      </c>
      <c r="D732" s="24">
        <v>282000</v>
      </c>
      <c r="E732" s="9" t="s">
        <v>2491</v>
      </c>
      <c r="F732" s="9" t="s">
        <v>67</v>
      </c>
      <c r="G732" s="9" t="s">
        <v>61</v>
      </c>
      <c r="H732" t="str" cm="1">
        <f t="array" ref="H732">_xlfn.IFS(D732&gt;=250000,"高額",D732&gt;=150000,"中額",TRUE,"低額")</f>
        <v>高額</v>
      </c>
    </row>
    <row r="733" spans="2:8" x14ac:dyDescent="0.25">
      <c r="B733" s="9" t="s">
        <v>1538</v>
      </c>
      <c r="C733" s="9" t="s">
        <v>20</v>
      </c>
      <c r="D733" s="24">
        <v>291000</v>
      </c>
      <c r="E733" s="9" t="s">
        <v>2492</v>
      </c>
      <c r="F733" s="9" t="s">
        <v>65</v>
      </c>
      <c r="G733" s="9" t="s">
        <v>45</v>
      </c>
      <c r="H733" t="str" cm="1">
        <f t="array" ref="H733">_xlfn.IFS(D733&gt;=250000,"高額",D733&gt;=150000,"中額",TRUE,"低額")</f>
        <v>高額</v>
      </c>
    </row>
    <row r="734" spans="2:8" x14ac:dyDescent="0.25">
      <c r="B734" s="9" t="s">
        <v>1540</v>
      </c>
      <c r="C734" s="9" t="s">
        <v>16</v>
      </c>
      <c r="D734" s="24">
        <v>77000</v>
      </c>
      <c r="E734" s="9" t="s">
        <v>2492</v>
      </c>
      <c r="F734" s="9" t="s">
        <v>66</v>
      </c>
      <c r="G734" s="9" t="s">
        <v>49</v>
      </c>
      <c r="H734" t="str" cm="1">
        <f t="array" ref="H734">_xlfn.IFS(D734&gt;=250000,"高額",D734&gt;=150000,"中額",TRUE,"低額")</f>
        <v>低額</v>
      </c>
    </row>
    <row r="735" spans="2:8" x14ac:dyDescent="0.25">
      <c r="B735" s="9" t="s">
        <v>1541</v>
      </c>
      <c r="C735" s="9" t="s">
        <v>12</v>
      </c>
      <c r="D735" s="24">
        <v>119000</v>
      </c>
      <c r="E735" s="9" t="s">
        <v>2493</v>
      </c>
      <c r="F735" s="9" t="s">
        <v>66</v>
      </c>
      <c r="G735" s="9" t="s">
        <v>43</v>
      </c>
      <c r="H735" t="str" cm="1">
        <f t="array" ref="H735">_xlfn.IFS(D735&gt;=250000,"高額",D735&gt;=150000,"中額",TRUE,"低額")</f>
        <v>低額</v>
      </c>
    </row>
    <row r="736" spans="2:8" x14ac:dyDescent="0.25">
      <c r="B736" s="9" t="s">
        <v>1543</v>
      </c>
      <c r="C736" s="9" t="s">
        <v>20</v>
      </c>
      <c r="D736" s="24">
        <v>274000</v>
      </c>
      <c r="E736" s="9" t="s">
        <v>2494</v>
      </c>
      <c r="F736" s="9" t="s">
        <v>62</v>
      </c>
      <c r="G736" s="9" t="s">
        <v>61</v>
      </c>
      <c r="H736" t="str" cm="1">
        <f t="array" ref="H736">_xlfn.IFS(D736&gt;=250000,"高額",D736&gt;=150000,"中額",TRUE,"低額")</f>
        <v>高額</v>
      </c>
    </row>
    <row r="737" spans="2:8" x14ac:dyDescent="0.25">
      <c r="B737" s="9" t="s">
        <v>1545</v>
      </c>
      <c r="C737" s="9" t="s">
        <v>16</v>
      </c>
      <c r="D737" s="24">
        <v>238000</v>
      </c>
      <c r="E737" s="9" t="s">
        <v>2495</v>
      </c>
      <c r="F737" s="9" t="s">
        <v>65</v>
      </c>
      <c r="G737" s="9" t="s">
        <v>58</v>
      </c>
      <c r="H737" t="str" cm="1">
        <f t="array" ref="H737">_xlfn.IFS(D737&gt;=250000,"高額",D737&gt;=150000,"中額",TRUE,"低額")</f>
        <v>中額</v>
      </c>
    </row>
    <row r="738" spans="2:8" x14ac:dyDescent="0.25">
      <c r="B738" s="9" t="s">
        <v>1547</v>
      </c>
      <c r="C738" s="9" t="s">
        <v>20</v>
      </c>
      <c r="D738" s="24">
        <v>158000</v>
      </c>
      <c r="E738" s="9" t="s">
        <v>2495</v>
      </c>
      <c r="F738" s="9" t="s">
        <v>63</v>
      </c>
      <c r="G738" s="9" t="s">
        <v>55</v>
      </c>
      <c r="H738" t="str" cm="1">
        <f t="array" ref="H738">_xlfn.IFS(D738&gt;=250000,"高額",D738&gt;=150000,"中額",TRUE,"低額")</f>
        <v>中額</v>
      </c>
    </row>
    <row r="739" spans="2:8" x14ac:dyDescent="0.25">
      <c r="B739" s="9" t="s">
        <v>1548</v>
      </c>
      <c r="C739" s="9" t="s">
        <v>18</v>
      </c>
      <c r="D739" s="24">
        <v>259000</v>
      </c>
      <c r="E739" s="9" t="s">
        <v>2496</v>
      </c>
      <c r="F739" s="9" t="s">
        <v>64</v>
      </c>
      <c r="G739" s="9" t="s">
        <v>61</v>
      </c>
      <c r="H739" t="str" cm="1">
        <f t="array" ref="H739">_xlfn.IFS(D739&gt;=250000,"高額",D739&gt;=150000,"中額",TRUE,"低額")</f>
        <v>高額</v>
      </c>
    </row>
    <row r="740" spans="2:8" x14ac:dyDescent="0.25">
      <c r="B740" s="9" t="s">
        <v>1550</v>
      </c>
      <c r="C740" s="9" t="s">
        <v>16</v>
      </c>
      <c r="D740" s="24">
        <v>40000</v>
      </c>
      <c r="E740" s="9" t="s">
        <v>2497</v>
      </c>
      <c r="F740" s="9" t="s">
        <v>66</v>
      </c>
      <c r="G740" s="9" t="s">
        <v>55</v>
      </c>
      <c r="H740" t="str" cm="1">
        <f t="array" ref="H740">_xlfn.IFS(D740&gt;=250000,"高額",D740&gt;=150000,"中額",TRUE,"低額")</f>
        <v>低額</v>
      </c>
    </row>
    <row r="741" spans="2:8" x14ac:dyDescent="0.25">
      <c r="B741" s="9" t="s">
        <v>1552</v>
      </c>
      <c r="C741" s="9" t="s">
        <v>12</v>
      </c>
      <c r="D741" s="24">
        <v>141000</v>
      </c>
      <c r="E741" s="9" t="s">
        <v>2498</v>
      </c>
      <c r="F741" s="9" t="s">
        <v>67</v>
      </c>
      <c r="G741" s="9" t="s">
        <v>53</v>
      </c>
      <c r="H741" t="str" cm="1">
        <f t="array" ref="H741">_xlfn.IFS(D741&gt;=250000,"高額",D741&gt;=150000,"中額",TRUE,"低額")</f>
        <v>低額</v>
      </c>
    </row>
    <row r="742" spans="2:8" x14ac:dyDescent="0.25">
      <c r="B742" s="9" t="s">
        <v>1554</v>
      </c>
      <c r="C742" s="9" t="s">
        <v>12</v>
      </c>
      <c r="D742" s="24">
        <v>237000</v>
      </c>
      <c r="E742" s="9" t="s">
        <v>2499</v>
      </c>
      <c r="F742" s="9" t="s">
        <v>63</v>
      </c>
      <c r="G742" s="9" t="s">
        <v>53</v>
      </c>
      <c r="H742" t="str" cm="1">
        <f t="array" ref="H742">_xlfn.IFS(D742&gt;=250000,"高額",D742&gt;=150000,"中額",TRUE,"低額")</f>
        <v>中額</v>
      </c>
    </row>
    <row r="743" spans="2:8" x14ac:dyDescent="0.25">
      <c r="B743" s="9" t="s">
        <v>1556</v>
      </c>
      <c r="C743" s="9" t="s">
        <v>18</v>
      </c>
      <c r="D743" s="24">
        <v>172000</v>
      </c>
      <c r="E743" s="9" t="s">
        <v>2500</v>
      </c>
      <c r="F743" s="9" t="s">
        <v>63</v>
      </c>
      <c r="G743" s="9" t="s">
        <v>43</v>
      </c>
      <c r="H743" t="str" cm="1">
        <f t="array" ref="H743">_xlfn.IFS(D743&gt;=250000,"高額",D743&gt;=150000,"中額",TRUE,"低額")</f>
        <v>中額</v>
      </c>
    </row>
    <row r="744" spans="2:8" x14ac:dyDescent="0.25">
      <c r="B744" s="9" t="s">
        <v>1558</v>
      </c>
      <c r="C744" s="9" t="s">
        <v>16</v>
      </c>
      <c r="D744" s="24">
        <v>204000</v>
      </c>
      <c r="E744" s="9" t="s">
        <v>2500</v>
      </c>
      <c r="F744" s="9" t="s">
        <v>64</v>
      </c>
      <c r="G744" s="9" t="s">
        <v>49</v>
      </c>
      <c r="H744" t="str" cm="1">
        <f t="array" ref="H744">_xlfn.IFS(D744&gt;=250000,"高額",D744&gt;=150000,"中額",TRUE,"低額")</f>
        <v>中額</v>
      </c>
    </row>
    <row r="745" spans="2:8" x14ac:dyDescent="0.25">
      <c r="B745" s="9" t="s">
        <v>1559</v>
      </c>
      <c r="C745" s="9" t="s">
        <v>24</v>
      </c>
      <c r="D745" s="24">
        <v>158000</v>
      </c>
      <c r="E745" s="9" t="s">
        <v>2500</v>
      </c>
      <c r="F745" s="9" t="s">
        <v>66</v>
      </c>
      <c r="G745" s="9" t="s">
        <v>45</v>
      </c>
      <c r="H745" t="str" cm="1">
        <f t="array" ref="H745">_xlfn.IFS(D745&gt;=250000,"高額",D745&gt;=150000,"中額",TRUE,"低額")</f>
        <v>中額</v>
      </c>
    </row>
    <row r="746" spans="2:8" x14ac:dyDescent="0.25">
      <c r="B746" s="9" t="s">
        <v>1560</v>
      </c>
      <c r="C746" s="9" t="s">
        <v>24</v>
      </c>
      <c r="D746" s="24">
        <v>84000</v>
      </c>
      <c r="E746" s="9" t="s">
        <v>2501</v>
      </c>
      <c r="F746" s="9" t="s">
        <v>64</v>
      </c>
      <c r="G746" s="9" t="s">
        <v>51</v>
      </c>
      <c r="H746" t="str" cm="1">
        <f t="array" ref="H746">_xlfn.IFS(D746&gt;=250000,"高額",D746&gt;=150000,"中額",TRUE,"低額")</f>
        <v>低額</v>
      </c>
    </row>
    <row r="747" spans="2:8" x14ac:dyDescent="0.25">
      <c r="B747" s="9" t="s">
        <v>1562</v>
      </c>
      <c r="C747" s="9" t="s">
        <v>20</v>
      </c>
      <c r="D747" s="24">
        <v>102000</v>
      </c>
      <c r="E747" s="9" t="s">
        <v>2502</v>
      </c>
      <c r="F747" s="9" t="s">
        <v>66</v>
      </c>
      <c r="G747" s="9" t="s">
        <v>49</v>
      </c>
      <c r="H747" t="str" cm="1">
        <f t="array" ref="H747">_xlfn.IFS(D747&gt;=250000,"高額",D747&gt;=150000,"中額",TRUE,"低額")</f>
        <v>低額</v>
      </c>
    </row>
    <row r="748" spans="2:8" x14ac:dyDescent="0.25">
      <c r="B748" s="9" t="s">
        <v>1564</v>
      </c>
      <c r="C748" s="9" t="s">
        <v>24</v>
      </c>
      <c r="D748" s="24">
        <v>45000</v>
      </c>
      <c r="E748" s="9" t="s">
        <v>2503</v>
      </c>
      <c r="F748" s="9" t="s">
        <v>65</v>
      </c>
      <c r="G748" s="9" t="s">
        <v>51</v>
      </c>
      <c r="H748" t="str" cm="1">
        <f t="array" ref="H748">_xlfn.IFS(D748&gt;=250000,"高額",D748&gt;=150000,"中額",TRUE,"低額")</f>
        <v>低額</v>
      </c>
    </row>
    <row r="749" spans="2:8" x14ac:dyDescent="0.25">
      <c r="B749" s="9" t="s">
        <v>1566</v>
      </c>
      <c r="C749" s="9" t="s">
        <v>16</v>
      </c>
      <c r="D749" s="24">
        <v>181000</v>
      </c>
      <c r="E749" s="9" t="s">
        <v>2503</v>
      </c>
      <c r="F749" s="9" t="s">
        <v>67</v>
      </c>
      <c r="G749" s="9" t="s">
        <v>55</v>
      </c>
      <c r="H749" t="str" cm="1">
        <f t="array" ref="H749">_xlfn.IFS(D749&gt;=250000,"高額",D749&gt;=150000,"中額",TRUE,"低額")</f>
        <v>中額</v>
      </c>
    </row>
    <row r="750" spans="2:8" x14ac:dyDescent="0.25">
      <c r="B750" s="9" t="s">
        <v>1568</v>
      </c>
      <c r="C750" s="9" t="s">
        <v>12</v>
      </c>
      <c r="D750" s="24">
        <v>142000</v>
      </c>
      <c r="E750" s="9" t="s">
        <v>2504</v>
      </c>
      <c r="F750" s="9" t="s">
        <v>65</v>
      </c>
      <c r="G750" s="9" t="s">
        <v>47</v>
      </c>
      <c r="H750" t="str" cm="1">
        <f t="array" ref="H750">_xlfn.IFS(D750&gt;=250000,"高額",D750&gt;=150000,"中額",TRUE,"低額")</f>
        <v>低額</v>
      </c>
    </row>
    <row r="751" spans="2:8" x14ac:dyDescent="0.25">
      <c r="B751" s="9" t="s">
        <v>1570</v>
      </c>
      <c r="C751" s="9" t="s">
        <v>14</v>
      </c>
      <c r="D751" s="24">
        <v>103000</v>
      </c>
      <c r="E751" s="9" t="s">
        <v>2504</v>
      </c>
      <c r="F751" s="9" t="s">
        <v>65</v>
      </c>
      <c r="G751" s="9" t="s">
        <v>55</v>
      </c>
      <c r="H751" t="str" cm="1">
        <f t="array" ref="H751">_xlfn.IFS(D751&gt;=250000,"高額",D751&gt;=150000,"中額",TRUE,"低額")</f>
        <v>低額</v>
      </c>
    </row>
    <row r="752" spans="2:8" x14ac:dyDescent="0.25">
      <c r="B752" s="9" t="s">
        <v>1571</v>
      </c>
      <c r="C752" s="9" t="s">
        <v>14</v>
      </c>
      <c r="D752" s="24">
        <v>276000</v>
      </c>
      <c r="E752" s="9" t="s">
        <v>2504</v>
      </c>
      <c r="F752" s="9" t="s">
        <v>66</v>
      </c>
      <c r="G752" s="9" t="s">
        <v>61</v>
      </c>
      <c r="H752" t="str" cm="1">
        <f t="array" ref="H752">_xlfn.IFS(D752&gt;=250000,"高額",D752&gt;=150000,"中額",TRUE,"低額")</f>
        <v>高額</v>
      </c>
    </row>
    <row r="753" spans="2:8" x14ac:dyDescent="0.25">
      <c r="B753" s="9" t="s">
        <v>1572</v>
      </c>
      <c r="C753" s="9" t="s">
        <v>22</v>
      </c>
      <c r="D753" s="24">
        <v>148000</v>
      </c>
      <c r="E753" s="9" t="s">
        <v>2505</v>
      </c>
      <c r="F753" s="9" t="s">
        <v>66</v>
      </c>
      <c r="G753" s="9" t="s">
        <v>45</v>
      </c>
      <c r="H753" t="str" cm="1">
        <f t="array" ref="H753">_xlfn.IFS(D753&gt;=250000,"高額",D753&gt;=150000,"中額",TRUE,"低額")</f>
        <v>低額</v>
      </c>
    </row>
    <row r="754" spans="2:8" x14ac:dyDescent="0.25">
      <c r="B754" s="9" t="s">
        <v>1574</v>
      </c>
      <c r="C754" s="9" t="s">
        <v>12</v>
      </c>
      <c r="D754" s="24">
        <v>160000</v>
      </c>
      <c r="E754" s="9" t="s">
        <v>2506</v>
      </c>
      <c r="F754" s="9" t="s">
        <v>63</v>
      </c>
      <c r="G754" s="9" t="s">
        <v>47</v>
      </c>
      <c r="H754" t="str" cm="1">
        <f t="array" ref="H754">_xlfn.IFS(D754&gt;=250000,"高額",D754&gt;=150000,"中額",TRUE,"低額")</f>
        <v>中額</v>
      </c>
    </row>
    <row r="755" spans="2:8" x14ac:dyDescent="0.25">
      <c r="B755" s="9" t="s">
        <v>1576</v>
      </c>
      <c r="C755" s="9" t="s">
        <v>12</v>
      </c>
      <c r="D755" s="24">
        <v>108000</v>
      </c>
      <c r="E755" s="9" t="s">
        <v>2507</v>
      </c>
      <c r="F755" s="9" t="s">
        <v>63</v>
      </c>
      <c r="G755" s="9" t="s">
        <v>47</v>
      </c>
      <c r="H755" t="str" cm="1">
        <f t="array" ref="H755">_xlfn.IFS(D755&gt;=250000,"高額",D755&gt;=150000,"中額",TRUE,"低額")</f>
        <v>低額</v>
      </c>
    </row>
    <row r="756" spans="2:8" x14ac:dyDescent="0.25">
      <c r="B756" s="9" t="s">
        <v>1578</v>
      </c>
      <c r="C756" s="9" t="s">
        <v>12</v>
      </c>
      <c r="D756" s="24">
        <v>177000</v>
      </c>
      <c r="E756" s="9" t="s">
        <v>2508</v>
      </c>
      <c r="F756" s="9" t="s">
        <v>62</v>
      </c>
      <c r="G756" s="9" t="s">
        <v>53</v>
      </c>
      <c r="H756" t="str" cm="1">
        <f t="array" ref="H756">_xlfn.IFS(D756&gt;=250000,"高額",D756&gt;=150000,"中額",TRUE,"低額")</f>
        <v>中額</v>
      </c>
    </row>
    <row r="757" spans="2:8" x14ac:dyDescent="0.25">
      <c r="B757" s="9" t="s">
        <v>1581</v>
      </c>
      <c r="C757" s="9" t="s">
        <v>24</v>
      </c>
      <c r="D757" s="24">
        <v>39000</v>
      </c>
      <c r="E757" s="9" t="s">
        <v>2508</v>
      </c>
      <c r="F757" s="9" t="s">
        <v>66</v>
      </c>
      <c r="G757" s="9" t="s">
        <v>55</v>
      </c>
      <c r="H757" t="str" cm="1">
        <f t="array" ref="H757">_xlfn.IFS(D757&gt;=250000,"高額",D757&gt;=150000,"中額",TRUE,"低額")</f>
        <v>低額</v>
      </c>
    </row>
    <row r="758" spans="2:8" x14ac:dyDescent="0.25">
      <c r="B758" s="9" t="s">
        <v>1582</v>
      </c>
      <c r="C758" s="9" t="s">
        <v>14</v>
      </c>
      <c r="D758" s="24">
        <v>246000</v>
      </c>
      <c r="E758" s="9" t="s">
        <v>2509</v>
      </c>
      <c r="F758" s="9" t="s">
        <v>63</v>
      </c>
      <c r="G758" s="9" t="s">
        <v>47</v>
      </c>
      <c r="H758" t="str" cm="1">
        <f t="array" ref="H758">_xlfn.IFS(D758&gt;=250000,"高額",D758&gt;=150000,"中額",TRUE,"低額")</f>
        <v>中額</v>
      </c>
    </row>
    <row r="759" spans="2:8" x14ac:dyDescent="0.25">
      <c r="B759" s="9" t="s">
        <v>1584</v>
      </c>
      <c r="C759" s="9" t="s">
        <v>14</v>
      </c>
      <c r="D759" s="24">
        <v>152000</v>
      </c>
      <c r="E759" s="9" t="s">
        <v>2510</v>
      </c>
      <c r="F759" s="9" t="s">
        <v>63</v>
      </c>
      <c r="G759" s="9" t="s">
        <v>61</v>
      </c>
      <c r="H759" t="str" cm="1">
        <f t="array" ref="H759">_xlfn.IFS(D759&gt;=250000,"高額",D759&gt;=150000,"中額",TRUE,"低額")</f>
        <v>中額</v>
      </c>
    </row>
    <row r="760" spans="2:8" x14ac:dyDescent="0.25">
      <c r="B760" s="9" t="s">
        <v>1586</v>
      </c>
      <c r="C760" s="9" t="s">
        <v>12</v>
      </c>
      <c r="D760" s="24">
        <v>123000</v>
      </c>
      <c r="E760" s="9" t="s">
        <v>2511</v>
      </c>
      <c r="F760" s="9" t="s">
        <v>65</v>
      </c>
      <c r="G760" s="9" t="s">
        <v>49</v>
      </c>
      <c r="H760" t="str" cm="1">
        <f t="array" ref="H760">_xlfn.IFS(D760&gt;=250000,"高額",D760&gt;=150000,"中額",TRUE,"低額")</f>
        <v>低額</v>
      </c>
    </row>
    <row r="761" spans="2:8" x14ac:dyDescent="0.25">
      <c r="B761" s="9" t="s">
        <v>1588</v>
      </c>
      <c r="C761" s="9" t="s">
        <v>20</v>
      </c>
      <c r="D761" s="24">
        <v>263000</v>
      </c>
      <c r="E761" s="9" t="s">
        <v>2511</v>
      </c>
      <c r="F761" s="9" t="s">
        <v>62</v>
      </c>
      <c r="G761" s="9" t="s">
        <v>55</v>
      </c>
      <c r="H761" t="str" cm="1">
        <f t="array" ref="H761">_xlfn.IFS(D761&gt;=250000,"高額",D761&gt;=150000,"中額",TRUE,"低額")</f>
        <v>高額</v>
      </c>
    </row>
    <row r="762" spans="2:8" x14ac:dyDescent="0.25">
      <c r="B762" s="9" t="s">
        <v>1589</v>
      </c>
      <c r="C762" s="9" t="s">
        <v>24</v>
      </c>
      <c r="D762" s="24">
        <v>210000</v>
      </c>
      <c r="E762" s="9" t="s">
        <v>2512</v>
      </c>
      <c r="F762" s="9" t="s">
        <v>62</v>
      </c>
      <c r="G762" s="9" t="s">
        <v>61</v>
      </c>
      <c r="H762" t="str" cm="1">
        <f t="array" ref="H762">_xlfn.IFS(D762&gt;=250000,"高額",D762&gt;=150000,"中額",TRUE,"低額")</f>
        <v>中額</v>
      </c>
    </row>
    <row r="763" spans="2:8" x14ac:dyDescent="0.25">
      <c r="B763" s="9" t="s">
        <v>1591</v>
      </c>
      <c r="C763" s="9" t="s">
        <v>16</v>
      </c>
      <c r="D763" s="24">
        <v>197000</v>
      </c>
      <c r="E763" s="9" t="s">
        <v>2513</v>
      </c>
      <c r="F763" s="9" t="s">
        <v>67</v>
      </c>
      <c r="G763" s="9" t="s">
        <v>51</v>
      </c>
      <c r="H763" t="str" cm="1">
        <f t="array" ref="H763">_xlfn.IFS(D763&gt;=250000,"高額",D763&gt;=150000,"中額",TRUE,"低額")</f>
        <v>中額</v>
      </c>
    </row>
    <row r="764" spans="2:8" x14ac:dyDescent="0.25">
      <c r="B764" s="9" t="s">
        <v>1593</v>
      </c>
      <c r="C764" s="9" t="s">
        <v>16</v>
      </c>
      <c r="D764" s="24">
        <v>43000</v>
      </c>
      <c r="E764" s="9" t="s">
        <v>2513</v>
      </c>
      <c r="F764" s="9" t="s">
        <v>63</v>
      </c>
      <c r="G764" s="9" t="s">
        <v>47</v>
      </c>
      <c r="H764" t="str" cm="1">
        <f t="array" ref="H764">_xlfn.IFS(D764&gt;=250000,"高額",D764&gt;=150000,"中額",TRUE,"低額")</f>
        <v>低額</v>
      </c>
    </row>
    <row r="765" spans="2:8" x14ac:dyDescent="0.25">
      <c r="B765" s="9" t="s">
        <v>1594</v>
      </c>
      <c r="C765" s="9" t="s">
        <v>22</v>
      </c>
      <c r="D765" s="24">
        <v>222000</v>
      </c>
      <c r="E765" s="9" t="s">
        <v>2514</v>
      </c>
      <c r="F765" s="9" t="s">
        <v>64</v>
      </c>
      <c r="G765" s="9" t="s">
        <v>51</v>
      </c>
      <c r="H765" t="str" cm="1">
        <f t="array" ref="H765">_xlfn.IFS(D765&gt;=250000,"高額",D765&gt;=150000,"中額",TRUE,"低額")</f>
        <v>中額</v>
      </c>
    </row>
    <row r="766" spans="2:8" x14ac:dyDescent="0.25">
      <c r="B766" s="9" t="s">
        <v>1596</v>
      </c>
      <c r="C766" s="9" t="s">
        <v>20</v>
      </c>
      <c r="D766" s="24">
        <v>203000</v>
      </c>
      <c r="E766" s="9" t="s">
        <v>2514</v>
      </c>
      <c r="F766" s="9" t="s">
        <v>64</v>
      </c>
      <c r="G766" s="9" t="s">
        <v>43</v>
      </c>
      <c r="H766" t="str" cm="1">
        <f t="array" ref="H766">_xlfn.IFS(D766&gt;=250000,"高額",D766&gt;=150000,"中額",TRUE,"低額")</f>
        <v>中額</v>
      </c>
    </row>
    <row r="767" spans="2:8" x14ac:dyDescent="0.25">
      <c r="B767" s="9" t="s">
        <v>1598</v>
      </c>
      <c r="C767" s="9" t="s">
        <v>20</v>
      </c>
      <c r="D767" s="24">
        <v>94000</v>
      </c>
      <c r="E767" s="9" t="s">
        <v>2514</v>
      </c>
      <c r="F767" s="9" t="s">
        <v>66</v>
      </c>
      <c r="G767" s="9" t="s">
        <v>47</v>
      </c>
      <c r="H767" t="str" cm="1">
        <f t="array" ref="H767">_xlfn.IFS(D767&gt;=250000,"高額",D767&gt;=150000,"中額",TRUE,"低額")</f>
        <v>低額</v>
      </c>
    </row>
    <row r="768" spans="2:8" x14ac:dyDescent="0.25">
      <c r="B768" s="9" t="s">
        <v>1599</v>
      </c>
      <c r="C768" s="9" t="s">
        <v>12</v>
      </c>
      <c r="D768" s="24">
        <v>159000</v>
      </c>
      <c r="E768" s="9" t="s">
        <v>2514</v>
      </c>
      <c r="F768" s="9" t="s">
        <v>64</v>
      </c>
      <c r="G768" s="9" t="s">
        <v>43</v>
      </c>
      <c r="H768" t="str" cm="1">
        <f t="array" ref="H768">_xlfn.IFS(D768&gt;=250000,"高額",D768&gt;=150000,"中額",TRUE,"低額")</f>
        <v>中額</v>
      </c>
    </row>
    <row r="769" spans="2:8" x14ac:dyDescent="0.25">
      <c r="B769" s="9" t="s">
        <v>1600</v>
      </c>
      <c r="C769" s="9" t="s">
        <v>18</v>
      </c>
      <c r="D769" s="24">
        <v>300000</v>
      </c>
      <c r="E769" s="9" t="s">
        <v>2514</v>
      </c>
      <c r="F769" s="9" t="s">
        <v>66</v>
      </c>
      <c r="G769" s="9" t="s">
        <v>43</v>
      </c>
      <c r="H769" t="str" cm="1">
        <f t="array" ref="H769">_xlfn.IFS(D769&gt;=250000,"高額",D769&gt;=150000,"中額",TRUE,"低額")</f>
        <v>高額</v>
      </c>
    </row>
    <row r="770" spans="2:8" x14ac:dyDescent="0.25">
      <c r="B770" s="9" t="s">
        <v>1602</v>
      </c>
      <c r="C770" s="9" t="s">
        <v>20</v>
      </c>
      <c r="D770" s="24">
        <v>101000</v>
      </c>
      <c r="E770" s="9" t="s">
        <v>2515</v>
      </c>
      <c r="F770" s="9" t="s">
        <v>66</v>
      </c>
      <c r="G770" s="9" t="s">
        <v>47</v>
      </c>
      <c r="H770" t="str" cm="1">
        <f t="array" ref="H770">_xlfn.IFS(D770&gt;=250000,"高額",D770&gt;=150000,"中額",TRUE,"低額")</f>
        <v>低額</v>
      </c>
    </row>
    <row r="771" spans="2:8" x14ac:dyDescent="0.25">
      <c r="B771" s="9" t="s">
        <v>1604</v>
      </c>
      <c r="C771" s="9" t="s">
        <v>22</v>
      </c>
      <c r="D771" s="24">
        <v>287000</v>
      </c>
      <c r="E771" s="9" t="s">
        <v>2516</v>
      </c>
      <c r="F771" s="9" t="s">
        <v>66</v>
      </c>
      <c r="G771" s="9" t="s">
        <v>51</v>
      </c>
      <c r="H771" t="str" cm="1">
        <f t="array" ref="H771">_xlfn.IFS(D771&gt;=250000,"高額",D771&gt;=150000,"中額",TRUE,"低額")</f>
        <v>高額</v>
      </c>
    </row>
    <row r="772" spans="2:8" x14ac:dyDescent="0.25">
      <c r="B772" s="9" t="s">
        <v>1606</v>
      </c>
      <c r="C772" s="9" t="s">
        <v>18</v>
      </c>
      <c r="D772" s="24">
        <v>103000</v>
      </c>
      <c r="E772" s="9" t="s">
        <v>2517</v>
      </c>
      <c r="F772" s="9" t="s">
        <v>63</v>
      </c>
      <c r="G772" s="9" t="s">
        <v>55</v>
      </c>
      <c r="H772" t="str" cm="1">
        <f t="array" ref="H772">_xlfn.IFS(D772&gt;=250000,"高額",D772&gt;=150000,"中額",TRUE,"低額")</f>
        <v>低額</v>
      </c>
    </row>
    <row r="773" spans="2:8" x14ac:dyDescent="0.25">
      <c r="B773" s="9" t="s">
        <v>1608</v>
      </c>
      <c r="C773" s="9" t="s">
        <v>22</v>
      </c>
      <c r="D773" s="24">
        <v>58000</v>
      </c>
      <c r="E773" s="9" t="s">
        <v>2518</v>
      </c>
      <c r="F773" s="9" t="s">
        <v>64</v>
      </c>
      <c r="G773" s="9" t="s">
        <v>61</v>
      </c>
      <c r="H773" t="str" cm="1">
        <f t="array" ref="H773">_xlfn.IFS(D773&gt;=250000,"高額",D773&gt;=150000,"中額",TRUE,"低額")</f>
        <v>低額</v>
      </c>
    </row>
    <row r="774" spans="2:8" x14ac:dyDescent="0.25">
      <c r="B774" s="9" t="s">
        <v>1610</v>
      </c>
      <c r="C774" s="9" t="s">
        <v>14</v>
      </c>
      <c r="D774" s="24">
        <v>145000</v>
      </c>
      <c r="E774" s="9" t="s">
        <v>2518</v>
      </c>
      <c r="F774" s="9" t="s">
        <v>62</v>
      </c>
      <c r="G774" s="9" t="s">
        <v>43</v>
      </c>
      <c r="H774" t="str" cm="1">
        <f t="array" ref="H774">_xlfn.IFS(D774&gt;=250000,"高額",D774&gt;=150000,"中額",TRUE,"低額")</f>
        <v>低額</v>
      </c>
    </row>
    <row r="775" spans="2:8" x14ac:dyDescent="0.25">
      <c r="B775" s="9" t="s">
        <v>1611</v>
      </c>
      <c r="C775" s="9" t="s">
        <v>24</v>
      </c>
      <c r="D775" s="24">
        <v>278000</v>
      </c>
      <c r="E775" s="9" t="s">
        <v>2518</v>
      </c>
      <c r="F775" s="9" t="s">
        <v>64</v>
      </c>
      <c r="G775" s="9" t="s">
        <v>47</v>
      </c>
      <c r="H775" t="str" cm="1">
        <f t="array" ref="H775">_xlfn.IFS(D775&gt;=250000,"高額",D775&gt;=150000,"中額",TRUE,"低額")</f>
        <v>高額</v>
      </c>
    </row>
    <row r="776" spans="2:8" x14ac:dyDescent="0.25">
      <c r="B776" s="9" t="s">
        <v>1612</v>
      </c>
      <c r="C776" s="9" t="s">
        <v>22</v>
      </c>
      <c r="D776" s="24">
        <v>176000</v>
      </c>
      <c r="E776" s="9" t="s">
        <v>2519</v>
      </c>
      <c r="F776" s="9" t="s">
        <v>67</v>
      </c>
      <c r="G776" s="9" t="s">
        <v>49</v>
      </c>
      <c r="H776" t="str" cm="1">
        <f t="array" ref="H776">_xlfn.IFS(D776&gt;=250000,"高額",D776&gt;=150000,"中額",TRUE,"低額")</f>
        <v>中額</v>
      </c>
    </row>
    <row r="777" spans="2:8" x14ac:dyDescent="0.25">
      <c r="B777" s="9" t="s">
        <v>1614</v>
      </c>
      <c r="C777" s="9" t="s">
        <v>18</v>
      </c>
      <c r="D777" s="24">
        <v>100000</v>
      </c>
      <c r="E777" s="9" t="s">
        <v>2519</v>
      </c>
      <c r="F777" s="9" t="s">
        <v>63</v>
      </c>
      <c r="G777" s="9" t="s">
        <v>47</v>
      </c>
      <c r="H777" t="str" cm="1">
        <f t="array" ref="H777">_xlfn.IFS(D777&gt;=250000,"高額",D777&gt;=150000,"中額",TRUE,"低額")</f>
        <v>低額</v>
      </c>
    </row>
    <row r="778" spans="2:8" x14ac:dyDescent="0.25">
      <c r="B778" s="9" t="s">
        <v>1615</v>
      </c>
      <c r="C778" s="9" t="s">
        <v>18</v>
      </c>
      <c r="D778" s="24">
        <v>148000</v>
      </c>
      <c r="E778" s="9" t="s">
        <v>2520</v>
      </c>
      <c r="F778" s="9" t="s">
        <v>67</v>
      </c>
      <c r="G778" s="9" t="s">
        <v>49</v>
      </c>
      <c r="H778" t="str" cm="1">
        <f t="array" ref="H778">_xlfn.IFS(D778&gt;=250000,"高額",D778&gt;=150000,"中額",TRUE,"低額")</f>
        <v>低額</v>
      </c>
    </row>
    <row r="779" spans="2:8" x14ac:dyDescent="0.25">
      <c r="B779" s="9" t="s">
        <v>1617</v>
      </c>
      <c r="C779" s="9" t="s">
        <v>24</v>
      </c>
      <c r="D779" s="24">
        <v>151000</v>
      </c>
      <c r="E779" s="9" t="s">
        <v>2520</v>
      </c>
      <c r="F779" s="9" t="s">
        <v>62</v>
      </c>
      <c r="G779" s="9" t="s">
        <v>61</v>
      </c>
      <c r="H779" t="str" cm="1">
        <f t="array" ref="H779">_xlfn.IFS(D779&gt;=250000,"高額",D779&gt;=150000,"中額",TRUE,"低額")</f>
        <v>中額</v>
      </c>
    </row>
    <row r="780" spans="2:8" x14ac:dyDescent="0.25">
      <c r="B780" s="9" t="s">
        <v>1619</v>
      </c>
      <c r="C780" s="9" t="s">
        <v>12</v>
      </c>
      <c r="D780" s="24">
        <v>63000</v>
      </c>
      <c r="E780" s="9" t="s">
        <v>2520</v>
      </c>
      <c r="F780" s="9" t="s">
        <v>63</v>
      </c>
      <c r="G780" s="9" t="s">
        <v>45</v>
      </c>
      <c r="H780" t="str" cm="1">
        <f t="array" ref="H780">_xlfn.IFS(D780&gt;=250000,"高額",D780&gt;=150000,"中額",TRUE,"低額")</f>
        <v>低額</v>
      </c>
    </row>
    <row r="781" spans="2:8" x14ac:dyDescent="0.25">
      <c r="B781" s="9" t="s">
        <v>1620</v>
      </c>
      <c r="C781" s="9" t="s">
        <v>18</v>
      </c>
      <c r="D781" s="24">
        <v>94000</v>
      </c>
      <c r="E781" s="9" t="s">
        <v>2520</v>
      </c>
      <c r="F781" s="9" t="s">
        <v>63</v>
      </c>
      <c r="G781" s="9" t="s">
        <v>49</v>
      </c>
      <c r="H781" t="str" cm="1">
        <f t="array" ref="H781">_xlfn.IFS(D781&gt;=250000,"高額",D781&gt;=150000,"中額",TRUE,"低額")</f>
        <v>低額</v>
      </c>
    </row>
    <row r="782" spans="2:8" x14ac:dyDescent="0.25">
      <c r="B782" s="9" t="s">
        <v>1621</v>
      </c>
      <c r="C782" s="9" t="s">
        <v>22</v>
      </c>
      <c r="D782" s="24">
        <v>274000</v>
      </c>
      <c r="E782" s="9" t="s">
        <v>2520</v>
      </c>
      <c r="F782" s="9" t="s">
        <v>65</v>
      </c>
      <c r="G782" s="9" t="s">
        <v>43</v>
      </c>
      <c r="H782" t="str" cm="1">
        <f t="array" ref="H782">_xlfn.IFS(D782&gt;=250000,"高額",D782&gt;=150000,"中額",TRUE,"低額")</f>
        <v>高額</v>
      </c>
    </row>
    <row r="783" spans="2:8" x14ac:dyDescent="0.25">
      <c r="B783" s="9" t="s">
        <v>1622</v>
      </c>
      <c r="C783" s="9" t="s">
        <v>12</v>
      </c>
      <c r="D783" s="24">
        <v>219000</v>
      </c>
      <c r="E783" s="9" t="s">
        <v>2521</v>
      </c>
      <c r="F783" s="9" t="s">
        <v>64</v>
      </c>
      <c r="G783" s="9" t="s">
        <v>45</v>
      </c>
      <c r="H783" t="str" cm="1">
        <f t="array" ref="H783">_xlfn.IFS(D783&gt;=250000,"高額",D783&gt;=150000,"中額",TRUE,"低額")</f>
        <v>中額</v>
      </c>
    </row>
    <row r="784" spans="2:8" x14ac:dyDescent="0.25">
      <c r="B784" s="9" t="s">
        <v>1625</v>
      </c>
      <c r="C784" s="9" t="s">
        <v>16</v>
      </c>
      <c r="D784" s="24">
        <v>230000</v>
      </c>
      <c r="E784" s="9" t="s">
        <v>2521</v>
      </c>
      <c r="F784" s="9" t="s">
        <v>67</v>
      </c>
      <c r="G784" s="9" t="s">
        <v>45</v>
      </c>
      <c r="H784" t="str" cm="1">
        <f t="array" ref="H784">_xlfn.IFS(D784&gt;=250000,"高額",D784&gt;=150000,"中額",TRUE,"低額")</f>
        <v>中額</v>
      </c>
    </row>
    <row r="785" spans="2:8" x14ac:dyDescent="0.25">
      <c r="B785" s="9" t="s">
        <v>1626</v>
      </c>
      <c r="C785" s="9" t="s">
        <v>18</v>
      </c>
      <c r="D785" s="24">
        <v>215000</v>
      </c>
      <c r="E785" s="9" t="s">
        <v>2522</v>
      </c>
      <c r="F785" s="9" t="s">
        <v>62</v>
      </c>
      <c r="G785" s="9" t="s">
        <v>55</v>
      </c>
      <c r="H785" t="str" cm="1">
        <f t="array" ref="H785">_xlfn.IFS(D785&gt;=250000,"高額",D785&gt;=150000,"中額",TRUE,"低額")</f>
        <v>中額</v>
      </c>
    </row>
    <row r="786" spans="2:8" x14ac:dyDescent="0.25">
      <c r="B786" s="9" t="s">
        <v>1628</v>
      </c>
      <c r="C786" s="9" t="s">
        <v>14</v>
      </c>
      <c r="D786" s="24">
        <v>281000</v>
      </c>
      <c r="E786" s="9" t="s">
        <v>2522</v>
      </c>
      <c r="F786" s="9" t="s">
        <v>64</v>
      </c>
      <c r="G786" s="9" t="s">
        <v>58</v>
      </c>
      <c r="H786" t="str" cm="1">
        <f t="array" ref="H786">_xlfn.IFS(D786&gt;=250000,"高額",D786&gt;=150000,"中額",TRUE,"低額")</f>
        <v>高額</v>
      </c>
    </row>
    <row r="787" spans="2:8" x14ac:dyDescent="0.25">
      <c r="B787" s="9" t="s">
        <v>1629</v>
      </c>
      <c r="C787" s="9" t="s">
        <v>12</v>
      </c>
      <c r="D787" s="24">
        <v>281000</v>
      </c>
      <c r="E787" s="9" t="s">
        <v>2522</v>
      </c>
      <c r="F787" s="9" t="s">
        <v>65</v>
      </c>
      <c r="G787" s="9" t="s">
        <v>58</v>
      </c>
      <c r="H787" t="str" cm="1">
        <f t="array" ref="H787">_xlfn.IFS(D787&gt;=250000,"高額",D787&gt;=150000,"中額",TRUE,"低額")</f>
        <v>高額</v>
      </c>
    </row>
    <row r="788" spans="2:8" x14ac:dyDescent="0.25">
      <c r="B788" s="9" t="s">
        <v>1630</v>
      </c>
      <c r="C788" s="9" t="s">
        <v>12</v>
      </c>
      <c r="D788" s="24">
        <v>173000</v>
      </c>
      <c r="E788" s="9" t="s">
        <v>2523</v>
      </c>
      <c r="F788" s="9" t="s">
        <v>64</v>
      </c>
      <c r="G788" s="9" t="s">
        <v>43</v>
      </c>
      <c r="H788" t="str" cm="1">
        <f t="array" ref="H788">_xlfn.IFS(D788&gt;=250000,"高額",D788&gt;=150000,"中額",TRUE,"低額")</f>
        <v>中額</v>
      </c>
    </row>
    <row r="789" spans="2:8" x14ac:dyDescent="0.25">
      <c r="B789" s="9" t="s">
        <v>1632</v>
      </c>
      <c r="C789" s="9" t="s">
        <v>12</v>
      </c>
      <c r="D789" s="24">
        <v>35000</v>
      </c>
      <c r="E789" s="9" t="s">
        <v>2524</v>
      </c>
      <c r="F789" s="9" t="s">
        <v>64</v>
      </c>
      <c r="G789" s="9" t="s">
        <v>61</v>
      </c>
      <c r="H789" t="str" cm="1">
        <f t="array" ref="H789">_xlfn.IFS(D789&gt;=250000,"高額",D789&gt;=150000,"中額",TRUE,"低額")</f>
        <v>低額</v>
      </c>
    </row>
    <row r="790" spans="2:8" x14ac:dyDescent="0.25">
      <c r="B790" s="9" t="s">
        <v>1634</v>
      </c>
      <c r="C790" s="9" t="s">
        <v>14</v>
      </c>
      <c r="D790" s="24">
        <v>76000</v>
      </c>
      <c r="E790" s="9" t="s">
        <v>2525</v>
      </c>
      <c r="F790" s="9" t="s">
        <v>64</v>
      </c>
      <c r="G790" s="9" t="s">
        <v>61</v>
      </c>
      <c r="H790" t="str" cm="1">
        <f t="array" ref="H790">_xlfn.IFS(D790&gt;=250000,"高額",D790&gt;=150000,"中額",TRUE,"低額")</f>
        <v>低額</v>
      </c>
    </row>
    <row r="791" spans="2:8" x14ac:dyDescent="0.25">
      <c r="B791" s="9" t="s">
        <v>1636</v>
      </c>
      <c r="C791" s="9" t="s">
        <v>24</v>
      </c>
      <c r="D791" s="24">
        <v>260000</v>
      </c>
      <c r="E791" s="9" t="s">
        <v>2526</v>
      </c>
      <c r="F791" s="9" t="s">
        <v>64</v>
      </c>
      <c r="G791" s="9" t="s">
        <v>47</v>
      </c>
      <c r="H791" t="str" cm="1">
        <f t="array" ref="H791">_xlfn.IFS(D791&gt;=250000,"高額",D791&gt;=150000,"中額",TRUE,"低額")</f>
        <v>高額</v>
      </c>
    </row>
    <row r="792" spans="2:8" x14ac:dyDescent="0.25">
      <c r="B792" s="9" t="s">
        <v>1638</v>
      </c>
      <c r="C792" s="9" t="s">
        <v>18</v>
      </c>
      <c r="D792" s="24">
        <v>108000</v>
      </c>
      <c r="E792" s="9" t="s">
        <v>2526</v>
      </c>
      <c r="F792" s="9" t="s">
        <v>62</v>
      </c>
      <c r="G792" s="9" t="s">
        <v>53</v>
      </c>
      <c r="H792" t="str" cm="1">
        <f t="array" ref="H792">_xlfn.IFS(D792&gt;=250000,"高額",D792&gt;=150000,"中額",TRUE,"低額")</f>
        <v>低額</v>
      </c>
    </row>
    <row r="793" spans="2:8" x14ac:dyDescent="0.25">
      <c r="B793" s="9" t="s">
        <v>1639</v>
      </c>
      <c r="C793" s="9" t="s">
        <v>16</v>
      </c>
      <c r="D793" s="24">
        <v>71000</v>
      </c>
      <c r="E793" s="9" t="s">
        <v>2527</v>
      </c>
      <c r="F793" s="9" t="s">
        <v>63</v>
      </c>
      <c r="G793" s="9" t="s">
        <v>58</v>
      </c>
      <c r="H793" t="str" cm="1">
        <f t="array" ref="H793">_xlfn.IFS(D793&gt;=250000,"高額",D793&gt;=150000,"中額",TRUE,"低額")</f>
        <v>低額</v>
      </c>
    </row>
    <row r="794" spans="2:8" x14ac:dyDescent="0.25">
      <c r="B794" s="9" t="s">
        <v>1641</v>
      </c>
      <c r="C794" s="9" t="s">
        <v>24</v>
      </c>
      <c r="D794" s="24">
        <v>187000</v>
      </c>
      <c r="E794" s="9" t="s">
        <v>2528</v>
      </c>
      <c r="F794" s="9" t="s">
        <v>66</v>
      </c>
      <c r="G794" s="9" t="s">
        <v>55</v>
      </c>
      <c r="H794" t="str" cm="1">
        <f t="array" ref="H794">_xlfn.IFS(D794&gt;=250000,"高額",D794&gt;=150000,"中額",TRUE,"低額")</f>
        <v>中額</v>
      </c>
    </row>
    <row r="795" spans="2:8" x14ac:dyDescent="0.25">
      <c r="B795" s="9" t="s">
        <v>1643</v>
      </c>
      <c r="C795" s="9" t="s">
        <v>12</v>
      </c>
      <c r="D795" s="24">
        <v>178000</v>
      </c>
      <c r="E795" s="9" t="s">
        <v>2529</v>
      </c>
      <c r="F795" s="9" t="s">
        <v>62</v>
      </c>
      <c r="G795" s="9" t="s">
        <v>49</v>
      </c>
      <c r="H795" t="str" cm="1">
        <f t="array" ref="H795">_xlfn.IFS(D795&gt;=250000,"高額",D795&gt;=150000,"中額",TRUE,"低額")</f>
        <v>中額</v>
      </c>
    </row>
    <row r="796" spans="2:8" x14ac:dyDescent="0.25">
      <c r="B796" s="9" t="s">
        <v>1645</v>
      </c>
      <c r="C796" s="9" t="s">
        <v>20</v>
      </c>
      <c r="D796" s="24">
        <v>205000</v>
      </c>
      <c r="E796" s="9" t="s">
        <v>2530</v>
      </c>
      <c r="F796" s="9" t="s">
        <v>64</v>
      </c>
      <c r="G796" s="9" t="s">
        <v>51</v>
      </c>
      <c r="H796" t="str" cm="1">
        <f t="array" ref="H796">_xlfn.IFS(D796&gt;=250000,"高額",D796&gt;=150000,"中額",TRUE,"低額")</f>
        <v>中額</v>
      </c>
    </row>
    <row r="797" spans="2:8" x14ac:dyDescent="0.25">
      <c r="B797" s="9" t="s">
        <v>1648</v>
      </c>
      <c r="C797" s="9" t="s">
        <v>22</v>
      </c>
      <c r="D797" s="24">
        <v>69000</v>
      </c>
      <c r="E797" s="9" t="s">
        <v>2531</v>
      </c>
      <c r="F797" s="9" t="s">
        <v>62</v>
      </c>
      <c r="G797" s="9" t="s">
        <v>49</v>
      </c>
      <c r="H797" t="str" cm="1">
        <f t="array" ref="H797">_xlfn.IFS(D797&gt;=250000,"高額",D797&gt;=150000,"中額",TRUE,"低額")</f>
        <v>低額</v>
      </c>
    </row>
    <row r="798" spans="2:8" x14ac:dyDescent="0.25">
      <c r="B798" s="9" t="s">
        <v>1650</v>
      </c>
      <c r="C798" s="9" t="s">
        <v>12</v>
      </c>
      <c r="D798" s="24">
        <v>136000</v>
      </c>
      <c r="E798" s="9" t="s">
        <v>2532</v>
      </c>
      <c r="F798" s="9" t="s">
        <v>63</v>
      </c>
      <c r="G798" s="9" t="s">
        <v>47</v>
      </c>
      <c r="H798" t="str" cm="1">
        <f t="array" ref="H798">_xlfn.IFS(D798&gt;=250000,"高額",D798&gt;=150000,"中額",TRUE,"低額")</f>
        <v>低額</v>
      </c>
    </row>
    <row r="799" spans="2:8" x14ac:dyDescent="0.25">
      <c r="B799" s="9" t="s">
        <v>1652</v>
      </c>
      <c r="C799" s="9" t="s">
        <v>22</v>
      </c>
      <c r="D799" s="24">
        <v>91000</v>
      </c>
      <c r="E799" s="9" t="s">
        <v>2533</v>
      </c>
      <c r="F799" s="9" t="s">
        <v>63</v>
      </c>
      <c r="G799" s="9" t="s">
        <v>51</v>
      </c>
      <c r="H799" t="str" cm="1">
        <f t="array" ref="H799">_xlfn.IFS(D799&gt;=250000,"高額",D799&gt;=150000,"中額",TRUE,"低額")</f>
        <v>低額</v>
      </c>
    </row>
    <row r="800" spans="2:8" x14ac:dyDescent="0.25">
      <c r="B800" s="9" t="s">
        <v>1654</v>
      </c>
      <c r="C800" s="9" t="s">
        <v>18</v>
      </c>
      <c r="D800" s="24">
        <v>245000</v>
      </c>
      <c r="E800" s="9" t="s">
        <v>2533</v>
      </c>
      <c r="F800" s="9" t="s">
        <v>63</v>
      </c>
      <c r="G800" s="9" t="s">
        <v>47</v>
      </c>
      <c r="H800" t="str" cm="1">
        <f t="array" ref="H800">_xlfn.IFS(D800&gt;=250000,"高額",D800&gt;=150000,"中額",TRUE,"低額")</f>
        <v>中額</v>
      </c>
    </row>
    <row r="801" spans="2:8" x14ac:dyDescent="0.25">
      <c r="B801" s="9" t="s">
        <v>1655</v>
      </c>
      <c r="C801" s="9" t="s">
        <v>16</v>
      </c>
      <c r="D801" s="24">
        <v>249000</v>
      </c>
      <c r="E801" s="9" t="s">
        <v>2534</v>
      </c>
      <c r="F801" s="9" t="s">
        <v>62</v>
      </c>
      <c r="G801" s="9" t="s">
        <v>45</v>
      </c>
      <c r="H801" t="str" cm="1">
        <f t="array" ref="H801">_xlfn.IFS(D801&gt;=250000,"高額",D801&gt;=150000,"中額",TRUE,"低額")</f>
        <v>中額</v>
      </c>
    </row>
    <row r="802" spans="2:8" x14ac:dyDescent="0.25">
      <c r="B802" s="9" t="s">
        <v>1657</v>
      </c>
      <c r="C802" s="9" t="s">
        <v>14</v>
      </c>
      <c r="D802" s="24">
        <v>43000</v>
      </c>
      <c r="E802" s="9" t="s">
        <v>2534</v>
      </c>
      <c r="F802" s="9" t="s">
        <v>64</v>
      </c>
      <c r="G802" s="9" t="s">
        <v>47</v>
      </c>
      <c r="H802" t="str" cm="1">
        <f t="array" ref="H802">_xlfn.IFS(D802&gt;=250000,"高額",D802&gt;=150000,"中額",TRUE,"低額")</f>
        <v>低額</v>
      </c>
    </row>
    <row r="803" spans="2:8" x14ac:dyDescent="0.25">
      <c r="B803" s="9" t="s">
        <v>1658</v>
      </c>
      <c r="C803" s="9" t="s">
        <v>16</v>
      </c>
      <c r="D803" s="24">
        <v>142000</v>
      </c>
      <c r="E803" s="9" t="s">
        <v>2535</v>
      </c>
      <c r="F803" s="9" t="s">
        <v>63</v>
      </c>
      <c r="G803" s="9" t="s">
        <v>58</v>
      </c>
      <c r="H803" t="str" cm="1">
        <f t="array" ref="H803">_xlfn.IFS(D803&gt;=250000,"高額",D803&gt;=150000,"中額",TRUE,"低額")</f>
        <v>低額</v>
      </c>
    </row>
    <row r="804" spans="2:8" x14ac:dyDescent="0.25">
      <c r="B804" s="9" t="s">
        <v>1660</v>
      </c>
      <c r="C804" s="9" t="s">
        <v>14</v>
      </c>
      <c r="D804" s="24">
        <v>32000</v>
      </c>
      <c r="E804" s="9" t="s">
        <v>2535</v>
      </c>
      <c r="F804" s="9" t="s">
        <v>63</v>
      </c>
      <c r="G804" s="9" t="s">
        <v>45</v>
      </c>
      <c r="H804" t="str" cm="1">
        <f t="array" ref="H804">_xlfn.IFS(D804&gt;=250000,"高額",D804&gt;=150000,"中額",TRUE,"低額")</f>
        <v>低額</v>
      </c>
    </row>
    <row r="805" spans="2:8" x14ac:dyDescent="0.25">
      <c r="B805" s="9" t="s">
        <v>1662</v>
      </c>
      <c r="C805" s="9" t="s">
        <v>16</v>
      </c>
      <c r="D805" s="24">
        <v>97000</v>
      </c>
      <c r="E805" s="9" t="s">
        <v>2536</v>
      </c>
      <c r="F805" s="9" t="s">
        <v>62</v>
      </c>
      <c r="G805" s="9" t="s">
        <v>45</v>
      </c>
      <c r="H805" t="str" cm="1">
        <f t="array" ref="H805">_xlfn.IFS(D805&gt;=250000,"高額",D805&gt;=150000,"中額",TRUE,"低額")</f>
        <v>低額</v>
      </c>
    </row>
    <row r="806" spans="2:8" x14ac:dyDescent="0.25">
      <c r="B806" s="9" t="s">
        <v>1664</v>
      </c>
      <c r="C806" s="9" t="s">
        <v>18</v>
      </c>
      <c r="D806" s="24">
        <v>215000</v>
      </c>
      <c r="E806" s="9" t="s">
        <v>2537</v>
      </c>
      <c r="F806" s="9" t="s">
        <v>63</v>
      </c>
      <c r="G806" s="9" t="s">
        <v>45</v>
      </c>
      <c r="H806" t="str" cm="1">
        <f t="array" ref="H806">_xlfn.IFS(D806&gt;=250000,"高額",D806&gt;=150000,"中額",TRUE,"低額")</f>
        <v>中額</v>
      </c>
    </row>
    <row r="807" spans="2:8" x14ac:dyDescent="0.25">
      <c r="B807" s="9" t="s">
        <v>1666</v>
      </c>
      <c r="C807" s="9" t="s">
        <v>16</v>
      </c>
      <c r="D807" s="24">
        <v>269000</v>
      </c>
      <c r="E807" s="9" t="s">
        <v>2538</v>
      </c>
      <c r="F807" s="9" t="s">
        <v>67</v>
      </c>
      <c r="G807" s="9" t="s">
        <v>47</v>
      </c>
      <c r="H807" t="str" cm="1">
        <f t="array" ref="H807">_xlfn.IFS(D807&gt;=250000,"高額",D807&gt;=150000,"中額",TRUE,"低額")</f>
        <v>高額</v>
      </c>
    </row>
    <row r="808" spans="2:8" x14ac:dyDescent="0.25">
      <c r="B808" s="9" t="s">
        <v>1668</v>
      </c>
      <c r="C808" s="9" t="s">
        <v>14</v>
      </c>
      <c r="D808" s="24">
        <v>145000</v>
      </c>
      <c r="E808" s="9" t="s">
        <v>2539</v>
      </c>
      <c r="F808" s="9" t="s">
        <v>65</v>
      </c>
      <c r="G808" s="9" t="s">
        <v>51</v>
      </c>
      <c r="H808" t="str" cm="1">
        <f t="array" ref="H808">_xlfn.IFS(D808&gt;=250000,"高額",D808&gt;=150000,"中額",TRUE,"低額")</f>
        <v>低額</v>
      </c>
    </row>
    <row r="809" spans="2:8" x14ac:dyDescent="0.25">
      <c r="B809" s="9" t="s">
        <v>1670</v>
      </c>
      <c r="C809" s="9" t="s">
        <v>14</v>
      </c>
      <c r="D809" s="24">
        <v>180000</v>
      </c>
      <c r="E809" s="9" t="s">
        <v>2539</v>
      </c>
      <c r="F809" s="9" t="s">
        <v>64</v>
      </c>
      <c r="G809" s="9" t="s">
        <v>51</v>
      </c>
      <c r="H809" t="str" cm="1">
        <f t="array" ref="H809">_xlfn.IFS(D809&gt;=250000,"高額",D809&gt;=150000,"中額",TRUE,"低額")</f>
        <v>中額</v>
      </c>
    </row>
    <row r="810" spans="2:8" x14ac:dyDescent="0.25">
      <c r="B810" s="9" t="s">
        <v>1671</v>
      </c>
      <c r="C810" s="9" t="s">
        <v>16</v>
      </c>
      <c r="D810" s="24">
        <v>257000</v>
      </c>
      <c r="E810" s="9" t="s">
        <v>2540</v>
      </c>
      <c r="F810" s="9" t="s">
        <v>64</v>
      </c>
      <c r="G810" s="9" t="s">
        <v>53</v>
      </c>
      <c r="H810" t="str" cm="1">
        <f t="array" ref="H810">_xlfn.IFS(D810&gt;=250000,"高額",D810&gt;=150000,"中額",TRUE,"低額")</f>
        <v>高額</v>
      </c>
    </row>
    <row r="811" spans="2:8" x14ac:dyDescent="0.25">
      <c r="B811" s="9" t="s">
        <v>1673</v>
      </c>
      <c r="C811" s="9" t="s">
        <v>12</v>
      </c>
      <c r="D811" s="24">
        <v>43000</v>
      </c>
      <c r="E811" s="9" t="s">
        <v>2541</v>
      </c>
      <c r="F811" s="9" t="s">
        <v>62</v>
      </c>
      <c r="G811" s="9" t="s">
        <v>49</v>
      </c>
      <c r="H811" t="str" cm="1">
        <f t="array" ref="H811">_xlfn.IFS(D811&gt;=250000,"高額",D811&gt;=150000,"中額",TRUE,"低額")</f>
        <v>低額</v>
      </c>
    </row>
    <row r="812" spans="2:8" x14ac:dyDescent="0.25">
      <c r="B812" s="9" t="s">
        <v>1675</v>
      </c>
      <c r="C812" s="9" t="s">
        <v>24</v>
      </c>
      <c r="D812" s="24">
        <v>254000</v>
      </c>
      <c r="E812" s="9" t="s">
        <v>2542</v>
      </c>
      <c r="F812" s="9" t="s">
        <v>62</v>
      </c>
      <c r="G812" s="9" t="s">
        <v>51</v>
      </c>
      <c r="H812" t="str" cm="1">
        <f t="array" ref="H812">_xlfn.IFS(D812&gt;=250000,"高額",D812&gt;=150000,"中額",TRUE,"低額")</f>
        <v>高額</v>
      </c>
    </row>
    <row r="813" spans="2:8" x14ac:dyDescent="0.25">
      <c r="B813" s="9" t="s">
        <v>1677</v>
      </c>
      <c r="C813" s="9" t="s">
        <v>16</v>
      </c>
      <c r="D813" s="24">
        <v>237000</v>
      </c>
      <c r="E813" s="9" t="s">
        <v>2542</v>
      </c>
      <c r="F813" s="9" t="s">
        <v>66</v>
      </c>
      <c r="G813" s="9" t="s">
        <v>47</v>
      </c>
      <c r="H813" t="str" cm="1">
        <f t="array" ref="H813">_xlfn.IFS(D813&gt;=250000,"高額",D813&gt;=150000,"中額",TRUE,"低額")</f>
        <v>中額</v>
      </c>
    </row>
    <row r="814" spans="2:8" x14ac:dyDescent="0.25">
      <c r="B814" s="9" t="s">
        <v>1678</v>
      </c>
      <c r="C814" s="9" t="s">
        <v>16</v>
      </c>
      <c r="D814" s="24">
        <v>152000</v>
      </c>
      <c r="E814" s="9" t="s">
        <v>2542</v>
      </c>
      <c r="F814" s="9" t="s">
        <v>64</v>
      </c>
      <c r="G814" s="9" t="s">
        <v>61</v>
      </c>
      <c r="H814" t="str" cm="1">
        <f t="array" ref="H814">_xlfn.IFS(D814&gt;=250000,"高額",D814&gt;=150000,"中額",TRUE,"低額")</f>
        <v>中額</v>
      </c>
    </row>
    <row r="815" spans="2:8" x14ac:dyDescent="0.25">
      <c r="B815" s="9" t="s">
        <v>1679</v>
      </c>
      <c r="C815" s="9" t="s">
        <v>14</v>
      </c>
      <c r="D815" s="24">
        <v>299000</v>
      </c>
      <c r="E815" s="9" t="s">
        <v>2543</v>
      </c>
      <c r="F815" s="9" t="s">
        <v>67</v>
      </c>
      <c r="G815" s="9" t="s">
        <v>61</v>
      </c>
      <c r="H815" t="str" cm="1">
        <f t="array" ref="H815">_xlfn.IFS(D815&gt;=250000,"高額",D815&gt;=150000,"中額",TRUE,"低額")</f>
        <v>高額</v>
      </c>
    </row>
    <row r="816" spans="2:8" x14ac:dyDescent="0.25">
      <c r="B816" s="9" t="s">
        <v>1681</v>
      </c>
      <c r="C816" s="9" t="s">
        <v>12</v>
      </c>
      <c r="D816" s="24">
        <v>35000</v>
      </c>
      <c r="E816" s="9" t="s">
        <v>2543</v>
      </c>
      <c r="F816" s="9" t="s">
        <v>62</v>
      </c>
      <c r="G816" s="9" t="s">
        <v>51</v>
      </c>
      <c r="H816" t="str" cm="1">
        <f t="array" ref="H816">_xlfn.IFS(D816&gt;=250000,"高額",D816&gt;=150000,"中額",TRUE,"低額")</f>
        <v>低額</v>
      </c>
    </row>
    <row r="817" spans="2:8" x14ac:dyDescent="0.25">
      <c r="B817" s="9" t="s">
        <v>1682</v>
      </c>
      <c r="C817" s="9" t="s">
        <v>20</v>
      </c>
      <c r="D817" s="24">
        <v>45000</v>
      </c>
      <c r="E817" s="9" t="s">
        <v>2544</v>
      </c>
      <c r="F817" s="9" t="s">
        <v>65</v>
      </c>
      <c r="G817" s="9" t="s">
        <v>49</v>
      </c>
      <c r="H817" t="str" cm="1">
        <f t="array" ref="H817">_xlfn.IFS(D817&gt;=250000,"高額",D817&gt;=150000,"中額",TRUE,"低額")</f>
        <v>低額</v>
      </c>
    </row>
    <row r="818" spans="2:8" x14ac:dyDescent="0.25">
      <c r="B818" s="9" t="s">
        <v>1684</v>
      </c>
      <c r="C818" s="9" t="s">
        <v>22</v>
      </c>
      <c r="D818" s="24">
        <v>132000</v>
      </c>
      <c r="E818" s="9" t="s">
        <v>2544</v>
      </c>
      <c r="F818" s="9" t="s">
        <v>65</v>
      </c>
      <c r="G818" s="9" t="s">
        <v>55</v>
      </c>
      <c r="H818" t="str" cm="1">
        <f t="array" ref="H818">_xlfn.IFS(D818&gt;=250000,"高額",D818&gt;=150000,"中額",TRUE,"低額")</f>
        <v>低額</v>
      </c>
    </row>
    <row r="819" spans="2:8" x14ac:dyDescent="0.25">
      <c r="B819" s="9" t="s">
        <v>1685</v>
      </c>
      <c r="C819" s="9" t="s">
        <v>14</v>
      </c>
      <c r="D819" s="24">
        <v>83000</v>
      </c>
      <c r="E819" s="9" t="s">
        <v>2544</v>
      </c>
      <c r="F819" s="9" t="s">
        <v>64</v>
      </c>
      <c r="G819" s="9" t="s">
        <v>53</v>
      </c>
      <c r="H819" t="str" cm="1">
        <f t="array" ref="H819">_xlfn.IFS(D819&gt;=250000,"高額",D819&gt;=150000,"中額",TRUE,"低額")</f>
        <v>低額</v>
      </c>
    </row>
    <row r="820" spans="2:8" x14ac:dyDescent="0.25">
      <c r="B820" s="9" t="s">
        <v>1686</v>
      </c>
      <c r="C820" s="9" t="s">
        <v>24</v>
      </c>
      <c r="D820" s="24">
        <v>184000</v>
      </c>
      <c r="E820" s="9" t="s">
        <v>2545</v>
      </c>
      <c r="F820" s="9" t="s">
        <v>67</v>
      </c>
      <c r="G820" s="9" t="s">
        <v>58</v>
      </c>
      <c r="H820" t="str" cm="1">
        <f t="array" ref="H820">_xlfn.IFS(D820&gt;=250000,"高額",D820&gt;=150000,"中額",TRUE,"低額")</f>
        <v>中額</v>
      </c>
    </row>
    <row r="821" spans="2:8" x14ac:dyDescent="0.25">
      <c r="B821" s="9" t="s">
        <v>1688</v>
      </c>
      <c r="C821" s="9" t="s">
        <v>24</v>
      </c>
      <c r="D821" s="24">
        <v>43000</v>
      </c>
      <c r="E821" s="9" t="s">
        <v>2546</v>
      </c>
      <c r="F821" s="9" t="s">
        <v>65</v>
      </c>
      <c r="G821" s="9" t="s">
        <v>43</v>
      </c>
      <c r="H821" t="str" cm="1">
        <f t="array" ref="H821">_xlfn.IFS(D821&gt;=250000,"高額",D821&gt;=150000,"中額",TRUE,"低額")</f>
        <v>低額</v>
      </c>
    </row>
    <row r="822" spans="2:8" x14ac:dyDescent="0.25">
      <c r="B822" s="9" t="s">
        <v>1690</v>
      </c>
      <c r="C822" s="9" t="s">
        <v>18</v>
      </c>
      <c r="D822" s="24">
        <v>84000</v>
      </c>
      <c r="E822" s="9" t="s">
        <v>2546</v>
      </c>
      <c r="F822" s="9" t="s">
        <v>65</v>
      </c>
      <c r="G822" s="9" t="s">
        <v>61</v>
      </c>
      <c r="H822" t="str" cm="1">
        <f t="array" ref="H822">_xlfn.IFS(D822&gt;=250000,"高額",D822&gt;=150000,"中額",TRUE,"低額")</f>
        <v>低額</v>
      </c>
    </row>
    <row r="823" spans="2:8" x14ac:dyDescent="0.25">
      <c r="B823" s="9" t="s">
        <v>1691</v>
      </c>
      <c r="C823" s="9" t="s">
        <v>20</v>
      </c>
      <c r="D823" s="24">
        <v>54000</v>
      </c>
      <c r="E823" s="9" t="s">
        <v>2547</v>
      </c>
      <c r="F823" s="9" t="s">
        <v>67</v>
      </c>
      <c r="G823" s="9" t="s">
        <v>47</v>
      </c>
      <c r="H823" t="str" cm="1">
        <f t="array" ref="H823">_xlfn.IFS(D823&gt;=250000,"高額",D823&gt;=150000,"中額",TRUE,"低額")</f>
        <v>低額</v>
      </c>
    </row>
    <row r="824" spans="2:8" x14ac:dyDescent="0.25">
      <c r="B824" s="9" t="s">
        <v>1693</v>
      </c>
      <c r="C824" s="9" t="s">
        <v>22</v>
      </c>
      <c r="D824" s="24">
        <v>211000</v>
      </c>
      <c r="E824" s="9" t="s">
        <v>2548</v>
      </c>
      <c r="F824" s="9" t="s">
        <v>66</v>
      </c>
      <c r="G824" s="9" t="s">
        <v>45</v>
      </c>
      <c r="H824" t="str" cm="1">
        <f t="array" ref="H824">_xlfn.IFS(D824&gt;=250000,"高額",D824&gt;=150000,"中額",TRUE,"低額")</f>
        <v>中額</v>
      </c>
    </row>
    <row r="825" spans="2:8" x14ac:dyDescent="0.25">
      <c r="B825" s="9" t="s">
        <v>1695</v>
      </c>
      <c r="C825" s="9" t="s">
        <v>16</v>
      </c>
      <c r="D825" s="24">
        <v>56000</v>
      </c>
      <c r="E825" s="9" t="s">
        <v>2549</v>
      </c>
      <c r="F825" s="9" t="s">
        <v>66</v>
      </c>
      <c r="G825" s="9" t="s">
        <v>61</v>
      </c>
      <c r="H825" t="str" cm="1">
        <f t="array" ref="H825">_xlfn.IFS(D825&gt;=250000,"高額",D825&gt;=150000,"中額",TRUE,"低額")</f>
        <v>低額</v>
      </c>
    </row>
    <row r="826" spans="2:8" x14ac:dyDescent="0.25">
      <c r="B826" s="9" t="s">
        <v>1698</v>
      </c>
      <c r="C826" s="9" t="s">
        <v>12</v>
      </c>
      <c r="D826" s="24">
        <v>243000</v>
      </c>
      <c r="E826" s="9" t="s">
        <v>2549</v>
      </c>
      <c r="F826" s="9" t="s">
        <v>66</v>
      </c>
      <c r="G826" s="9" t="s">
        <v>43</v>
      </c>
      <c r="H826" t="str" cm="1">
        <f t="array" ref="H826">_xlfn.IFS(D826&gt;=250000,"高額",D826&gt;=150000,"中額",TRUE,"低額")</f>
        <v>中額</v>
      </c>
    </row>
    <row r="827" spans="2:8" x14ac:dyDescent="0.25">
      <c r="B827" s="9" t="s">
        <v>1699</v>
      </c>
      <c r="C827" s="9" t="s">
        <v>14</v>
      </c>
      <c r="D827" s="24">
        <v>90000</v>
      </c>
      <c r="E827" s="9" t="s">
        <v>2550</v>
      </c>
      <c r="F827" s="9" t="s">
        <v>64</v>
      </c>
      <c r="G827" s="9" t="s">
        <v>49</v>
      </c>
      <c r="H827" t="str" cm="1">
        <f t="array" ref="H827">_xlfn.IFS(D827&gt;=250000,"高額",D827&gt;=150000,"中額",TRUE,"低額")</f>
        <v>低額</v>
      </c>
    </row>
    <row r="828" spans="2:8" x14ac:dyDescent="0.25">
      <c r="B828" s="9" t="s">
        <v>1701</v>
      </c>
      <c r="C828" s="9" t="s">
        <v>14</v>
      </c>
      <c r="D828" s="24">
        <v>119000</v>
      </c>
      <c r="E828" s="9" t="s">
        <v>2550</v>
      </c>
      <c r="F828" s="9" t="s">
        <v>65</v>
      </c>
      <c r="G828" s="9" t="s">
        <v>58</v>
      </c>
      <c r="H828" t="str" cm="1">
        <f t="array" ref="H828">_xlfn.IFS(D828&gt;=250000,"高額",D828&gt;=150000,"中額",TRUE,"低額")</f>
        <v>低額</v>
      </c>
    </row>
    <row r="829" spans="2:8" x14ac:dyDescent="0.25">
      <c r="B829" s="9" t="s">
        <v>1702</v>
      </c>
      <c r="C829" s="9" t="s">
        <v>12</v>
      </c>
      <c r="D829" s="24">
        <v>242000</v>
      </c>
      <c r="E829" s="9" t="s">
        <v>2551</v>
      </c>
      <c r="F829" s="9" t="s">
        <v>62</v>
      </c>
      <c r="G829" s="9" t="s">
        <v>43</v>
      </c>
      <c r="H829" t="str" cm="1">
        <f t="array" ref="H829">_xlfn.IFS(D829&gt;=250000,"高額",D829&gt;=150000,"中額",TRUE,"低額")</f>
        <v>中額</v>
      </c>
    </row>
    <row r="830" spans="2:8" x14ac:dyDescent="0.25">
      <c r="B830" s="9" t="s">
        <v>1704</v>
      </c>
      <c r="C830" s="9" t="s">
        <v>18</v>
      </c>
      <c r="D830" s="24">
        <v>115000</v>
      </c>
      <c r="E830" s="9" t="s">
        <v>2552</v>
      </c>
      <c r="F830" s="9" t="s">
        <v>67</v>
      </c>
      <c r="G830" s="9" t="s">
        <v>49</v>
      </c>
      <c r="H830" t="str" cm="1">
        <f t="array" ref="H830">_xlfn.IFS(D830&gt;=250000,"高額",D830&gt;=150000,"中額",TRUE,"低額")</f>
        <v>低額</v>
      </c>
    </row>
    <row r="831" spans="2:8" x14ac:dyDescent="0.25">
      <c r="B831" s="9" t="s">
        <v>1706</v>
      </c>
      <c r="C831" s="9" t="s">
        <v>16</v>
      </c>
      <c r="D831" s="24">
        <v>64000</v>
      </c>
      <c r="E831" s="9" t="s">
        <v>2553</v>
      </c>
      <c r="F831" s="9" t="s">
        <v>66</v>
      </c>
      <c r="G831" s="9" t="s">
        <v>43</v>
      </c>
      <c r="H831" t="str" cm="1">
        <f t="array" ref="H831">_xlfn.IFS(D831&gt;=250000,"高額",D831&gt;=150000,"中額",TRUE,"低額")</f>
        <v>低額</v>
      </c>
    </row>
    <row r="832" spans="2:8" x14ac:dyDescent="0.25">
      <c r="B832" s="9" t="s">
        <v>1708</v>
      </c>
      <c r="C832" s="9" t="s">
        <v>22</v>
      </c>
      <c r="D832" s="24">
        <v>247000</v>
      </c>
      <c r="E832" s="9" t="s">
        <v>2554</v>
      </c>
      <c r="F832" s="9" t="s">
        <v>66</v>
      </c>
      <c r="G832" s="9" t="s">
        <v>61</v>
      </c>
      <c r="H832" t="str" cm="1">
        <f t="array" ref="H832">_xlfn.IFS(D832&gt;=250000,"高額",D832&gt;=150000,"中額",TRUE,"低額")</f>
        <v>中額</v>
      </c>
    </row>
    <row r="833" spans="2:8" x14ac:dyDescent="0.25">
      <c r="B833" s="9" t="s">
        <v>1710</v>
      </c>
      <c r="C833" s="9" t="s">
        <v>14</v>
      </c>
      <c r="D833" s="24">
        <v>221000</v>
      </c>
      <c r="E833" s="9" t="s">
        <v>2555</v>
      </c>
      <c r="F833" s="9" t="s">
        <v>62</v>
      </c>
      <c r="G833" s="9" t="s">
        <v>49</v>
      </c>
      <c r="H833" t="str" cm="1">
        <f t="array" ref="H833">_xlfn.IFS(D833&gt;=250000,"高額",D833&gt;=150000,"中額",TRUE,"低額")</f>
        <v>中額</v>
      </c>
    </row>
    <row r="834" spans="2:8" x14ac:dyDescent="0.25">
      <c r="B834" s="9" t="s">
        <v>1712</v>
      </c>
      <c r="C834" s="9" t="s">
        <v>14</v>
      </c>
      <c r="D834" s="24">
        <v>161000</v>
      </c>
      <c r="E834" s="9" t="s">
        <v>2556</v>
      </c>
      <c r="F834" s="9" t="s">
        <v>62</v>
      </c>
      <c r="G834" s="9" t="s">
        <v>47</v>
      </c>
      <c r="H834" t="str" cm="1">
        <f t="array" ref="H834">_xlfn.IFS(D834&gt;=250000,"高額",D834&gt;=150000,"中額",TRUE,"低額")</f>
        <v>中額</v>
      </c>
    </row>
    <row r="835" spans="2:8" x14ac:dyDescent="0.25">
      <c r="B835" s="9" t="s">
        <v>1714</v>
      </c>
      <c r="C835" s="9" t="s">
        <v>22</v>
      </c>
      <c r="D835" s="24">
        <v>133000</v>
      </c>
      <c r="E835" s="9" t="s">
        <v>2557</v>
      </c>
      <c r="F835" s="9" t="s">
        <v>63</v>
      </c>
      <c r="G835" s="9" t="s">
        <v>61</v>
      </c>
      <c r="H835" t="str" cm="1">
        <f t="array" ref="H835">_xlfn.IFS(D835&gt;=250000,"高額",D835&gt;=150000,"中額",TRUE,"低額")</f>
        <v>低額</v>
      </c>
    </row>
    <row r="836" spans="2:8" x14ac:dyDescent="0.25">
      <c r="B836" s="9" t="s">
        <v>1716</v>
      </c>
      <c r="C836" s="9" t="s">
        <v>14</v>
      </c>
      <c r="D836" s="24">
        <v>155000</v>
      </c>
      <c r="E836" s="9" t="s">
        <v>2557</v>
      </c>
      <c r="F836" s="9" t="s">
        <v>64</v>
      </c>
      <c r="G836" s="9" t="s">
        <v>47</v>
      </c>
      <c r="H836" t="str" cm="1">
        <f t="array" ref="H836">_xlfn.IFS(D836&gt;=250000,"高額",D836&gt;=150000,"中額",TRUE,"低額")</f>
        <v>中額</v>
      </c>
    </row>
    <row r="837" spans="2:8" x14ac:dyDescent="0.25">
      <c r="B837" s="9" t="s">
        <v>1717</v>
      </c>
      <c r="C837" s="9" t="s">
        <v>16</v>
      </c>
      <c r="D837" s="24">
        <v>225000</v>
      </c>
      <c r="E837" s="9" t="s">
        <v>2558</v>
      </c>
      <c r="F837" s="9" t="s">
        <v>67</v>
      </c>
      <c r="G837" s="9" t="s">
        <v>58</v>
      </c>
      <c r="H837" t="str" cm="1">
        <f t="array" ref="H837">_xlfn.IFS(D837&gt;=250000,"高額",D837&gt;=150000,"中額",TRUE,"低額")</f>
        <v>中額</v>
      </c>
    </row>
    <row r="838" spans="2:8" x14ac:dyDescent="0.25">
      <c r="B838" s="9" t="s">
        <v>1719</v>
      </c>
      <c r="C838" s="9" t="s">
        <v>18</v>
      </c>
      <c r="D838" s="24">
        <v>159000</v>
      </c>
      <c r="E838" s="9" t="s">
        <v>2558</v>
      </c>
      <c r="F838" s="9" t="s">
        <v>62</v>
      </c>
      <c r="G838" s="9" t="s">
        <v>58</v>
      </c>
      <c r="H838" t="str" cm="1">
        <f t="array" ref="H838">_xlfn.IFS(D838&gt;=250000,"高額",D838&gt;=150000,"中額",TRUE,"低額")</f>
        <v>中額</v>
      </c>
    </row>
    <row r="839" spans="2:8" x14ac:dyDescent="0.25">
      <c r="B839" s="9" t="s">
        <v>1720</v>
      </c>
      <c r="C839" s="9" t="s">
        <v>16</v>
      </c>
      <c r="D839" s="24">
        <v>295000</v>
      </c>
      <c r="E839" s="9" t="s">
        <v>2559</v>
      </c>
      <c r="F839" s="9" t="s">
        <v>67</v>
      </c>
      <c r="G839" s="9" t="s">
        <v>47</v>
      </c>
      <c r="H839" t="str" cm="1">
        <f t="array" ref="H839">_xlfn.IFS(D839&gt;=250000,"高額",D839&gt;=150000,"中額",TRUE,"低額")</f>
        <v>高額</v>
      </c>
    </row>
    <row r="840" spans="2:8" x14ac:dyDescent="0.25">
      <c r="B840" s="9" t="s">
        <v>1722</v>
      </c>
      <c r="C840" s="9" t="s">
        <v>14</v>
      </c>
      <c r="D840" s="24">
        <v>49000</v>
      </c>
      <c r="E840" s="9" t="s">
        <v>2560</v>
      </c>
      <c r="F840" s="9" t="s">
        <v>67</v>
      </c>
      <c r="G840" s="9" t="s">
        <v>55</v>
      </c>
      <c r="H840" t="str" cm="1">
        <f t="array" ref="H840">_xlfn.IFS(D840&gt;=250000,"高額",D840&gt;=150000,"中額",TRUE,"低額")</f>
        <v>低額</v>
      </c>
    </row>
    <row r="841" spans="2:8" x14ac:dyDescent="0.25">
      <c r="B841" s="9" t="s">
        <v>1725</v>
      </c>
      <c r="C841" s="9" t="s">
        <v>24</v>
      </c>
      <c r="D841" s="24">
        <v>217000</v>
      </c>
      <c r="E841" s="9" t="s">
        <v>2560</v>
      </c>
      <c r="F841" s="9" t="s">
        <v>65</v>
      </c>
      <c r="G841" s="9" t="s">
        <v>61</v>
      </c>
      <c r="H841" t="str" cm="1">
        <f t="array" ref="H841">_xlfn.IFS(D841&gt;=250000,"高額",D841&gt;=150000,"中額",TRUE,"低額")</f>
        <v>中額</v>
      </c>
    </row>
    <row r="842" spans="2:8" x14ac:dyDescent="0.25">
      <c r="B842" s="9" t="s">
        <v>1726</v>
      </c>
      <c r="C842" s="9" t="s">
        <v>16</v>
      </c>
      <c r="D842" s="24">
        <v>92000</v>
      </c>
      <c r="E842" s="9" t="s">
        <v>2560</v>
      </c>
      <c r="F842" s="9" t="s">
        <v>64</v>
      </c>
      <c r="G842" s="9" t="s">
        <v>58</v>
      </c>
      <c r="H842" t="str" cm="1">
        <f t="array" ref="H842">_xlfn.IFS(D842&gt;=250000,"高額",D842&gt;=150000,"中額",TRUE,"低額")</f>
        <v>低額</v>
      </c>
    </row>
    <row r="843" spans="2:8" x14ac:dyDescent="0.25">
      <c r="B843" s="9" t="s">
        <v>1727</v>
      </c>
      <c r="C843" s="9" t="s">
        <v>12</v>
      </c>
      <c r="D843" s="24">
        <v>118000</v>
      </c>
      <c r="E843" s="9" t="s">
        <v>2561</v>
      </c>
      <c r="F843" s="9" t="s">
        <v>63</v>
      </c>
      <c r="G843" s="9" t="s">
        <v>49</v>
      </c>
      <c r="H843" t="str" cm="1">
        <f t="array" ref="H843">_xlfn.IFS(D843&gt;=250000,"高額",D843&gt;=150000,"中額",TRUE,"低額")</f>
        <v>低額</v>
      </c>
    </row>
    <row r="844" spans="2:8" x14ac:dyDescent="0.25">
      <c r="B844" s="9" t="s">
        <v>1729</v>
      </c>
      <c r="C844" s="9" t="s">
        <v>18</v>
      </c>
      <c r="D844" s="24">
        <v>36000</v>
      </c>
      <c r="E844" s="9" t="s">
        <v>2562</v>
      </c>
      <c r="F844" s="9" t="s">
        <v>63</v>
      </c>
      <c r="G844" s="9" t="s">
        <v>55</v>
      </c>
      <c r="H844" t="str" cm="1">
        <f t="array" ref="H844">_xlfn.IFS(D844&gt;=250000,"高額",D844&gt;=150000,"中額",TRUE,"低額")</f>
        <v>低額</v>
      </c>
    </row>
    <row r="845" spans="2:8" x14ac:dyDescent="0.25">
      <c r="B845" s="9" t="s">
        <v>1731</v>
      </c>
      <c r="C845" s="9" t="s">
        <v>14</v>
      </c>
      <c r="D845" s="24">
        <v>92000</v>
      </c>
      <c r="E845" s="9" t="s">
        <v>2563</v>
      </c>
      <c r="F845" s="9" t="s">
        <v>63</v>
      </c>
      <c r="G845" s="9" t="s">
        <v>53</v>
      </c>
      <c r="H845" t="str" cm="1">
        <f t="array" ref="H845">_xlfn.IFS(D845&gt;=250000,"高額",D845&gt;=150000,"中額",TRUE,"低額")</f>
        <v>低額</v>
      </c>
    </row>
    <row r="846" spans="2:8" x14ac:dyDescent="0.25">
      <c r="B846" s="9" t="s">
        <v>1733</v>
      </c>
      <c r="C846" s="9" t="s">
        <v>16</v>
      </c>
      <c r="D846" s="24">
        <v>148000</v>
      </c>
      <c r="E846" s="9" t="s">
        <v>2564</v>
      </c>
      <c r="F846" s="9" t="s">
        <v>67</v>
      </c>
      <c r="G846" s="9" t="s">
        <v>55</v>
      </c>
      <c r="H846" t="str" cm="1">
        <f t="array" ref="H846">_xlfn.IFS(D846&gt;=250000,"高額",D846&gt;=150000,"中額",TRUE,"低額")</f>
        <v>低額</v>
      </c>
    </row>
    <row r="847" spans="2:8" x14ac:dyDescent="0.25">
      <c r="B847" s="9" t="s">
        <v>1735</v>
      </c>
      <c r="C847" s="9" t="s">
        <v>12</v>
      </c>
      <c r="D847" s="24">
        <v>199000</v>
      </c>
      <c r="E847" s="9" t="s">
        <v>2564</v>
      </c>
      <c r="F847" s="9" t="s">
        <v>66</v>
      </c>
      <c r="G847" s="9" t="s">
        <v>61</v>
      </c>
      <c r="H847" t="str" cm="1">
        <f t="array" ref="H847">_xlfn.IFS(D847&gt;=250000,"高額",D847&gt;=150000,"中額",TRUE,"低額")</f>
        <v>中額</v>
      </c>
    </row>
    <row r="848" spans="2:8" x14ac:dyDescent="0.25">
      <c r="B848" s="9" t="s">
        <v>1736</v>
      </c>
      <c r="C848" s="9" t="s">
        <v>22</v>
      </c>
      <c r="D848" s="24">
        <v>101000</v>
      </c>
      <c r="E848" s="9" t="s">
        <v>2565</v>
      </c>
      <c r="F848" s="9" t="s">
        <v>62</v>
      </c>
      <c r="G848" s="9" t="s">
        <v>58</v>
      </c>
      <c r="H848" t="str" cm="1">
        <f t="array" ref="H848">_xlfn.IFS(D848&gt;=250000,"高額",D848&gt;=150000,"中額",TRUE,"低額")</f>
        <v>低額</v>
      </c>
    </row>
    <row r="849" spans="2:8" x14ac:dyDescent="0.25">
      <c r="B849" s="9" t="s">
        <v>1738</v>
      </c>
      <c r="C849" s="9" t="s">
        <v>16</v>
      </c>
      <c r="D849" s="24">
        <v>55000</v>
      </c>
      <c r="E849" s="9" t="s">
        <v>2566</v>
      </c>
      <c r="F849" s="9" t="s">
        <v>65</v>
      </c>
      <c r="G849" s="9" t="s">
        <v>61</v>
      </c>
      <c r="H849" t="str" cm="1">
        <f t="array" ref="H849">_xlfn.IFS(D849&gt;=250000,"高額",D849&gt;=150000,"中額",TRUE,"低額")</f>
        <v>低額</v>
      </c>
    </row>
    <row r="850" spans="2:8" x14ac:dyDescent="0.25">
      <c r="B850" s="9" t="s">
        <v>1740</v>
      </c>
      <c r="C850" s="9" t="s">
        <v>14</v>
      </c>
      <c r="D850" s="24">
        <v>273000</v>
      </c>
      <c r="E850" s="9" t="s">
        <v>2567</v>
      </c>
      <c r="F850" s="9" t="s">
        <v>63</v>
      </c>
      <c r="G850" s="9" t="s">
        <v>58</v>
      </c>
      <c r="H850" t="str" cm="1">
        <f t="array" ref="H850">_xlfn.IFS(D850&gt;=250000,"高額",D850&gt;=150000,"中額",TRUE,"低額")</f>
        <v>高額</v>
      </c>
    </row>
    <row r="851" spans="2:8" x14ac:dyDescent="0.25">
      <c r="B851" s="9" t="s">
        <v>1742</v>
      </c>
      <c r="C851" s="9" t="s">
        <v>18</v>
      </c>
      <c r="D851" s="24">
        <v>57000</v>
      </c>
      <c r="E851" s="9" t="s">
        <v>2568</v>
      </c>
      <c r="F851" s="9" t="s">
        <v>63</v>
      </c>
      <c r="G851" s="9" t="s">
        <v>61</v>
      </c>
      <c r="H851" t="str" cm="1">
        <f t="array" ref="H851">_xlfn.IFS(D851&gt;=250000,"高額",D851&gt;=150000,"中額",TRUE,"低額")</f>
        <v>低額</v>
      </c>
    </row>
    <row r="852" spans="2:8" x14ac:dyDescent="0.25">
      <c r="B852" s="9" t="s">
        <v>1744</v>
      </c>
      <c r="C852" s="9" t="s">
        <v>24</v>
      </c>
      <c r="D852" s="24">
        <v>52000</v>
      </c>
      <c r="E852" s="9" t="s">
        <v>2569</v>
      </c>
      <c r="F852" s="9" t="s">
        <v>65</v>
      </c>
      <c r="G852" s="9" t="s">
        <v>43</v>
      </c>
      <c r="H852" t="str" cm="1">
        <f t="array" ref="H852">_xlfn.IFS(D852&gt;=250000,"高額",D852&gt;=150000,"中額",TRUE,"低額")</f>
        <v>低額</v>
      </c>
    </row>
    <row r="853" spans="2:8" x14ac:dyDescent="0.25">
      <c r="B853" s="9" t="s">
        <v>1746</v>
      </c>
      <c r="C853" s="9" t="s">
        <v>12</v>
      </c>
      <c r="D853" s="24">
        <v>204000</v>
      </c>
      <c r="E853" s="9" t="s">
        <v>2570</v>
      </c>
      <c r="F853" s="9" t="s">
        <v>67</v>
      </c>
      <c r="G853" s="9" t="s">
        <v>47</v>
      </c>
      <c r="H853" t="str" cm="1">
        <f t="array" ref="H853">_xlfn.IFS(D853&gt;=250000,"高額",D853&gt;=150000,"中額",TRUE,"低額")</f>
        <v>中額</v>
      </c>
    </row>
    <row r="854" spans="2:8" x14ac:dyDescent="0.25">
      <c r="B854" s="9" t="s">
        <v>1748</v>
      </c>
      <c r="C854" s="9" t="s">
        <v>20</v>
      </c>
      <c r="D854" s="24">
        <v>281000</v>
      </c>
      <c r="E854" s="9" t="s">
        <v>2571</v>
      </c>
      <c r="F854" s="9" t="s">
        <v>64</v>
      </c>
      <c r="G854" s="9" t="s">
        <v>49</v>
      </c>
      <c r="H854" t="str" cm="1">
        <f t="array" ref="H854">_xlfn.IFS(D854&gt;=250000,"高額",D854&gt;=150000,"中額",TRUE,"低額")</f>
        <v>高額</v>
      </c>
    </row>
    <row r="855" spans="2:8" x14ac:dyDescent="0.25">
      <c r="B855" s="9" t="s">
        <v>1750</v>
      </c>
      <c r="C855" s="9" t="s">
        <v>20</v>
      </c>
      <c r="D855" s="24">
        <v>131000</v>
      </c>
      <c r="E855" s="9" t="s">
        <v>2571</v>
      </c>
      <c r="F855" s="9" t="s">
        <v>67</v>
      </c>
      <c r="G855" s="9" t="s">
        <v>53</v>
      </c>
      <c r="H855" t="str" cm="1">
        <f t="array" ref="H855">_xlfn.IFS(D855&gt;=250000,"高額",D855&gt;=150000,"中額",TRUE,"低額")</f>
        <v>低額</v>
      </c>
    </row>
    <row r="856" spans="2:8" x14ac:dyDescent="0.25">
      <c r="B856" s="9" t="s">
        <v>1751</v>
      </c>
      <c r="C856" s="9" t="s">
        <v>14</v>
      </c>
      <c r="D856" s="24">
        <v>260000</v>
      </c>
      <c r="E856" s="9" t="s">
        <v>2571</v>
      </c>
      <c r="F856" s="9" t="s">
        <v>62</v>
      </c>
      <c r="G856" s="9" t="s">
        <v>43</v>
      </c>
      <c r="H856" t="str" cm="1">
        <f t="array" ref="H856">_xlfn.IFS(D856&gt;=250000,"高額",D856&gt;=150000,"中額",TRUE,"低額")</f>
        <v>高額</v>
      </c>
    </row>
    <row r="857" spans="2:8" x14ac:dyDescent="0.25">
      <c r="B857" s="9" t="s">
        <v>1752</v>
      </c>
      <c r="C857" s="9" t="s">
        <v>16</v>
      </c>
      <c r="D857" s="24">
        <v>162000</v>
      </c>
      <c r="E857" s="9" t="s">
        <v>2572</v>
      </c>
      <c r="F857" s="9" t="s">
        <v>64</v>
      </c>
      <c r="G857" s="9" t="s">
        <v>53</v>
      </c>
      <c r="H857" t="str" cm="1">
        <f t="array" ref="H857">_xlfn.IFS(D857&gt;=250000,"高額",D857&gt;=150000,"中額",TRUE,"低額")</f>
        <v>中額</v>
      </c>
    </row>
    <row r="858" spans="2:8" x14ac:dyDescent="0.25">
      <c r="B858" s="9" t="s">
        <v>1754</v>
      </c>
      <c r="C858" s="9" t="s">
        <v>22</v>
      </c>
      <c r="D858" s="24">
        <v>243000</v>
      </c>
      <c r="E858" s="9" t="s">
        <v>2572</v>
      </c>
      <c r="F858" s="9" t="s">
        <v>62</v>
      </c>
      <c r="G858" s="9" t="s">
        <v>47</v>
      </c>
      <c r="H858" t="str" cm="1">
        <f t="array" ref="H858">_xlfn.IFS(D858&gt;=250000,"高額",D858&gt;=150000,"中額",TRUE,"低額")</f>
        <v>中額</v>
      </c>
    </row>
    <row r="859" spans="2:8" x14ac:dyDescent="0.25">
      <c r="B859" s="9" t="s">
        <v>1755</v>
      </c>
      <c r="C859" s="9" t="s">
        <v>16</v>
      </c>
      <c r="D859" s="24">
        <v>219000</v>
      </c>
      <c r="E859" s="9" t="s">
        <v>2573</v>
      </c>
      <c r="F859" s="9" t="s">
        <v>63</v>
      </c>
      <c r="G859" s="9" t="s">
        <v>51</v>
      </c>
      <c r="H859" t="str" cm="1">
        <f t="array" ref="H859">_xlfn.IFS(D859&gt;=250000,"高額",D859&gt;=150000,"中額",TRUE,"低額")</f>
        <v>中額</v>
      </c>
    </row>
    <row r="860" spans="2:8" x14ac:dyDescent="0.25">
      <c r="B860" s="9" t="s">
        <v>1757</v>
      </c>
      <c r="C860" s="9" t="s">
        <v>16</v>
      </c>
      <c r="D860" s="24">
        <v>99000</v>
      </c>
      <c r="E860" s="9" t="s">
        <v>2574</v>
      </c>
      <c r="F860" s="9" t="s">
        <v>65</v>
      </c>
      <c r="G860" s="9" t="s">
        <v>43</v>
      </c>
      <c r="H860" t="str" cm="1">
        <f t="array" ref="H860">_xlfn.IFS(D860&gt;=250000,"高額",D860&gt;=150000,"中額",TRUE,"低額")</f>
        <v>低額</v>
      </c>
    </row>
    <row r="861" spans="2:8" x14ac:dyDescent="0.25">
      <c r="B861" s="9" t="s">
        <v>1759</v>
      </c>
      <c r="C861" s="9" t="s">
        <v>16</v>
      </c>
      <c r="D861" s="24">
        <v>299000</v>
      </c>
      <c r="E861" s="9" t="s">
        <v>2574</v>
      </c>
      <c r="F861" s="9" t="s">
        <v>67</v>
      </c>
      <c r="G861" s="9" t="s">
        <v>58</v>
      </c>
      <c r="H861" t="str" cm="1">
        <f t="array" ref="H861">_xlfn.IFS(D861&gt;=250000,"高額",D861&gt;=150000,"中額",TRUE,"低額")</f>
        <v>高額</v>
      </c>
    </row>
    <row r="862" spans="2:8" x14ac:dyDescent="0.25">
      <c r="B862" s="9" t="s">
        <v>1760</v>
      </c>
      <c r="C862" s="9" t="s">
        <v>16</v>
      </c>
      <c r="D862" s="24">
        <v>292000</v>
      </c>
      <c r="E862" s="9" t="s">
        <v>2574</v>
      </c>
      <c r="F862" s="9" t="s">
        <v>67</v>
      </c>
      <c r="G862" s="9" t="s">
        <v>61</v>
      </c>
      <c r="H862" t="str" cm="1">
        <f t="array" ref="H862">_xlfn.IFS(D862&gt;=250000,"高額",D862&gt;=150000,"中額",TRUE,"低額")</f>
        <v>高額</v>
      </c>
    </row>
    <row r="863" spans="2:8" x14ac:dyDescent="0.25">
      <c r="B863" s="9" t="s">
        <v>1762</v>
      </c>
      <c r="C863" s="9" t="s">
        <v>14</v>
      </c>
      <c r="D863" s="24">
        <v>163000</v>
      </c>
      <c r="E863" s="9" t="s">
        <v>2575</v>
      </c>
      <c r="F863" s="9" t="s">
        <v>64</v>
      </c>
      <c r="G863" s="9" t="s">
        <v>49</v>
      </c>
      <c r="H863" t="str" cm="1">
        <f t="array" ref="H863">_xlfn.IFS(D863&gt;=250000,"高額",D863&gt;=150000,"中額",TRUE,"低額")</f>
        <v>中額</v>
      </c>
    </row>
    <row r="864" spans="2:8" x14ac:dyDescent="0.25">
      <c r="B864" s="9" t="s">
        <v>1764</v>
      </c>
      <c r="C864" s="9" t="s">
        <v>18</v>
      </c>
      <c r="D864" s="24">
        <v>240000</v>
      </c>
      <c r="E864" s="9" t="s">
        <v>2576</v>
      </c>
      <c r="F864" s="9" t="s">
        <v>62</v>
      </c>
      <c r="G864" s="9" t="s">
        <v>51</v>
      </c>
      <c r="H864" t="str" cm="1">
        <f t="array" ref="H864">_xlfn.IFS(D864&gt;=250000,"高額",D864&gt;=150000,"中額",TRUE,"低額")</f>
        <v>中額</v>
      </c>
    </row>
    <row r="865" spans="2:8" x14ac:dyDescent="0.25">
      <c r="B865" s="9" t="s">
        <v>1766</v>
      </c>
      <c r="C865" s="9" t="s">
        <v>18</v>
      </c>
      <c r="D865" s="24">
        <v>232000</v>
      </c>
      <c r="E865" s="9" t="s">
        <v>2577</v>
      </c>
      <c r="F865" s="9" t="s">
        <v>66</v>
      </c>
      <c r="G865" s="9" t="s">
        <v>47</v>
      </c>
      <c r="H865" t="str" cm="1">
        <f t="array" ref="H865">_xlfn.IFS(D865&gt;=250000,"高額",D865&gt;=150000,"中額",TRUE,"低額")</f>
        <v>中額</v>
      </c>
    </row>
    <row r="866" spans="2:8" x14ac:dyDescent="0.25">
      <c r="B866" s="9" t="s">
        <v>1768</v>
      </c>
      <c r="C866" s="9" t="s">
        <v>24</v>
      </c>
      <c r="D866" s="24">
        <v>187000</v>
      </c>
      <c r="E866" s="9" t="s">
        <v>2578</v>
      </c>
      <c r="F866" s="9" t="s">
        <v>66</v>
      </c>
      <c r="G866" s="9" t="s">
        <v>51</v>
      </c>
      <c r="H866" t="str" cm="1">
        <f t="array" ref="H866">_xlfn.IFS(D866&gt;=250000,"高額",D866&gt;=150000,"中額",TRUE,"低額")</f>
        <v>中額</v>
      </c>
    </row>
    <row r="867" spans="2:8" x14ac:dyDescent="0.25">
      <c r="B867" s="9" t="s">
        <v>1770</v>
      </c>
      <c r="C867" s="9" t="s">
        <v>20</v>
      </c>
      <c r="D867" s="24">
        <v>40000</v>
      </c>
      <c r="E867" s="9" t="s">
        <v>2578</v>
      </c>
      <c r="F867" s="9" t="s">
        <v>65</v>
      </c>
      <c r="G867" s="9" t="s">
        <v>53</v>
      </c>
      <c r="H867" t="str" cm="1">
        <f t="array" ref="H867">_xlfn.IFS(D867&gt;=250000,"高額",D867&gt;=150000,"中額",TRUE,"低額")</f>
        <v>低額</v>
      </c>
    </row>
    <row r="868" spans="2:8" x14ac:dyDescent="0.25">
      <c r="B868" s="9" t="s">
        <v>1771</v>
      </c>
      <c r="C868" s="9" t="s">
        <v>20</v>
      </c>
      <c r="D868" s="24">
        <v>57000</v>
      </c>
      <c r="E868" s="9" t="s">
        <v>2579</v>
      </c>
      <c r="F868" s="9" t="s">
        <v>63</v>
      </c>
      <c r="G868" s="9" t="s">
        <v>47</v>
      </c>
      <c r="H868" t="str" cm="1">
        <f t="array" ref="H868">_xlfn.IFS(D868&gt;=250000,"高額",D868&gt;=150000,"中額",TRUE,"低額")</f>
        <v>低額</v>
      </c>
    </row>
    <row r="869" spans="2:8" x14ac:dyDescent="0.25">
      <c r="B869" s="9" t="s">
        <v>1773</v>
      </c>
      <c r="C869" s="9" t="s">
        <v>24</v>
      </c>
      <c r="D869" s="24">
        <v>63000</v>
      </c>
      <c r="E869" s="9" t="s">
        <v>2579</v>
      </c>
      <c r="F869" s="9" t="s">
        <v>63</v>
      </c>
      <c r="G869" s="9" t="s">
        <v>61</v>
      </c>
      <c r="H869" t="str" cm="1">
        <f t="array" ref="H869">_xlfn.IFS(D869&gt;=250000,"高額",D869&gt;=150000,"中額",TRUE,"低額")</f>
        <v>低額</v>
      </c>
    </row>
    <row r="870" spans="2:8" x14ac:dyDescent="0.25">
      <c r="B870" s="9" t="s">
        <v>1774</v>
      </c>
      <c r="C870" s="9" t="s">
        <v>16</v>
      </c>
      <c r="D870" s="24">
        <v>212000</v>
      </c>
      <c r="E870" s="9" t="s">
        <v>2580</v>
      </c>
      <c r="F870" s="9" t="s">
        <v>67</v>
      </c>
      <c r="G870" s="9" t="s">
        <v>51</v>
      </c>
      <c r="H870" t="str" cm="1">
        <f t="array" ref="H870">_xlfn.IFS(D870&gt;=250000,"高額",D870&gt;=150000,"中額",TRUE,"低額")</f>
        <v>中額</v>
      </c>
    </row>
    <row r="871" spans="2:8" x14ac:dyDescent="0.25">
      <c r="B871" s="9" t="s">
        <v>1776</v>
      </c>
      <c r="C871" s="9" t="s">
        <v>14</v>
      </c>
      <c r="D871" s="24">
        <v>37000</v>
      </c>
      <c r="E871" s="9" t="s">
        <v>2581</v>
      </c>
      <c r="F871" s="9" t="s">
        <v>64</v>
      </c>
      <c r="G871" s="9" t="s">
        <v>58</v>
      </c>
      <c r="H871" t="str" cm="1">
        <f t="array" ref="H871">_xlfn.IFS(D871&gt;=250000,"高額",D871&gt;=150000,"中額",TRUE,"低額")</f>
        <v>低額</v>
      </c>
    </row>
    <row r="872" spans="2:8" x14ac:dyDescent="0.25">
      <c r="B872" s="9" t="s">
        <v>1778</v>
      </c>
      <c r="C872" s="9" t="s">
        <v>18</v>
      </c>
      <c r="D872" s="24">
        <v>53000</v>
      </c>
      <c r="E872" s="9" t="s">
        <v>2582</v>
      </c>
      <c r="F872" s="9" t="s">
        <v>64</v>
      </c>
      <c r="G872" s="9" t="s">
        <v>49</v>
      </c>
      <c r="H872" t="str" cm="1">
        <f t="array" ref="H872">_xlfn.IFS(D872&gt;=250000,"高額",D872&gt;=150000,"中額",TRUE,"低額")</f>
        <v>低額</v>
      </c>
    </row>
    <row r="873" spans="2:8" x14ac:dyDescent="0.25">
      <c r="B873" s="9" t="s">
        <v>1780</v>
      </c>
      <c r="C873" s="9" t="s">
        <v>20</v>
      </c>
      <c r="D873" s="24">
        <v>32000</v>
      </c>
      <c r="E873" s="9" t="s">
        <v>2582</v>
      </c>
      <c r="F873" s="9" t="s">
        <v>63</v>
      </c>
      <c r="G873" s="9" t="s">
        <v>47</v>
      </c>
      <c r="H873" t="str" cm="1">
        <f t="array" ref="H873">_xlfn.IFS(D873&gt;=250000,"高額",D873&gt;=150000,"中額",TRUE,"低額")</f>
        <v>低額</v>
      </c>
    </row>
    <row r="874" spans="2:8" x14ac:dyDescent="0.25">
      <c r="B874" s="9" t="s">
        <v>1781</v>
      </c>
      <c r="C874" s="9" t="s">
        <v>20</v>
      </c>
      <c r="D874" s="24">
        <v>109000</v>
      </c>
      <c r="E874" s="9" t="s">
        <v>2583</v>
      </c>
      <c r="F874" s="9" t="s">
        <v>67</v>
      </c>
      <c r="G874" s="9" t="s">
        <v>58</v>
      </c>
      <c r="H874" t="str" cm="1">
        <f t="array" ref="H874">_xlfn.IFS(D874&gt;=250000,"高額",D874&gt;=150000,"中額",TRUE,"低額")</f>
        <v>低額</v>
      </c>
    </row>
    <row r="875" spans="2:8" x14ac:dyDescent="0.25">
      <c r="B875" s="9" t="s">
        <v>1783</v>
      </c>
      <c r="C875" s="9" t="s">
        <v>22</v>
      </c>
      <c r="D875" s="24">
        <v>292000</v>
      </c>
      <c r="E875" s="9" t="s">
        <v>2583</v>
      </c>
      <c r="F875" s="9" t="s">
        <v>65</v>
      </c>
      <c r="G875" s="9" t="s">
        <v>51</v>
      </c>
      <c r="H875" t="str" cm="1">
        <f t="array" ref="H875">_xlfn.IFS(D875&gt;=250000,"高額",D875&gt;=150000,"中額",TRUE,"低額")</f>
        <v>高額</v>
      </c>
    </row>
    <row r="876" spans="2:8" x14ac:dyDescent="0.25">
      <c r="B876" s="9" t="s">
        <v>1784</v>
      </c>
      <c r="C876" s="9" t="s">
        <v>22</v>
      </c>
      <c r="D876" s="24">
        <v>202000</v>
      </c>
      <c r="E876" s="9" t="s">
        <v>2583</v>
      </c>
      <c r="F876" s="9" t="s">
        <v>66</v>
      </c>
      <c r="G876" s="9" t="s">
        <v>55</v>
      </c>
      <c r="H876" t="str" cm="1">
        <f t="array" ref="H876">_xlfn.IFS(D876&gt;=250000,"高額",D876&gt;=150000,"中額",TRUE,"低額")</f>
        <v>中額</v>
      </c>
    </row>
    <row r="877" spans="2:8" x14ac:dyDescent="0.25">
      <c r="B877" s="9" t="s">
        <v>1785</v>
      </c>
      <c r="C877" s="9" t="s">
        <v>14</v>
      </c>
      <c r="D877" s="24">
        <v>101000</v>
      </c>
      <c r="E877" s="9" t="s">
        <v>2584</v>
      </c>
      <c r="F877" s="9" t="s">
        <v>64</v>
      </c>
      <c r="G877" s="9" t="s">
        <v>51</v>
      </c>
      <c r="H877" t="str" cm="1">
        <f t="array" ref="H877">_xlfn.IFS(D877&gt;=250000,"高額",D877&gt;=150000,"中額",TRUE,"低額")</f>
        <v>低額</v>
      </c>
    </row>
    <row r="878" spans="2:8" x14ac:dyDescent="0.25">
      <c r="B878" s="9" t="s">
        <v>1787</v>
      </c>
      <c r="C878" s="9" t="s">
        <v>18</v>
      </c>
      <c r="D878" s="24">
        <v>114000</v>
      </c>
      <c r="E878" s="9" t="s">
        <v>2585</v>
      </c>
      <c r="F878" s="9" t="s">
        <v>62</v>
      </c>
      <c r="G878" s="9" t="s">
        <v>61</v>
      </c>
      <c r="H878" t="str" cm="1">
        <f t="array" ref="H878">_xlfn.IFS(D878&gt;=250000,"高額",D878&gt;=150000,"中額",TRUE,"低額")</f>
        <v>低額</v>
      </c>
    </row>
    <row r="879" spans="2:8" x14ac:dyDescent="0.25">
      <c r="B879" s="9" t="s">
        <v>1789</v>
      </c>
      <c r="C879" s="9" t="s">
        <v>22</v>
      </c>
      <c r="D879" s="24">
        <v>205000</v>
      </c>
      <c r="E879" s="9" t="s">
        <v>2586</v>
      </c>
      <c r="F879" s="9" t="s">
        <v>62</v>
      </c>
      <c r="G879" s="9" t="s">
        <v>47</v>
      </c>
      <c r="H879" t="str" cm="1">
        <f t="array" ref="H879">_xlfn.IFS(D879&gt;=250000,"高額",D879&gt;=150000,"中額",TRUE,"低額")</f>
        <v>中額</v>
      </c>
    </row>
    <row r="880" spans="2:8" x14ac:dyDescent="0.25">
      <c r="B880" s="9" t="s">
        <v>1791</v>
      </c>
      <c r="C880" s="9" t="s">
        <v>12</v>
      </c>
      <c r="D880" s="24">
        <v>279000</v>
      </c>
      <c r="E880" s="9" t="s">
        <v>2587</v>
      </c>
      <c r="F880" s="9" t="s">
        <v>66</v>
      </c>
      <c r="G880" s="9" t="s">
        <v>49</v>
      </c>
      <c r="H880" t="str" cm="1">
        <f t="array" ref="H880">_xlfn.IFS(D880&gt;=250000,"高額",D880&gt;=150000,"中額",TRUE,"低額")</f>
        <v>高額</v>
      </c>
    </row>
    <row r="881" spans="2:8" x14ac:dyDescent="0.25">
      <c r="B881" s="9" t="s">
        <v>1793</v>
      </c>
      <c r="C881" s="9" t="s">
        <v>20</v>
      </c>
      <c r="D881" s="24">
        <v>231000</v>
      </c>
      <c r="E881" s="9" t="s">
        <v>2588</v>
      </c>
      <c r="F881" s="9" t="s">
        <v>62</v>
      </c>
      <c r="G881" s="9" t="s">
        <v>47</v>
      </c>
      <c r="H881" t="str" cm="1">
        <f t="array" ref="H881">_xlfn.IFS(D881&gt;=250000,"高額",D881&gt;=150000,"中額",TRUE,"低額")</f>
        <v>中額</v>
      </c>
    </row>
    <row r="882" spans="2:8" x14ac:dyDescent="0.25">
      <c r="B882" s="9" t="s">
        <v>1795</v>
      </c>
      <c r="C882" s="9" t="s">
        <v>14</v>
      </c>
      <c r="D882" s="24">
        <v>299000</v>
      </c>
      <c r="E882" s="9" t="s">
        <v>2588</v>
      </c>
      <c r="F882" s="9" t="s">
        <v>63</v>
      </c>
      <c r="G882" s="9" t="s">
        <v>61</v>
      </c>
      <c r="H882" t="str" cm="1">
        <f t="array" ref="H882">_xlfn.IFS(D882&gt;=250000,"高額",D882&gt;=150000,"中額",TRUE,"低額")</f>
        <v>高額</v>
      </c>
    </row>
    <row r="883" spans="2:8" x14ac:dyDescent="0.25">
      <c r="B883" s="9" t="s">
        <v>1796</v>
      </c>
      <c r="C883" s="9" t="s">
        <v>22</v>
      </c>
      <c r="D883" s="24">
        <v>290000</v>
      </c>
      <c r="E883" s="9" t="s">
        <v>2588</v>
      </c>
      <c r="F883" s="9" t="s">
        <v>66</v>
      </c>
      <c r="G883" s="9" t="s">
        <v>58</v>
      </c>
      <c r="H883" t="str" cm="1">
        <f t="array" ref="H883">_xlfn.IFS(D883&gt;=250000,"高額",D883&gt;=150000,"中額",TRUE,"低額")</f>
        <v>高額</v>
      </c>
    </row>
    <row r="884" spans="2:8" x14ac:dyDescent="0.25">
      <c r="B884" s="9" t="s">
        <v>1797</v>
      </c>
      <c r="C884" s="9" t="s">
        <v>22</v>
      </c>
      <c r="D884" s="24">
        <v>36000</v>
      </c>
      <c r="E884" s="9" t="s">
        <v>2589</v>
      </c>
      <c r="F884" s="9" t="s">
        <v>62</v>
      </c>
      <c r="G884" s="9" t="s">
        <v>55</v>
      </c>
      <c r="H884" t="str" cm="1">
        <f t="array" ref="H884">_xlfn.IFS(D884&gt;=250000,"高額",D884&gt;=150000,"中額",TRUE,"低額")</f>
        <v>低額</v>
      </c>
    </row>
    <row r="885" spans="2:8" x14ac:dyDescent="0.25">
      <c r="B885" s="9" t="s">
        <v>1799</v>
      </c>
      <c r="C885" s="9" t="s">
        <v>20</v>
      </c>
      <c r="D885" s="24">
        <v>185000</v>
      </c>
      <c r="E885" s="9" t="s">
        <v>2589</v>
      </c>
      <c r="F885" s="9" t="s">
        <v>63</v>
      </c>
      <c r="G885" s="9" t="s">
        <v>47</v>
      </c>
      <c r="H885" t="str" cm="1">
        <f t="array" ref="H885">_xlfn.IFS(D885&gt;=250000,"高額",D885&gt;=150000,"中額",TRUE,"低額")</f>
        <v>中額</v>
      </c>
    </row>
    <row r="886" spans="2:8" x14ac:dyDescent="0.25">
      <c r="B886" s="9" t="s">
        <v>1800</v>
      </c>
      <c r="C886" s="9" t="s">
        <v>12</v>
      </c>
      <c r="D886" s="24">
        <v>227000</v>
      </c>
      <c r="E886" s="9" t="s">
        <v>2590</v>
      </c>
      <c r="F886" s="9" t="s">
        <v>67</v>
      </c>
      <c r="G886" s="9" t="s">
        <v>55</v>
      </c>
      <c r="H886" t="str" cm="1">
        <f t="array" ref="H886">_xlfn.IFS(D886&gt;=250000,"高額",D886&gt;=150000,"中額",TRUE,"低額")</f>
        <v>中額</v>
      </c>
    </row>
    <row r="887" spans="2:8" x14ac:dyDescent="0.25">
      <c r="B887" s="9" t="s">
        <v>1802</v>
      </c>
      <c r="C887" s="9" t="s">
        <v>20</v>
      </c>
      <c r="D887" s="24">
        <v>237000</v>
      </c>
      <c r="E887" s="9" t="s">
        <v>2590</v>
      </c>
      <c r="F887" s="9" t="s">
        <v>62</v>
      </c>
      <c r="G887" s="9" t="s">
        <v>53</v>
      </c>
      <c r="H887" t="str" cm="1">
        <f t="array" ref="H887">_xlfn.IFS(D887&gt;=250000,"高額",D887&gt;=150000,"中額",TRUE,"低額")</f>
        <v>中額</v>
      </c>
    </row>
    <row r="888" spans="2:8" x14ac:dyDescent="0.25">
      <c r="B888" s="9" t="s">
        <v>1803</v>
      </c>
      <c r="C888" s="9" t="s">
        <v>22</v>
      </c>
      <c r="D888" s="24">
        <v>119000</v>
      </c>
      <c r="E888" s="9" t="s">
        <v>2590</v>
      </c>
      <c r="F888" s="9" t="s">
        <v>64</v>
      </c>
      <c r="G888" s="9" t="s">
        <v>53</v>
      </c>
      <c r="H888" t="str" cm="1">
        <f t="array" ref="H888">_xlfn.IFS(D888&gt;=250000,"高額",D888&gt;=150000,"中額",TRUE,"低額")</f>
        <v>低額</v>
      </c>
    </row>
    <row r="889" spans="2:8" x14ac:dyDescent="0.25">
      <c r="B889" s="9" t="s">
        <v>1804</v>
      </c>
      <c r="C889" s="9" t="s">
        <v>24</v>
      </c>
      <c r="D889" s="24">
        <v>220000</v>
      </c>
      <c r="E889" s="9" t="s">
        <v>2591</v>
      </c>
      <c r="F889" s="9" t="s">
        <v>67</v>
      </c>
      <c r="G889" s="9" t="s">
        <v>55</v>
      </c>
      <c r="H889" t="str" cm="1">
        <f t="array" ref="H889">_xlfn.IFS(D889&gt;=250000,"高額",D889&gt;=150000,"中額",TRUE,"低額")</f>
        <v>中額</v>
      </c>
    </row>
    <row r="890" spans="2:8" x14ac:dyDescent="0.25">
      <c r="B890" s="9" t="s">
        <v>1806</v>
      </c>
      <c r="C890" s="9" t="s">
        <v>12</v>
      </c>
      <c r="D890" s="24">
        <v>207000</v>
      </c>
      <c r="E890" s="9" t="s">
        <v>2592</v>
      </c>
      <c r="F890" s="9" t="s">
        <v>64</v>
      </c>
      <c r="G890" s="9" t="s">
        <v>55</v>
      </c>
      <c r="H890" t="str" cm="1">
        <f t="array" ref="H890">_xlfn.IFS(D890&gt;=250000,"高額",D890&gt;=150000,"中額",TRUE,"低額")</f>
        <v>中額</v>
      </c>
    </row>
    <row r="891" spans="2:8" x14ac:dyDescent="0.25">
      <c r="B891" s="9" t="s">
        <v>1808</v>
      </c>
      <c r="C891" s="9" t="s">
        <v>22</v>
      </c>
      <c r="D891" s="24">
        <v>109000</v>
      </c>
      <c r="E891" s="9" t="s">
        <v>2592</v>
      </c>
      <c r="F891" s="9" t="s">
        <v>67</v>
      </c>
      <c r="G891" s="9" t="s">
        <v>43</v>
      </c>
      <c r="H891" t="str" cm="1">
        <f t="array" ref="H891">_xlfn.IFS(D891&gt;=250000,"高額",D891&gt;=150000,"中額",TRUE,"低額")</f>
        <v>低額</v>
      </c>
    </row>
    <row r="892" spans="2:8" x14ac:dyDescent="0.25">
      <c r="B892" s="9" t="s">
        <v>1809</v>
      </c>
      <c r="C892" s="9" t="s">
        <v>12</v>
      </c>
      <c r="D892" s="24">
        <v>79000</v>
      </c>
      <c r="E892" s="9" t="s">
        <v>2593</v>
      </c>
      <c r="F892" s="9" t="s">
        <v>65</v>
      </c>
      <c r="G892" s="9" t="s">
        <v>45</v>
      </c>
      <c r="H892" t="str" cm="1">
        <f t="array" ref="H892">_xlfn.IFS(D892&gt;=250000,"高額",D892&gt;=150000,"中額",TRUE,"低額")</f>
        <v>低額</v>
      </c>
    </row>
    <row r="893" spans="2:8" x14ac:dyDescent="0.25">
      <c r="B893" s="9" t="s">
        <v>1811</v>
      </c>
      <c r="C893" s="9" t="s">
        <v>14</v>
      </c>
      <c r="D893" s="24">
        <v>49000</v>
      </c>
      <c r="E893" s="9" t="s">
        <v>2593</v>
      </c>
      <c r="F893" s="9" t="s">
        <v>66</v>
      </c>
      <c r="G893" s="9" t="s">
        <v>49</v>
      </c>
      <c r="H893" t="str" cm="1">
        <f t="array" ref="H893">_xlfn.IFS(D893&gt;=250000,"高額",D893&gt;=150000,"中額",TRUE,"低額")</f>
        <v>低額</v>
      </c>
    </row>
    <row r="894" spans="2:8" x14ac:dyDescent="0.25">
      <c r="B894" s="9" t="s">
        <v>1812</v>
      </c>
      <c r="C894" s="9" t="s">
        <v>20</v>
      </c>
      <c r="D894" s="24">
        <v>139000</v>
      </c>
      <c r="E894" s="9" t="s">
        <v>2593</v>
      </c>
      <c r="F894" s="9" t="s">
        <v>64</v>
      </c>
      <c r="G894" s="9" t="s">
        <v>53</v>
      </c>
      <c r="H894" t="str" cm="1">
        <f t="array" ref="H894">_xlfn.IFS(D894&gt;=250000,"高額",D894&gt;=150000,"中額",TRUE,"低額")</f>
        <v>低額</v>
      </c>
    </row>
    <row r="895" spans="2:8" x14ac:dyDescent="0.25">
      <c r="B895" s="9" t="s">
        <v>1813</v>
      </c>
      <c r="C895" s="9" t="s">
        <v>20</v>
      </c>
      <c r="D895" s="24">
        <v>241000</v>
      </c>
      <c r="E895" s="9" t="s">
        <v>2594</v>
      </c>
      <c r="F895" s="9" t="s">
        <v>63</v>
      </c>
      <c r="G895" s="9" t="s">
        <v>43</v>
      </c>
      <c r="H895" t="str" cm="1">
        <f t="array" ref="H895">_xlfn.IFS(D895&gt;=250000,"高額",D895&gt;=150000,"中額",TRUE,"低額")</f>
        <v>中額</v>
      </c>
    </row>
    <row r="896" spans="2:8" x14ac:dyDescent="0.25">
      <c r="B896" s="9" t="s">
        <v>1815</v>
      </c>
      <c r="C896" s="9" t="s">
        <v>18</v>
      </c>
      <c r="D896" s="24">
        <v>68000</v>
      </c>
      <c r="E896" s="9" t="s">
        <v>2594</v>
      </c>
      <c r="F896" s="9" t="s">
        <v>62</v>
      </c>
      <c r="G896" s="9" t="s">
        <v>49</v>
      </c>
      <c r="H896" t="str" cm="1">
        <f t="array" ref="H896">_xlfn.IFS(D896&gt;=250000,"高額",D896&gt;=150000,"中額",TRUE,"低額")</f>
        <v>低額</v>
      </c>
    </row>
    <row r="897" spans="2:8" x14ac:dyDescent="0.25">
      <c r="B897" s="9" t="s">
        <v>1816</v>
      </c>
      <c r="C897" s="9" t="s">
        <v>20</v>
      </c>
      <c r="D897" s="24">
        <v>193000</v>
      </c>
      <c r="E897" s="9" t="s">
        <v>2594</v>
      </c>
      <c r="F897" s="9" t="s">
        <v>65</v>
      </c>
      <c r="G897" s="9" t="s">
        <v>51</v>
      </c>
      <c r="H897" t="str" cm="1">
        <f t="array" ref="H897">_xlfn.IFS(D897&gt;=250000,"高額",D897&gt;=150000,"中額",TRUE,"低額")</f>
        <v>中額</v>
      </c>
    </row>
    <row r="898" spans="2:8" x14ac:dyDescent="0.25">
      <c r="B898" s="9" t="s">
        <v>1817</v>
      </c>
      <c r="C898" s="9" t="s">
        <v>12</v>
      </c>
      <c r="D898" s="24">
        <v>96000</v>
      </c>
      <c r="E898" s="9" t="s">
        <v>2595</v>
      </c>
      <c r="F898" s="9" t="s">
        <v>66</v>
      </c>
      <c r="G898" s="9" t="s">
        <v>47</v>
      </c>
      <c r="H898" t="str" cm="1">
        <f t="array" ref="H898">_xlfn.IFS(D898&gt;=250000,"高額",D898&gt;=150000,"中額",TRUE,"低額")</f>
        <v>低額</v>
      </c>
    </row>
    <row r="899" spans="2:8" x14ac:dyDescent="0.25">
      <c r="B899" s="9" t="s">
        <v>1819</v>
      </c>
      <c r="C899" s="9" t="s">
        <v>18</v>
      </c>
      <c r="D899" s="24">
        <v>252000</v>
      </c>
      <c r="E899" s="9" t="s">
        <v>2595</v>
      </c>
      <c r="F899" s="9" t="s">
        <v>66</v>
      </c>
      <c r="G899" s="9" t="s">
        <v>53</v>
      </c>
      <c r="H899" t="str" cm="1">
        <f t="array" ref="H899">_xlfn.IFS(D899&gt;=250000,"高額",D899&gt;=150000,"中額",TRUE,"低額")</f>
        <v>高額</v>
      </c>
    </row>
    <row r="900" spans="2:8" x14ac:dyDescent="0.25">
      <c r="B900" s="9" t="s">
        <v>1820</v>
      </c>
      <c r="C900" s="9" t="s">
        <v>18</v>
      </c>
      <c r="D900" s="24">
        <v>108000</v>
      </c>
      <c r="E900" s="9" t="s">
        <v>2595</v>
      </c>
      <c r="F900" s="9" t="s">
        <v>64</v>
      </c>
      <c r="G900" s="9" t="s">
        <v>51</v>
      </c>
      <c r="H900" t="str" cm="1">
        <f t="array" ref="H900">_xlfn.IFS(D900&gt;=250000,"高額",D900&gt;=150000,"中額",TRUE,"低額")</f>
        <v>低額</v>
      </c>
    </row>
    <row r="901" spans="2:8" x14ac:dyDescent="0.25">
      <c r="B901" s="9" t="s">
        <v>1821</v>
      </c>
      <c r="C901" s="9" t="s">
        <v>16</v>
      </c>
      <c r="D901" s="24">
        <v>274000</v>
      </c>
      <c r="E901" s="9" t="s">
        <v>2596</v>
      </c>
      <c r="F901" s="9" t="s">
        <v>62</v>
      </c>
      <c r="G901" s="9" t="s">
        <v>58</v>
      </c>
      <c r="H901" t="str" cm="1">
        <f t="array" ref="H901">_xlfn.IFS(D901&gt;=250000,"高額",D901&gt;=150000,"中額",TRUE,"低額")</f>
        <v>高額</v>
      </c>
    </row>
    <row r="902" spans="2:8" x14ac:dyDescent="0.25">
      <c r="B902" s="9" t="s">
        <v>1823</v>
      </c>
      <c r="C902" s="9" t="s">
        <v>12</v>
      </c>
      <c r="D902" s="24">
        <v>184000</v>
      </c>
      <c r="E902" s="9" t="s">
        <v>2597</v>
      </c>
      <c r="F902" s="9" t="s">
        <v>65</v>
      </c>
      <c r="G902" s="9" t="s">
        <v>58</v>
      </c>
      <c r="H902" t="str" cm="1">
        <f t="array" ref="H902">_xlfn.IFS(D902&gt;=250000,"高額",D902&gt;=150000,"中額",TRUE,"低額")</f>
        <v>中額</v>
      </c>
    </row>
    <row r="903" spans="2:8" x14ac:dyDescent="0.25">
      <c r="B903" s="9" t="s">
        <v>1825</v>
      </c>
      <c r="C903" s="9" t="s">
        <v>12</v>
      </c>
      <c r="D903" s="24">
        <v>193000</v>
      </c>
      <c r="E903" s="9" t="s">
        <v>2597</v>
      </c>
      <c r="F903" s="9" t="s">
        <v>62</v>
      </c>
      <c r="G903" s="9" t="s">
        <v>61</v>
      </c>
      <c r="H903" t="str" cm="1">
        <f t="array" ref="H903">_xlfn.IFS(D903&gt;=250000,"高額",D903&gt;=150000,"中額",TRUE,"低額")</f>
        <v>中額</v>
      </c>
    </row>
    <row r="904" spans="2:8" x14ac:dyDescent="0.25">
      <c r="B904" s="9" t="s">
        <v>1826</v>
      </c>
      <c r="C904" s="9" t="s">
        <v>18</v>
      </c>
      <c r="D904" s="24">
        <v>240000</v>
      </c>
      <c r="E904" s="9" t="s">
        <v>2598</v>
      </c>
      <c r="F904" s="9" t="s">
        <v>66</v>
      </c>
      <c r="G904" s="9" t="s">
        <v>53</v>
      </c>
      <c r="H904" t="str" cm="1">
        <f t="array" ref="H904">_xlfn.IFS(D904&gt;=250000,"高額",D904&gt;=150000,"中額",TRUE,"低額")</f>
        <v>中額</v>
      </c>
    </row>
    <row r="905" spans="2:8" x14ac:dyDescent="0.25">
      <c r="B905" s="9" t="s">
        <v>1828</v>
      </c>
      <c r="C905" s="9" t="s">
        <v>14</v>
      </c>
      <c r="D905" s="24">
        <v>213000</v>
      </c>
      <c r="E905" s="9" t="s">
        <v>2599</v>
      </c>
      <c r="F905" s="9" t="s">
        <v>63</v>
      </c>
      <c r="G905" s="9" t="s">
        <v>58</v>
      </c>
      <c r="H905" t="str" cm="1">
        <f t="array" ref="H905">_xlfn.IFS(D905&gt;=250000,"高額",D905&gt;=150000,"中額",TRUE,"低額")</f>
        <v>中額</v>
      </c>
    </row>
    <row r="906" spans="2:8" x14ac:dyDescent="0.25">
      <c r="B906" s="9" t="s">
        <v>1830</v>
      </c>
      <c r="C906" s="9" t="s">
        <v>14</v>
      </c>
      <c r="D906" s="24">
        <v>237000</v>
      </c>
      <c r="E906" s="9" t="s">
        <v>2600</v>
      </c>
      <c r="F906" s="9" t="s">
        <v>66</v>
      </c>
      <c r="G906" s="9" t="s">
        <v>55</v>
      </c>
      <c r="H906" t="str" cm="1">
        <f t="array" ref="H906">_xlfn.IFS(D906&gt;=250000,"高額",D906&gt;=150000,"中額",TRUE,"低額")</f>
        <v>中額</v>
      </c>
    </row>
    <row r="907" spans="2:8" x14ac:dyDescent="0.25">
      <c r="B907" s="9" t="s">
        <v>1832</v>
      </c>
      <c r="C907" s="9" t="s">
        <v>18</v>
      </c>
      <c r="D907" s="24">
        <v>189000</v>
      </c>
      <c r="E907" s="9" t="s">
        <v>2601</v>
      </c>
      <c r="F907" s="9" t="s">
        <v>65</v>
      </c>
      <c r="G907" s="9" t="s">
        <v>45</v>
      </c>
      <c r="H907" t="str" cm="1">
        <f t="array" ref="H907">_xlfn.IFS(D907&gt;=250000,"高額",D907&gt;=150000,"中額",TRUE,"低額")</f>
        <v>中額</v>
      </c>
    </row>
    <row r="908" spans="2:8" x14ac:dyDescent="0.25">
      <c r="B908" s="9" t="s">
        <v>1834</v>
      </c>
      <c r="C908" s="9" t="s">
        <v>16</v>
      </c>
      <c r="D908" s="24">
        <v>232000</v>
      </c>
      <c r="E908" s="9" t="s">
        <v>2602</v>
      </c>
      <c r="F908" s="9" t="s">
        <v>64</v>
      </c>
      <c r="G908" s="9" t="s">
        <v>58</v>
      </c>
      <c r="H908" t="str" cm="1">
        <f t="array" ref="H908">_xlfn.IFS(D908&gt;=250000,"高額",D908&gt;=150000,"中額",TRUE,"低額")</f>
        <v>中額</v>
      </c>
    </row>
    <row r="909" spans="2:8" x14ac:dyDescent="0.25">
      <c r="B909" s="9" t="s">
        <v>1836</v>
      </c>
      <c r="C909" s="9" t="s">
        <v>16</v>
      </c>
      <c r="D909" s="24">
        <v>82000</v>
      </c>
      <c r="E909" s="9" t="s">
        <v>2602</v>
      </c>
      <c r="F909" s="9" t="s">
        <v>67</v>
      </c>
      <c r="G909" s="9" t="s">
        <v>58</v>
      </c>
      <c r="H909" t="str" cm="1">
        <f t="array" ref="H909">_xlfn.IFS(D909&gt;=250000,"高額",D909&gt;=150000,"中額",TRUE,"低額")</f>
        <v>低額</v>
      </c>
    </row>
    <row r="910" spans="2:8" x14ac:dyDescent="0.25">
      <c r="B910" s="9" t="s">
        <v>1837</v>
      </c>
      <c r="C910" s="9" t="s">
        <v>24</v>
      </c>
      <c r="D910" s="24">
        <v>300000</v>
      </c>
      <c r="E910" s="9" t="s">
        <v>2602</v>
      </c>
      <c r="F910" s="9" t="s">
        <v>64</v>
      </c>
      <c r="G910" s="9" t="s">
        <v>45</v>
      </c>
      <c r="H910" t="str" cm="1">
        <f t="array" ref="H910">_xlfn.IFS(D910&gt;=250000,"高額",D910&gt;=150000,"中額",TRUE,"低額")</f>
        <v>高額</v>
      </c>
    </row>
    <row r="911" spans="2:8" x14ac:dyDescent="0.25">
      <c r="B911" s="9" t="s">
        <v>1838</v>
      </c>
      <c r="C911" s="9" t="s">
        <v>16</v>
      </c>
      <c r="D911" s="24">
        <v>73000</v>
      </c>
      <c r="E911" s="9" t="s">
        <v>2602</v>
      </c>
      <c r="F911" s="9" t="s">
        <v>62</v>
      </c>
      <c r="G911" s="9" t="s">
        <v>45</v>
      </c>
      <c r="H911" t="str" cm="1">
        <f t="array" ref="H911">_xlfn.IFS(D911&gt;=250000,"高額",D911&gt;=150000,"中額",TRUE,"低額")</f>
        <v>低額</v>
      </c>
    </row>
    <row r="912" spans="2:8" x14ac:dyDescent="0.25">
      <c r="B912" s="9" t="s">
        <v>1839</v>
      </c>
      <c r="C912" s="9" t="s">
        <v>16</v>
      </c>
      <c r="D912" s="24">
        <v>175000</v>
      </c>
      <c r="E912" s="9" t="s">
        <v>2603</v>
      </c>
      <c r="F912" s="9" t="s">
        <v>63</v>
      </c>
      <c r="G912" s="9" t="s">
        <v>45</v>
      </c>
      <c r="H912" t="str" cm="1">
        <f t="array" ref="H912">_xlfn.IFS(D912&gt;=250000,"高額",D912&gt;=150000,"中額",TRUE,"低額")</f>
        <v>中額</v>
      </c>
    </row>
    <row r="913" spans="2:8" x14ac:dyDescent="0.25">
      <c r="B913" s="9" t="s">
        <v>1841</v>
      </c>
      <c r="C913" s="9" t="s">
        <v>20</v>
      </c>
      <c r="D913" s="24">
        <v>223000</v>
      </c>
      <c r="E913" s="9" t="s">
        <v>2604</v>
      </c>
      <c r="F913" s="9" t="s">
        <v>65</v>
      </c>
      <c r="G913" s="9" t="s">
        <v>58</v>
      </c>
      <c r="H913" t="str" cm="1">
        <f t="array" ref="H913">_xlfn.IFS(D913&gt;=250000,"高額",D913&gt;=150000,"中額",TRUE,"低額")</f>
        <v>中額</v>
      </c>
    </row>
    <row r="914" spans="2:8" x14ac:dyDescent="0.25">
      <c r="B914" s="9" t="s">
        <v>1843</v>
      </c>
      <c r="C914" s="9" t="s">
        <v>18</v>
      </c>
      <c r="D914" s="24">
        <v>81000</v>
      </c>
      <c r="E914" s="9" t="s">
        <v>2605</v>
      </c>
      <c r="F914" s="9" t="s">
        <v>62</v>
      </c>
      <c r="G914" s="9" t="s">
        <v>47</v>
      </c>
      <c r="H914" t="str" cm="1">
        <f t="array" ref="H914">_xlfn.IFS(D914&gt;=250000,"高額",D914&gt;=150000,"中額",TRUE,"低額")</f>
        <v>低額</v>
      </c>
    </row>
    <row r="915" spans="2:8" x14ac:dyDescent="0.25">
      <c r="B915" s="9" t="s">
        <v>1845</v>
      </c>
      <c r="C915" s="9" t="s">
        <v>16</v>
      </c>
      <c r="D915" s="24">
        <v>277000</v>
      </c>
      <c r="E915" s="9" t="s">
        <v>2606</v>
      </c>
      <c r="F915" s="9" t="s">
        <v>64</v>
      </c>
      <c r="G915" s="9" t="s">
        <v>53</v>
      </c>
      <c r="H915" t="str" cm="1">
        <f t="array" ref="H915">_xlfn.IFS(D915&gt;=250000,"高額",D915&gt;=150000,"中額",TRUE,"低額")</f>
        <v>高額</v>
      </c>
    </row>
    <row r="916" spans="2:8" x14ac:dyDescent="0.25">
      <c r="B916" s="9" t="s">
        <v>1847</v>
      </c>
      <c r="C916" s="9" t="s">
        <v>14</v>
      </c>
      <c r="D916" s="24">
        <v>277000</v>
      </c>
      <c r="E916" s="9" t="s">
        <v>2607</v>
      </c>
      <c r="F916" s="9" t="s">
        <v>65</v>
      </c>
      <c r="G916" s="9" t="s">
        <v>55</v>
      </c>
      <c r="H916" t="str" cm="1">
        <f t="array" ref="H916">_xlfn.IFS(D916&gt;=250000,"高額",D916&gt;=150000,"中額",TRUE,"低額")</f>
        <v>高額</v>
      </c>
    </row>
    <row r="917" spans="2:8" x14ac:dyDescent="0.25">
      <c r="B917" s="9" t="s">
        <v>1849</v>
      </c>
      <c r="C917" s="9" t="s">
        <v>14</v>
      </c>
      <c r="D917" s="24">
        <v>90000</v>
      </c>
      <c r="E917" s="9" t="s">
        <v>2607</v>
      </c>
      <c r="F917" s="9" t="s">
        <v>66</v>
      </c>
      <c r="G917" s="9" t="s">
        <v>45</v>
      </c>
      <c r="H917" t="str" cm="1">
        <f t="array" ref="H917">_xlfn.IFS(D917&gt;=250000,"高額",D917&gt;=150000,"中額",TRUE,"低額")</f>
        <v>低額</v>
      </c>
    </row>
    <row r="918" spans="2:8" x14ac:dyDescent="0.25">
      <c r="B918" s="9" t="s">
        <v>1850</v>
      </c>
      <c r="C918" s="9" t="s">
        <v>24</v>
      </c>
      <c r="D918" s="24">
        <v>38000</v>
      </c>
      <c r="E918" s="9" t="s">
        <v>2607</v>
      </c>
      <c r="F918" s="9" t="s">
        <v>65</v>
      </c>
      <c r="G918" s="9" t="s">
        <v>53</v>
      </c>
      <c r="H918" t="str" cm="1">
        <f t="array" ref="H918">_xlfn.IFS(D918&gt;=250000,"高額",D918&gt;=150000,"中額",TRUE,"低額")</f>
        <v>低額</v>
      </c>
    </row>
    <row r="919" spans="2:8" x14ac:dyDescent="0.25">
      <c r="B919" s="9" t="s">
        <v>1851</v>
      </c>
      <c r="C919" s="9" t="s">
        <v>14</v>
      </c>
      <c r="D919" s="24">
        <v>292000</v>
      </c>
      <c r="E919" s="9" t="s">
        <v>2608</v>
      </c>
      <c r="F919" s="9" t="s">
        <v>67</v>
      </c>
      <c r="G919" s="9" t="s">
        <v>43</v>
      </c>
      <c r="H919" t="str" cm="1">
        <f t="array" ref="H919">_xlfn.IFS(D919&gt;=250000,"高額",D919&gt;=150000,"中額",TRUE,"低額")</f>
        <v>高額</v>
      </c>
    </row>
    <row r="920" spans="2:8" x14ac:dyDescent="0.25">
      <c r="B920" s="9" t="s">
        <v>1853</v>
      </c>
      <c r="C920" s="9" t="s">
        <v>20</v>
      </c>
      <c r="D920" s="24">
        <v>88000</v>
      </c>
      <c r="E920" s="9" t="s">
        <v>2609</v>
      </c>
      <c r="F920" s="9" t="s">
        <v>67</v>
      </c>
      <c r="G920" s="9" t="s">
        <v>53</v>
      </c>
      <c r="H920" t="str" cm="1">
        <f t="array" ref="H920">_xlfn.IFS(D920&gt;=250000,"高額",D920&gt;=150000,"中額",TRUE,"低額")</f>
        <v>低額</v>
      </c>
    </row>
    <row r="921" spans="2:8" x14ac:dyDescent="0.25">
      <c r="B921" s="9" t="s">
        <v>1855</v>
      </c>
      <c r="C921" s="9" t="s">
        <v>18</v>
      </c>
      <c r="D921" s="24">
        <v>292000</v>
      </c>
      <c r="E921" s="9" t="s">
        <v>2610</v>
      </c>
      <c r="F921" s="9" t="s">
        <v>62</v>
      </c>
      <c r="G921" s="9" t="s">
        <v>53</v>
      </c>
      <c r="H921" t="str" cm="1">
        <f t="array" ref="H921">_xlfn.IFS(D921&gt;=250000,"高額",D921&gt;=150000,"中額",TRUE,"低額")</f>
        <v>高額</v>
      </c>
    </row>
    <row r="922" spans="2:8" x14ac:dyDescent="0.25">
      <c r="B922" s="9" t="s">
        <v>1857</v>
      </c>
      <c r="C922" s="9" t="s">
        <v>16</v>
      </c>
      <c r="D922" s="24">
        <v>69000</v>
      </c>
      <c r="E922" s="9" t="s">
        <v>2610</v>
      </c>
      <c r="F922" s="9" t="s">
        <v>63</v>
      </c>
      <c r="G922" s="9" t="s">
        <v>45</v>
      </c>
      <c r="H922" t="str" cm="1">
        <f t="array" ref="H922">_xlfn.IFS(D922&gt;=250000,"高額",D922&gt;=150000,"中額",TRUE,"低額")</f>
        <v>低額</v>
      </c>
    </row>
    <row r="923" spans="2:8" x14ac:dyDescent="0.25">
      <c r="B923" s="9" t="s">
        <v>1858</v>
      </c>
      <c r="C923" s="9" t="s">
        <v>18</v>
      </c>
      <c r="D923" s="24">
        <v>83000</v>
      </c>
      <c r="E923" s="9" t="s">
        <v>2611</v>
      </c>
      <c r="F923" s="9" t="s">
        <v>66</v>
      </c>
      <c r="G923" s="9" t="s">
        <v>43</v>
      </c>
      <c r="H923" t="str" cm="1">
        <f t="array" ref="H923">_xlfn.IFS(D923&gt;=250000,"高額",D923&gt;=150000,"中額",TRUE,"低額")</f>
        <v>低額</v>
      </c>
    </row>
    <row r="924" spans="2:8" x14ac:dyDescent="0.25">
      <c r="B924" s="9" t="s">
        <v>1860</v>
      </c>
      <c r="C924" s="9" t="s">
        <v>22</v>
      </c>
      <c r="D924" s="24">
        <v>42000</v>
      </c>
      <c r="E924" s="9" t="s">
        <v>2612</v>
      </c>
      <c r="F924" s="9" t="s">
        <v>64</v>
      </c>
      <c r="G924" s="9" t="s">
        <v>55</v>
      </c>
      <c r="H924" t="str" cm="1">
        <f t="array" ref="H924">_xlfn.IFS(D924&gt;=250000,"高額",D924&gt;=150000,"中額",TRUE,"低額")</f>
        <v>低額</v>
      </c>
    </row>
    <row r="925" spans="2:8" x14ac:dyDescent="0.25">
      <c r="B925" s="9" t="s">
        <v>1862</v>
      </c>
      <c r="C925" s="9" t="s">
        <v>14</v>
      </c>
      <c r="D925" s="24">
        <v>144000</v>
      </c>
      <c r="E925" s="9" t="s">
        <v>2613</v>
      </c>
      <c r="F925" s="9" t="s">
        <v>67</v>
      </c>
      <c r="G925" s="9" t="s">
        <v>53</v>
      </c>
      <c r="H925" t="str" cm="1">
        <f t="array" ref="H925">_xlfn.IFS(D925&gt;=250000,"高額",D925&gt;=150000,"中額",TRUE,"低額")</f>
        <v>低額</v>
      </c>
    </row>
    <row r="926" spans="2:8" x14ac:dyDescent="0.25">
      <c r="B926" s="9" t="s">
        <v>1864</v>
      </c>
      <c r="C926" s="9" t="s">
        <v>16</v>
      </c>
      <c r="D926" s="24">
        <v>88000</v>
      </c>
      <c r="E926" s="9" t="s">
        <v>2614</v>
      </c>
      <c r="F926" s="9" t="s">
        <v>63</v>
      </c>
      <c r="G926" s="9" t="s">
        <v>58</v>
      </c>
      <c r="H926" t="str" cm="1">
        <f t="array" ref="H926">_xlfn.IFS(D926&gt;=250000,"高額",D926&gt;=150000,"中額",TRUE,"低額")</f>
        <v>低額</v>
      </c>
    </row>
    <row r="927" spans="2:8" x14ac:dyDescent="0.25">
      <c r="B927" s="9" t="s">
        <v>1866</v>
      </c>
      <c r="C927" s="9" t="s">
        <v>20</v>
      </c>
      <c r="D927" s="24">
        <v>217000</v>
      </c>
      <c r="E927" s="9" t="s">
        <v>2614</v>
      </c>
      <c r="F927" s="9" t="s">
        <v>63</v>
      </c>
      <c r="G927" s="9" t="s">
        <v>43</v>
      </c>
      <c r="H927" t="str" cm="1">
        <f t="array" ref="H927">_xlfn.IFS(D927&gt;=250000,"高額",D927&gt;=150000,"中額",TRUE,"低額")</f>
        <v>中額</v>
      </c>
    </row>
    <row r="928" spans="2:8" x14ac:dyDescent="0.25">
      <c r="B928" s="9" t="s">
        <v>1867</v>
      </c>
      <c r="C928" s="9" t="s">
        <v>22</v>
      </c>
      <c r="D928" s="24">
        <v>30000</v>
      </c>
      <c r="E928" s="9" t="s">
        <v>2615</v>
      </c>
      <c r="F928" s="9" t="s">
        <v>65</v>
      </c>
      <c r="G928" s="9" t="s">
        <v>58</v>
      </c>
      <c r="H928" t="str" cm="1">
        <f t="array" ref="H928">_xlfn.IFS(D928&gt;=250000,"高額",D928&gt;=150000,"中額",TRUE,"低額")</f>
        <v>低額</v>
      </c>
    </row>
    <row r="929" spans="2:8" x14ac:dyDescent="0.25">
      <c r="B929" s="9" t="s">
        <v>1869</v>
      </c>
      <c r="C929" s="9" t="s">
        <v>16</v>
      </c>
      <c r="D929" s="24">
        <v>143000</v>
      </c>
      <c r="E929" s="9" t="s">
        <v>2616</v>
      </c>
      <c r="F929" s="9" t="s">
        <v>64</v>
      </c>
      <c r="G929" s="9" t="s">
        <v>53</v>
      </c>
      <c r="H929" t="str" cm="1">
        <f t="array" ref="H929">_xlfn.IFS(D929&gt;=250000,"高額",D929&gt;=150000,"中額",TRUE,"低額")</f>
        <v>低額</v>
      </c>
    </row>
    <row r="930" spans="2:8" x14ac:dyDescent="0.25">
      <c r="B930" s="9" t="s">
        <v>1872</v>
      </c>
      <c r="C930" s="9" t="s">
        <v>22</v>
      </c>
      <c r="D930" s="24">
        <v>163000</v>
      </c>
      <c r="E930" s="9" t="s">
        <v>2617</v>
      </c>
      <c r="F930" s="9" t="s">
        <v>64</v>
      </c>
      <c r="G930" s="9" t="s">
        <v>43</v>
      </c>
      <c r="H930" t="str" cm="1">
        <f t="array" ref="H930">_xlfn.IFS(D930&gt;=250000,"高額",D930&gt;=150000,"中額",TRUE,"低額")</f>
        <v>中額</v>
      </c>
    </row>
    <row r="931" spans="2:8" x14ac:dyDescent="0.25">
      <c r="B931" s="9" t="s">
        <v>1874</v>
      </c>
      <c r="C931" s="9" t="s">
        <v>18</v>
      </c>
      <c r="D931" s="24">
        <v>124000</v>
      </c>
      <c r="E931" s="9" t="s">
        <v>2618</v>
      </c>
      <c r="F931" s="9" t="s">
        <v>66</v>
      </c>
      <c r="G931" s="9" t="s">
        <v>53</v>
      </c>
      <c r="H931" t="str" cm="1">
        <f t="array" ref="H931">_xlfn.IFS(D931&gt;=250000,"高額",D931&gt;=150000,"中額",TRUE,"低額")</f>
        <v>低額</v>
      </c>
    </row>
    <row r="932" spans="2:8" x14ac:dyDescent="0.25">
      <c r="B932" s="9" t="s">
        <v>1876</v>
      </c>
      <c r="C932" s="9" t="s">
        <v>14</v>
      </c>
      <c r="D932" s="24">
        <v>184000</v>
      </c>
      <c r="E932" s="9" t="s">
        <v>2619</v>
      </c>
      <c r="F932" s="9" t="s">
        <v>67</v>
      </c>
      <c r="G932" s="9" t="s">
        <v>61</v>
      </c>
      <c r="H932" t="str" cm="1">
        <f t="array" ref="H932">_xlfn.IFS(D932&gt;=250000,"高額",D932&gt;=150000,"中額",TRUE,"低額")</f>
        <v>中額</v>
      </c>
    </row>
    <row r="933" spans="2:8" x14ac:dyDescent="0.25">
      <c r="B933" s="9" t="s">
        <v>1878</v>
      </c>
      <c r="C933" s="9" t="s">
        <v>20</v>
      </c>
      <c r="D933" s="24">
        <v>111000</v>
      </c>
      <c r="E933" s="9" t="s">
        <v>2620</v>
      </c>
      <c r="F933" s="9" t="s">
        <v>66</v>
      </c>
      <c r="G933" s="9" t="s">
        <v>45</v>
      </c>
      <c r="H933" t="str" cm="1">
        <f t="array" ref="H933">_xlfn.IFS(D933&gt;=250000,"高額",D933&gt;=150000,"中額",TRUE,"低額")</f>
        <v>低額</v>
      </c>
    </row>
    <row r="934" spans="2:8" x14ac:dyDescent="0.25">
      <c r="B934" s="9" t="s">
        <v>1880</v>
      </c>
      <c r="C934" s="9" t="s">
        <v>14</v>
      </c>
      <c r="D934" s="24">
        <v>297000</v>
      </c>
      <c r="E934" s="9" t="s">
        <v>2621</v>
      </c>
      <c r="F934" s="9" t="s">
        <v>64</v>
      </c>
      <c r="G934" s="9" t="s">
        <v>53</v>
      </c>
      <c r="H934" t="str" cm="1">
        <f t="array" ref="H934">_xlfn.IFS(D934&gt;=250000,"高額",D934&gt;=150000,"中額",TRUE,"低額")</f>
        <v>高額</v>
      </c>
    </row>
    <row r="935" spans="2:8" x14ac:dyDescent="0.25">
      <c r="B935" s="9" t="s">
        <v>1882</v>
      </c>
      <c r="C935" s="9" t="s">
        <v>24</v>
      </c>
      <c r="D935" s="24">
        <v>139000</v>
      </c>
      <c r="E935" s="9" t="s">
        <v>2622</v>
      </c>
      <c r="F935" s="9" t="s">
        <v>64</v>
      </c>
      <c r="G935" s="9" t="s">
        <v>51</v>
      </c>
      <c r="H935" t="str" cm="1">
        <f t="array" ref="H935">_xlfn.IFS(D935&gt;=250000,"高額",D935&gt;=150000,"中額",TRUE,"低額")</f>
        <v>低額</v>
      </c>
    </row>
    <row r="936" spans="2:8" x14ac:dyDescent="0.25">
      <c r="B936" s="9" t="s">
        <v>1884</v>
      </c>
      <c r="C936" s="9" t="s">
        <v>14</v>
      </c>
      <c r="D936" s="24">
        <v>252000</v>
      </c>
      <c r="E936" s="9" t="s">
        <v>2622</v>
      </c>
      <c r="F936" s="9" t="s">
        <v>62</v>
      </c>
      <c r="G936" s="9" t="s">
        <v>49</v>
      </c>
      <c r="H936" t="str" cm="1">
        <f t="array" ref="H936">_xlfn.IFS(D936&gt;=250000,"高額",D936&gt;=150000,"中額",TRUE,"低額")</f>
        <v>高額</v>
      </c>
    </row>
    <row r="937" spans="2:8" x14ac:dyDescent="0.25">
      <c r="B937" s="9" t="s">
        <v>1885</v>
      </c>
      <c r="C937" s="9" t="s">
        <v>20</v>
      </c>
      <c r="D937" s="24">
        <v>69000</v>
      </c>
      <c r="E937" s="9" t="s">
        <v>2623</v>
      </c>
      <c r="F937" s="9" t="s">
        <v>64</v>
      </c>
      <c r="G937" s="9" t="s">
        <v>53</v>
      </c>
      <c r="H937" t="str" cm="1">
        <f t="array" ref="H937">_xlfn.IFS(D937&gt;=250000,"高額",D937&gt;=150000,"中額",TRUE,"低額")</f>
        <v>低額</v>
      </c>
    </row>
    <row r="938" spans="2:8" x14ac:dyDescent="0.25">
      <c r="B938" s="9" t="s">
        <v>1887</v>
      </c>
      <c r="C938" s="9" t="s">
        <v>20</v>
      </c>
      <c r="D938" s="24">
        <v>64000</v>
      </c>
      <c r="E938" s="9" t="s">
        <v>2623</v>
      </c>
      <c r="F938" s="9" t="s">
        <v>65</v>
      </c>
      <c r="G938" s="9" t="s">
        <v>53</v>
      </c>
      <c r="H938" t="str" cm="1">
        <f t="array" ref="H938">_xlfn.IFS(D938&gt;=250000,"高額",D938&gt;=150000,"中額",TRUE,"低額")</f>
        <v>低額</v>
      </c>
    </row>
    <row r="939" spans="2:8" x14ac:dyDescent="0.25">
      <c r="B939" s="9" t="s">
        <v>1888</v>
      </c>
      <c r="C939" s="9" t="s">
        <v>24</v>
      </c>
      <c r="D939" s="24">
        <v>86000</v>
      </c>
      <c r="E939" s="9" t="s">
        <v>2623</v>
      </c>
      <c r="F939" s="9" t="s">
        <v>66</v>
      </c>
      <c r="G939" s="9" t="s">
        <v>51</v>
      </c>
      <c r="H939" t="str" cm="1">
        <f t="array" ref="H939">_xlfn.IFS(D939&gt;=250000,"高額",D939&gt;=150000,"中額",TRUE,"低額")</f>
        <v>低額</v>
      </c>
    </row>
    <row r="940" spans="2:8" x14ac:dyDescent="0.25">
      <c r="B940" s="9" t="s">
        <v>1889</v>
      </c>
      <c r="C940" s="9" t="s">
        <v>16</v>
      </c>
      <c r="D940" s="24">
        <v>113000</v>
      </c>
      <c r="E940" s="9" t="s">
        <v>2624</v>
      </c>
      <c r="F940" s="9" t="s">
        <v>63</v>
      </c>
      <c r="G940" s="9" t="s">
        <v>45</v>
      </c>
      <c r="H940" t="str" cm="1">
        <f t="array" ref="H940">_xlfn.IFS(D940&gt;=250000,"高額",D940&gt;=150000,"中額",TRUE,"低額")</f>
        <v>低額</v>
      </c>
    </row>
    <row r="941" spans="2:8" x14ac:dyDescent="0.25">
      <c r="B941" s="9" t="s">
        <v>1891</v>
      </c>
      <c r="C941" s="9" t="s">
        <v>12</v>
      </c>
      <c r="D941" s="24">
        <v>257000</v>
      </c>
      <c r="E941" s="9" t="s">
        <v>2625</v>
      </c>
      <c r="F941" s="9" t="s">
        <v>62</v>
      </c>
      <c r="G941" s="9" t="s">
        <v>55</v>
      </c>
      <c r="H941" t="str" cm="1">
        <f t="array" ref="H941">_xlfn.IFS(D941&gt;=250000,"高額",D941&gt;=150000,"中額",TRUE,"低額")</f>
        <v>高額</v>
      </c>
    </row>
    <row r="942" spans="2:8" x14ac:dyDescent="0.25">
      <c r="B942" s="9" t="s">
        <v>1893</v>
      </c>
      <c r="C942" s="9" t="s">
        <v>24</v>
      </c>
      <c r="D942" s="24">
        <v>200000</v>
      </c>
      <c r="E942" s="9" t="s">
        <v>2626</v>
      </c>
      <c r="F942" s="9" t="s">
        <v>62</v>
      </c>
      <c r="G942" s="9" t="s">
        <v>43</v>
      </c>
      <c r="H942" t="str" cm="1">
        <f t="array" ref="H942">_xlfn.IFS(D942&gt;=250000,"高額",D942&gt;=150000,"中額",TRUE,"低額")</f>
        <v>中額</v>
      </c>
    </row>
    <row r="943" spans="2:8" x14ac:dyDescent="0.25">
      <c r="B943" s="9" t="s">
        <v>1895</v>
      </c>
      <c r="C943" s="9" t="s">
        <v>16</v>
      </c>
      <c r="D943" s="24">
        <v>71000</v>
      </c>
      <c r="E943" s="9" t="s">
        <v>2626</v>
      </c>
      <c r="F943" s="9" t="s">
        <v>63</v>
      </c>
      <c r="G943" s="9" t="s">
        <v>45</v>
      </c>
      <c r="H943" t="str" cm="1">
        <f t="array" ref="H943">_xlfn.IFS(D943&gt;=250000,"高額",D943&gt;=150000,"中額",TRUE,"低額")</f>
        <v>低額</v>
      </c>
    </row>
    <row r="944" spans="2:8" x14ac:dyDescent="0.25">
      <c r="B944" s="9" t="s">
        <v>1896</v>
      </c>
      <c r="C944" s="9" t="s">
        <v>18</v>
      </c>
      <c r="D944" s="24">
        <v>32000</v>
      </c>
      <c r="E944" s="9" t="s">
        <v>2627</v>
      </c>
      <c r="F944" s="9" t="s">
        <v>65</v>
      </c>
      <c r="G944" s="9" t="s">
        <v>53</v>
      </c>
      <c r="H944" t="str" cm="1">
        <f t="array" ref="H944">_xlfn.IFS(D944&gt;=250000,"高額",D944&gt;=150000,"中額",TRUE,"低額")</f>
        <v>低額</v>
      </c>
    </row>
    <row r="945" spans="2:8" x14ac:dyDescent="0.25">
      <c r="B945" s="9" t="s">
        <v>1898</v>
      </c>
      <c r="C945" s="9" t="s">
        <v>24</v>
      </c>
      <c r="D945" s="24">
        <v>154000</v>
      </c>
      <c r="E945" s="9" t="s">
        <v>2627</v>
      </c>
      <c r="F945" s="9" t="s">
        <v>63</v>
      </c>
      <c r="G945" s="9" t="s">
        <v>61</v>
      </c>
      <c r="H945" t="str" cm="1">
        <f t="array" ref="H945">_xlfn.IFS(D945&gt;=250000,"高額",D945&gt;=150000,"中額",TRUE,"低額")</f>
        <v>中額</v>
      </c>
    </row>
    <row r="946" spans="2:8" x14ac:dyDescent="0.25">
      <c r="B946" s="9" t="s">
        <v>1899</v>
      </c>
      <c r="C946" s="9" t="s">
        <v>18</v>
      </c>
      <c r="D946" s="24">
        <v>106000</v>
      </c>
      <c r="E946" s="9" t="s">
        <v>2627</v>
      </c>
      <c r="F946" s="9" t="s">
        <v>63</v>
      </c>
      <c r="G946" s="9" t="s">
        <v>53</v>
      </c>
      <c r="H946" t="str" cm="1">
        <f t="array" ref="H946">_xlfn.IFS(D946&gt;=250000,"高額",D946&gt;=150000,"中額",TRUE,"低額")</f>
        <v>低額</v>
      </c>
    </row>
    <row r="947" spans="2:8" x14ac:dyDescent="0.25">
      <c r="B947" s="9" t="s">
        <v>1900</v>
      </c>
      <c r="C947" s="9" t="s">
        <v>22</v>
      </c>
      <c r="D947" s="24">
        <v>298000</v>
      </c>
      <c r="E947" s="9" t="s">
        <v>2628</v>
      </c>
      <c r="F947" s="9" t="s">
        <v>65</v>
      </c>
      <c r="G947" s="9" t="s">
        <v>43</v>
      </c>
      <c r="H947" t="str" cm="1">
        <f t="array" ref="H947">_xlfn.IFS(D947&gt;=250000,"高額",D947&gt;=150000,"中額",TRUE,"低額")</f>
        <v>高額</v>
      </c>
    </row>
    <row r="948" spans="2:8" x14ac:dyDescent="0.25">
      <c r="B948" s="9" t="s">
        <v>1902</v>
      </c>
      <c r="C948" s="9" t="s">
        <v>12</v>
      </c>
      <c r="D948" s="24">
        <v>72000</v>
      </c>
      <c r="E948" s="9" t="s">
        <v>2629</v>
      </c>
      <c r="F948" s="9" t="s">
        <v>66</v>
      </c>
      <c r="G948" s="9" t="s">
        <v>45</v>
      </c>
      <c r="H948" t="str" cm="1">
        <f t="array" ref="H948">_xlfn.IFS(D948&gt;=250000,"高額",D948&gt;=150000,"中額",TRUE,"低額")</f>
        <v>低額</v>
      </c>
    </row>
    <row r="949" spans="2:8" x14ac:dyDescent="0.25">
      <c r="B949" s="9" t="s">
        <v>1904</v>
      </c>
      <c r="C949" s="9" t="s">
        <v>12</v>
      </c>
      <c r="D949" s="24">
        <v>98000</v>
      </c>
      <c r="E949" s="9" t="s">
        <v>2630</v>
      </c>
      <c r="F949" s="9" t="s">
        <v>62</v>
      </c>
      <c r="G949" s="9" t="s">
        <v>49</v>
      </c>
      <c r="H949" t="str" cm="1">
        <f t="array" ref="H949">_xlfn.IFS(D949&gt;=250000,"高額",D949&gt;=150000,"中額",TRUE,"低額")</f>
        <v>低額</v>
      </c>
    </row>
    <row r="950" spans="2:8" x14ac:dyDescent="0.25">
      <c r="B950" s="9" t="s">
        <v>1906</v>
      </c>
      <c r="C950" s="9" t="s">
        <v>18</v>
      </c>
      <c r="D950" s="24">
        <v>41000</v>
      </c>
      <c r="E950" s="9" t="s">
        <v>2631</v>
      </c>
      <c r="F950" s="9" t="s">
        <v>66</v>
      </c>
      <c r="G950" s="9" t="s">
        <v>61</v>
      </c>
      <c r="H950" t="str" cm="1">
        <f t="array" ref="H950">_xlfn.IFS(D950&gt;=250000,"高額",D950&gt;=150000,"中額",TRUE,"低額")</f>
        <v>低額</v>
      </c>
    </row>
    <row r="951" spans="2:8" x14ac:dyDescent="0.25">
      <c r="B951" s="9" t="s">
        <v>1908</v>
      </c>
      <c r="C951" s="9" t="s">
        <v>24</v>
      </c>
      <c r="D951" s="24">
        <v>260000</v>
      </c>
      <c r="E951" s="9" t="s">
        <v>2632</v>
      </c>
      <c r="F951" s="9" t="s">
        <v>66</v>
      </c>
      <c r="G951" s="9" t="s">
        <v>61</v>
      </c>
      <c r="H951" t="str" cm="1">
        <f t="array" ref="H951">_xlfn.IFS(D951&gt;=250000,"高額",D951&gt;=150000,"中額",TRUE,"低額")</f>
        <v>高額</v>
      </c>
    </row>
    <row r="952" spans="2:8" x14ac:dyDescent="0.25">
      <c r="B952" s="9" t="s">
        <v>1910</v>
      </c>
      <c r="C952" s="9" t="s">
        <v>14</v>
      </c>
      <c r="D952" s="24">
        <v>230000</v>
      </c>
      <c r="E952" s="9" t="s">
        <v>2633</v>
      </c>
      <c r="F952" s="9" t="s">
        <v>65</v>
      </c>
      <c r="G952" s="9" t="s">
        <v>49</v>
      </c>
      <c r="H952" t="str" cm="1">
        <f t="array" ref="H952">_xlfn.IFS(D952&gt;=250000,"高額",D952&gt;=150000,"中額",TRUE,"低額")</f>
        <v>中額</v>
      </c>
    </row>
    <row r="953" spans="2:8" x14ac:dyDescent="0.25">
      <c r="B953" s="9" t="s">
        <v>1912</v>
      </c>
      <c r="C953" s="9" t="s">
        <v>12</v>
      </c>
      <c r="D953" s="24">
        <v>95000</v>
      </c>
      <c r="E953" s="9" t="s">
        <v>2634</v>
      </c>
      <c r="F953" s="9" t="s">
        <v>63</v>
      </c>
      <c r="G953" s="9" t="s">
        <v>43</v>
      </c>
      <c r="H953" t="str" cm="1">
        <f t="array" ref="H953">_xlfn.IFS(D953&gt;=250000,"高額",D953&gt;=150000,"中額",TRUE,"低額")</f>
        <v>低額</v>
      </c>
    </row>
    <row r="954" spans="2:8" x14ac:dyDescent="0.25">
      <c r="B954" s="9" t="s">
        <v>1914</v>
      </c>
      <c r="C954" s="9" t="s">
        <v>20</v>
      </c>
      <c r="D954" s="24">
        <v>285000</v>
      </c>
      <c r="E954" s="9" t="s">
        <v>2635</v>
      </c>
      <c r="F954" s="9" t="s">
        <v>62</v>
      </c>
      <c r="G954" s="9" t="s">
        <v>45</v>
      </c>
      <c r="H954" t="str" cm="1">
        <f t="array" ref="H954">_xlfn.IFS(D954&gt;=250000,"高額",D954&gt;=150000,"中額",TRUE,"低額")</f>
        <v>高額</v>
      </c>
    </row>
    <row r="955" spans="2:8" x14ac:dyDescent="0.25">
      <c r="B955" s="9" t="s">
        <v>1916</v>
      </c>
      <c r="C955" s="9" t="s">
        <v>18</v>
      </c>
      <c r="D955" s="24">
        <v>115000</v>
      </c>
      <c r="E955" s="9" t="s">
        <v>2636</v>
      </c>
      <c r="F955" s="9" t="s">
        <v>65</v>
      </c>
      <c r="G955" s="9" t="s">
        <v>55</v>
      </c>
      <c r="H955" t="str" cm="1">
        <f t="array" ref="H955">_xlfn.IFS(D955&gt;=250000,"高額",D955&gt;=150000,"中額",TRUE,"低額")</f>
        <v>低額</v>
      </c>
    </row>
    <row r="956" spans="2:8" x14ac:dyDescent="0.25">
      <c r="B956" s="9" t="s">
        <v>1918</v>
      </c>
      <c r="C956" s="9" t="s">
        <v>24</v>
      </c>
      <c r="D956" s="24">
        <v>232000</v>
      </c>
      <c r="E956" s="9" t="s">
        <v>2637</v>
      </c>
      <c r="F956" s="9" t="s">
        <v>65</v>
      </c>
      <c r="G956" s="9" t="s">
        <v>55</v>
      </c>
      <c r="H956" t="str" cm="1">
        <f t="array" ref="H956">_xlfn.IFS(D956&gt;=250000,"高額",D956&gt;=150000,"中額",TRUE,"低額")</f>
        <v>中額</v>
      </c>
    </row>
    <row r="957" spans="2:8" x14ac:dyDescent="0.25">
      <c r="B957" s="9" t="s">
        <v>1920</v>
      </c>
      <c r="C957" s="9" t="s">
        <v>24</v>
      </c>
      <c r="D957" s="24">
        <v>279000</v>
      </c>
      <c r="E957" s="9" t="s">
        <v>2638</v>
      </c>
      <c r="F957" s="9" t="s">
        <v>65</v>
      </c>
      <c r="G957" s="9" t="s">
        <v>47</v>
      </c>
      <c r="H957" t="str" cm="1">
        <f t="array" ref="H957">_xlfn.IFS(D957&gt;=250000,"高額",D957&gt;=150000,"中額",TRUE,"低額")</f>
        <v>高額</v>
      </c>
    </row>
    <row r="958" spans="2:8" x14ac:dyDescent="0.25">
      <c r="B958" s="9" t="s">
        <v>1922</v>
      </c>
      <c r="C958" s="9" t="s">
        <v>12</v>
      </c>
      <c r="D958" s="24">
        <v>275000</v>
      </c>
      <c r="E958" s="9" t="s">
        <v>2638</v>
      </c>
      <c r="F958" s="9" t="s">
        <v>64</v>
      </c>
      <c r="G958" s="9" t="s">
        <v>49</v>
      </c>
      <c r="H958" t="str" cm="1">
        <f t="array" ref="H958">_xlfn.IFS(D958&gt;=250000,"高額",D958&gt;=150000,"中額",TRUE,"低額")</f>
        <v>高額</v>
      </c>
    </row>
    <row r="959" spans="2:8" x14ac:dyDescent="0.25">
      <c r="B959" s="9" t="s">
        <v>1923</v>
      </c>
      <c r="C959" s="9" t="s">
        <v>16</v>
      </c>
      <c r="D959" s="24">
        <v>181000</v>
      </c>
      <c r="E959" s="9" t="s">
        <v>2638</v>
      </c>
      <c r="F959" s="9" t="s">
        <v>64</v>
      </c>
      <c r="G959" s="9" t="s">
        <v>61</v>
      </c>
      <c r="H959" t="str" cm="1">
        <f t="array" ref="H959">_xlfn.IFS(D959&gt;=250000,"高額",D959&gt;=150000,"中額",TRUE,"低額")</f>
        <v>中額</v>
      </c>
    </row>
    <row r="960" spans="2:8" x14ac:dyDescent="0.25">
      <c r="B960" s="9" t="s">
        <v>1924</v>
      </c>
      <c r="C960" s="9" t="s">
        <v>14</v>
      </c>
      <c r="D960" s="24">
        <v>257000</v>
      </c>
      <c r="E960" s="9" t="s">
        <v>2639</v>
      </c>
      <c r="F960" s="9" t="s">
        <v>67</v>
      </c>
      <c r="G960" s="9" t="s">
        <v>49</v>
      </c>
      <c r="H960" t="str" cm="1">
        <f t="array" ref="H960">_xlfn.IFS(D960&gt;=250000,"高額",D960&gt;=150000,"中額",TRUE,"低額")</f>
        <v>高額</v>
      </c>
    </row>
    <row r="961" spans="2:8" x14ac:dyDescent="0.25">
      <c r="B961" s="9" t="s">
        <v>1926</v>
      </c>
      <c r="C961" s="9" t="s">
        <v>24</v>
      </c>
      <c r="D961" s="24">
        <v>178000</v>
      </c>
      <c r="E961" s="9" t="s">
        <v>2640</v>
      </c>
      <c r="F961" s="9" t="s">
        <v>65</v>
      </c>
      <c r="G961" s="9" t="s">
        <v>45</v>
      </c>
      <c r="H961" t="str" cm="1">
        <f t="array" ref="H961">_xlfn.IFS(D961&gt;=250000,"高額",D961&gt;=150000,"中額",TRUE,"低額")</f>
        <v>中額</v>
      </c>
    </row>
    <row r="962" spans="2:8" x14ac:dyDescent="0.25">
      <c r="B962" s="9" t="s">
        <v>1928</v>
      </c>
      <c r="C962" s="9" t="s">
        <v>20</v>
      </c>
      <c r="D962" s="24">
        <v>271000</v>
      </c>
      <c r="E962" s="9" t="s">
        <v>2641</v>
      </c>
      <c r="F962" s="9" t="s">
        <v>63</v>
      </c>
      <c r="G962" s="9" t="s">
        <v>49</v>
      </c>
      <c r="H962" t="str" cm="1">
        <f t="array" ref="H962">_xlfn.IFS(D962&gt;=250000,"高額",D962&gt;=150000,"中額",TRUE,"低額")</f>
        <v>高額</v>
      </c>
    </row>
    <row r="963" spans="2:8" x14ac:dyDescent="0.25">
      <c r="B963" s="9" t="s">
        <v>1930</v>
      </c>
      <c r="C963" s="9" t="s">
        <v>12</v>
      </c>
      <c r="D963" s="24">
        <v>299000</v>
      </c>
      <c r="E963" s="9" t="s">
        <v>2642</v>
      </c>
      <c r="F963" s="9" t="s">
        <v>66</v>
      </c>
      <c r="G963" s="9" t="s">
        <v>53</v>
      </c>
      <c r="H963" t="str" cm="1">
        <f t="array" ref="H963">_xlfn.IFS(D963&gt;=250000,"高額",D963&gt;=150000,"中額",TRUE,"低額")</f>
        <v>高額</v>
      </c>
    </row>
    <row r="964" spans="2:8" x14ac:dyDescent="0.25">
      <c r="B964" s="9" t="s">
        <v>1932</v>
      </c>
      <c r="C964" s="9" t="s">
        <v>12</v>
      </c>
      <c r="D964" s="24">
        <v>110000</v>
      </c>
      <c r="E964" s="9" t="s">
        <v>2642</v>
      </c>
      <c r="F964" s="9" t="s">
        <v>63</v>
      </c>
      <c r="G964" s="9" t="s">
        <v>49</v>
      </c>
      <c r="H964" t="str" cm="1">
        <f t="array" ref="H964">_xlfn.IFS(D964&gt;=250000,"高額",D964&gt;=150000,"中額",TRUE,"低額")</f>
        <v>低額</v>
      </c>
    </row>
    <row r="965" spans="2:8" x14ac:dyDescent="0.25">
      <c r="B965" s="9" t="s">
        <v>1933</v>
      </c>
      <c r="C965" s="9" t="s">
        <v>12</v>
      </c>
      <c r="D965" s="24">
        <v>276000</v>
      </c>
      <c r="E965" s="9" t="s">
        <v>2643</v>
      </c>
      <c r="F965" s="9" t="s">
        <v>65</v>
      </c>
      <c r="G965" s="9" t="s">
        <v>53</v>
      </c>
      <c r="H965" t="str" cm="1">
        <f t="array" ref="H965">_xlfn.IFS(D965&gt;=250000,"高額",D965&gt;=150000,"中額",TRUE,"低額")</f>
        <v>高額</v>
      </c>
    </row>
    <row r="966" spans="2:8" x14ac:dyDescent="0.25">
      <c r="B966" s="9" t="s">
        <v>1935</v>
      </c>
      <c r="C966" s="9" t="s">
        <v>14</v>
      </c>
      <c r="D966" s="24">
        <v>268000</v>
      </c>
      <c r="E966" s="9" t="s">
        <v>2643</v>
      </c>
      <c r="F966" s="9" t="s">
        <v>66</v>
      </c>
      <c r="G966" s="9" t="s">
        <v>61</v>
      </c>
      <c r="H966" t="str" cm="1">
        <f t="array" ref="H966">_xlfn.IFS(D966&gt;=250000,"高額",D966&gt;=150000,"中額",TRUE,"低額")</f>
        <v>高額</v>
      </c>
    </row>
    <row r="967" spans="2:8" x14ac:dyDescent="0.25">
      <c r="B967" s="9" t="s">
        <v>1936</v>
      </c>
      <c r="C967" s="9" t="s">
        <v>20</v>
      </c>
      <c r="D967" s="24">
        <v>210000</v>
      </c>
      <c r="E967" s="9" t="s">
        <v>2644</v>
      </c>
      <c r="F967" s="9" t="s">
        <v>62</v>
      </c>
      <c r="G967" s="9" t="s">
        <v>55</v>
      </c>
      <c r="H967" t="str" cm="1">
        <f t="array" ref="H967">_xlfn.IFS(D967&gt;=250000,"高額",D967&gt;=150000,"中額",TRUE,"低額")</f>
        <v>中額</v>
      </c>
    </row>
    <row r="968" spans="2:8" x14ac:dyDescent="0.25">
      <c r="B968" s="9" t="s">
        <v>1938</v>
      </c>
      <c r="C968" s="9" t="s">
        <v>22</v>
      </c>
      <c r="D968" s="24">
        <v>169000</v>
      </c>
      <c r="E968" s="9" t="s">
        <v>2645</v>
      </c>
      <c r="F968" s="9" t="s">
        <v>67</v>
      </c>
      <c r="G968" s="9" t="s">
        <v>45</v>
      </c>
      <c r="H968" t="str" cm="1">
        <f t="array" ref="H968">_xlfn.IFS(D968&gt;=250000,"高額",D968&gt;=150000,"中額",TRUE,"低額")</f>
        <v>中額</v>
      </c>
    </row>
    <row r="969" spans="2:8" x14ac:dyDescent="0.25">
      <c r="B969" s="9" t="s">
        <v>1940</v>
      </c>
      <c r="C969" s="9" t="s">
        <v>18</v>
      </c>
      <c r="D969" s="24">
        <v>284000</v>
      </c>
      <c r="E969" s="9" t="s">
        <v>2645</v>
      </c>
      <c r="F969" s="9" t="s">
        <v>66</v>
      </c>
      <c r="G969" s="9" t="s">
        <v>61</v>
      </c>
      <c r="H969" t="str" cm="1">
        <f t="array" ref="H969">_xlfn.IFS(D969&gt;=250000,"高額",D969&gt;=150000,"中額",TRUE,"低額")</f>
        <v>高額</v>
      </c>
    </row>
    <row r="970" spans="2:8" x14ac:dyDescent="0.25">
      <c r="B970" s="9" t="s">
        <v>1941</v>
      </c>
      <c r="C970" s="9" t="s">
        <v>12</v>
      </c>
      <c r="D970" s="24">
        <v>160000</v>
      </c>
      <c r="E970" s="9" t="s">
        <v>2645</v>
      </c>
      <c r="F970" s="9" t="s">
        <v>63</v>
      </c>
      <c r="G970" s="9" t="s">
        <v>51</v>
      </c>
      <c r="H970" t="str" cm="1">
        <f t="array" ref="H970">_xlfn.IFS(D970&gt;=250000,"高額",D970&gt;=150000,"中額",TRUE,"低額")</f>
        <v>中額</v>
      </c>
    </row>
    <row r="971" spans="2:8" x14ac:dyDescent="0.25">
      <c r="B971" s="9" t="s">
        <v>1942</v>
      </c>
      <c r="C971" s="9" t="s">
        <v>22</v>
      </c>
      <c r="D971" s="24">
        <v>288000</v>
      </c>
      <c r="E971" s="9" t="s">
        <v>2646</v>
      </c>
      <c r="F971" s="9" t="s">
        <v>67</v>
      </c>
      <c r="G971" s="9" t="s">
        <v>49</v>
      </c>
      <c r="H971" t="str" cm="1">
        <f t="array" ref="H971">_xlfn.IFS(D971&gt;=250000,"高額",D971&gt;=150000,"中額",TRUE,"低額")</f>
        <v>高額</v>
      </c>
    </row>
    <row r="972" spans="2:8" x14ac:dyDescent="0.25">
      <c r="B972" s="9" t="s">
        <v>1944</v>
      </c>
      <c r="C972" s="9" t="s">
        <v>12</v>
      </c>
      <c r="D972" s="24">
        <v>92000</v>
      </c>
      <c r="E972" s="9" t="s">
        <v>2647</v>
      </c>
      <c r="F972" s="9" t="s">
        <v>63</v>
      </c>
      <c r="G972" s="9" t="s">
        <v>55</v>
      </c>
      <c r="H972" t="str" cm="1">
        <f t="array" ref="H972">_xlfn.IFS(D972&gt;=250000,"高額",D972&gt;=150000,"中額",TRUE,"低額")</f>
        <v>低額</v>
      </c>
    </row>
    <row r="973" spans="2:8" x14ac:dyDescent="0.25">
      <c r="B973" s="9" t="s">
        <v>1946</v>
      </c>
      <c r="C973" s="9" t="s">
        <v>18</v>
      </c>
      <c r="D973" s="24">
        <v>61000</v>
      </c>
      <c r="E973" s="9" t="s">
        <v>2648</v>
      </c>
      <c r="F973" s="9" t="s">
        <v>62</v>
      </c>
      <c r="G973" s="9" t="s">
        <v>45</v>
      </c>
      <c r="H973" t="str" cm="1">
        <f t="array" ref="H973">_xlfn.IFS(D973&gt;=250000,"高額",D973&gt;=150000,"中額",TRUE,"低額")</f>
        <v>低額</v>
      </c>
    </row>
    <row r="974" spans="2:8" x14ac:dyDescent="0.25">
      <c r="B974" s="9" t="s">
        <v>1948</v>
      </c>
      <c r="C974" s="9" t="s">
        <v>12</v>
      </c>
      <c r="D974" s="24">
        <v>137000</v>
      </c>
      <c r="E974" s="9" t="s">
        <v>2649</v>
      </c>
      <c r="F974" s="9" t="s">
        <v>63</v>
      </c>
      <c r="G974" s="9" t="s">
        <v>51</v>
      </c>
      <c r="H974" t="str" cm="1">
        <f t="array" ref="H974">_xlfn.IFS(D974&gt;=250000,"高額",D974&gt;=150000,"中額",TRUE,"低額")</f>
        <v>低額</v>
      </c>
    </row>
    <row r="975" spans="2:8" x14ac:dyDescent="0.25">
      <c r="B975" s="9" t="s">
        <v>1950</v>
      </c>
      <c r="C975" s="9" t="s">
        <v>18</v>
      </c>
      <c r="D975" s="24">
        <v>263000</v>
      </c>
      <c r="E975" s="9" t="s">
        <v>2650</v>
      </c>
      <c r="F975" s="9" t="s">
        <v>62</v>
      </c>
      <c r="G975" s="9" t="s">
        <v>45</v>
      </c>
      <c r="H975" t="str" cm="1">
        <f t="array" ref="H975">_xlfn.IFS(D975&gt;=250000,"高額",D975&gt;=150000,"中額",TRUE,"低額")</f>
        <v>高額</v>
      </c>
    </row>
    <row r="976" spans="2:8" x14ac:dyDescent="0.25">
      <c r="B976" s="9" t="s">
        <v>1952</v>
      </c>
      <c r="C976" s="9" t="s">
        <v>22</v>
      </c>
      <c r="D976" s="24">
        <v>234000</v>
      </c>
      <c r="E976" s="9" t="s">
        <v>2651</v>
      </c>
      <c r="F976" s="9" t="s">
        <v>67</v>
      </c>
      <c r="G976" s="9" t="s">
        <v>43</v>
      </c>
      <c r="H976" t="str" cm="1">
        <f t="array" ref="H976">_xlfn.IFS(D976&gt;=250000,"高額",D976&gt;=150000,"中額",TRUE,"低額")</f>
        <v>中額</v>
      </c>
    </row>
    <row r="977" spans="2:8" x14ac:dyDescent="0.25">
      <c r="B977" s="9" t="s">
        <v>1954</v>
      </c>
      <c r="C977" s="9" t="s">
        <v>18</v>
      </c>
      <c r="D977" s="24">
        <v>270000</v>
      </c>
      <c r="E977" s="9" t="s">
        <v>2652</v>
      </c>
      <c r="F977" s="9" t="s">
        <v>62</v>
      </c>
      <c r="G977" s="9" t="s">
        <v>47</v>
      </c>
      <c r="H977" t="str" cm="1">
        <f t="array" ref="H977">_xlfn.IFS(D977&gt;=250000,"高額",D977&gt;=150000,"中額",TRUE,"低額")</f>
        <v>高額</v>
      </c>
    </row>
    <row r="978" spans="2:8" x14ac:dyDescent="0.25">
      <c r="B978" s="9" t="s">
        <v>1956</v>
      </c>
      <c r="C978" s="9" t="s">
        <v>18</v>
      </c>
      <c r="D978" s="24">
        <v>114000</v>
      </c>
      <c r="E978" s="9" t="s">
        <v>2652</v>
      </c>
      <c r="F978" s="9" t="s">
        <v>67</v>
      </c>
      <c r="G978" s="9" t="s">
        <v>43</v>
      </c>
      <c r="H978" t="str" cm="1">
        <f t="array" ref="H978">_xlfn.IFS(D978&gt;=250000,"高額",D978&gt;=150000,"中額",TRUE,"低額")</f>
        <v>低額</v>
      </c>
    </row>
    <row r="979" spans="2:8" x14ac:dyDescent="0.25">
      <c r="B979" s="9" t="s">
        <v>1957</v>
      </c>
      <c r="C979" s="9" t="s">
        <v>16</v>
      </c>
      <c r="D979" s="24">
        <v>224000</v>
      </c>
      <c r="E979" s="9" t="s">
        <v>2653</v>
      </c>
      <c r="F979" s="9" t="s">
        <v>67</v>
      </c>
      <c r="G979" s="9" t="s">
        <v>58</v>
      </c>
      <c r="H979" t="str" cm="1">
        <f t="array" ref="H979">_xlfn.IFS(D979&gt;=250000,"高額",D979&gt;=150000,"中額",TRUE,"低額")</f>
        <v>中額</v>
      </c>
    </row>
    <row r="980" spans="2:8" x14ac:dyDescent="0.25">
      <c r="B980" s="9" t="s">
        <v>1959</v>
      </c>
      <c r="C980" s="9" t="s">
        <v>20</v>
      </c>
      <c r="D980" s="24">
        <v>207000</v>
      </c>
      <c r="E980" s="9" t="s">
        <v>2653</v>
      </c>
      <c r="F980" s="9" t="s">
        <v>63</v>
      </c>
      <c r="G980" s="9" t="s">
        <v>51</v>
      </c>
      <c r="H980" t="str" cm="1">
        <f t="array" ref="H980">_xlfn.IFS(D980&gt;=250000,"高額",D980&gt;=150000,"中額",TRUE,"低額")</f>
        <v>中額</v>
      </c>
    </row>
    <row r="981" spans="2:8" x14ac:dyDescent="0.25">
      <c r="B981" s="9" t="s">
        <v>1960</v>
      </c>
      <c r="C981" s="9" t="s">
        <v>16</v>
      </c>
      <c r="D981" s="24">
        <v>137000</v>
      </c>
      <c r="E981" s="9" t="s">
        <v>2654</v>
      </c>
      <c r="F981" s="9" t="s">
        <v>65</v>
      </c>
      <c r="G981" s="9" t="s">
        <v>58</v>
      </c>
      <c r="H981" t="str" cm="1">
        <f t="array" ref="H981">_xlfn.IFS(D981&gt;=250000,"高額",D981&gt;=150000,"中額",TRUE,"低額")</f>
        <v>低額</v>
      </c>
    </row>
    <row r="982" spans="2:8" x14ac:dyDescent="0.25">
      <c r="B982" s="9" t="s">
        <v>1962</v>
      </c>
      <c r="C982" s="9" t="s">
        <v>16</v>
      </c>
      <c r="D982" s="24">
        <v>257000</v>
      </c>
      <c r="E982" s="9" t="s">
        <v>2655</v>
      </c>
      <c r="F982" s="9" t="s">
        <v>64</v>
      </c>
      <c r="G982" s="9" t="s">
        <v>47</v>
      </c>
      <c r="H982" t="str" cm="1">
        <f t="array" ref="H982">_xlfn.IFS(D982&gt;=250000,"高額",D982&gt;=150000,"中額",TRUE,"低額")</f>
        <v>高額</v>
      </c>
    </row>
    <row r="983" spans="2:8" x14ac:dyDescent="0.25">
      <c r="B983" s="9" t="s">
        <v>1964</v>
      </c>
      <c r="C983" s="9" t="s">
        <v>18</v>
      </c>
      <c r="D983" s="24">
        <v>46000</v>
      </c>
      <c r="E983" s="9" t="s">
        <v>2656</v>
      </c>
      <c r="F983" s="9" t="s">
        <v>62</v>
      </c>
      <c r="G983" s="9" t="s">
        <v>53</v>
      </c>
      <c r="H983" t="str" cm="1">
        <f t="array" ref="H983">_xlfn.IFS(D983&gt;=250000,"高額",D983&gt;=150000,"中額",TRUE,"低額")</f>
        <v>低額</v>
      </c>
    </row>
    <row r="984" spans="2:8" x14ac:dyDescent="0.25">
      <c r="B984" s="9" t="s">
        <v>1966</v>
      </c>
      <c r="C984" s="9" t="s">
        <v>14</v>
      </c>
      <c r="D984" s="24">
        <v>155000</v>
      </c>
      <c r="E984" s="9" t="s">
        <v>2657</v>
      </c>
      <c r="F984" s="9" t="s">
        <v>67</v>
      </c>
      <c r="G984" s="9" t="s">
        <v>49</v>
      </c>
      <c r="H984" t="str" cm="1">
        <f t="array" ref="H984">_xlfn.IFS(D984&gt;=250000,"高額",D984&gt;=150000,"中額",TRUE,"低額")</f>
        <v>中額</v>
      </c>
    </row>
    <row r="985" spans="2:8" x14ac:dyDescent="0.25">
      <c r="B985" s="9" t="s">
        <v>1968</v>
      </c>
      <c r="C985" s="9" t="s">
        <v>14</v>
      </c>
      <c r="D985" s="24">
        <v>121000</v>
      </c>
      <c r="E985" s="9" t="s">
        <v>2658</v>
      </c>
      <c r="F985" s="9" t="s">
        <v>62</v>
      </c>
      <c r="G985" s="9" t="s">
        <v>49</v>
      </c>
      <c r="H985" t="str" cm="1">
        <f t="array" ref="H985">_xlfn.IFS(D985&gt;=250000,"高額",D985&gt;=150000,"中額",TRUE,"低額")</f>
        <v>低額</v>
      </c>
    </row>
    <row r="986" spans="2:8" x14ac:dyDescent="0.25">
      <c r="B986" s="9" t="s">
        <v>1970</v>
      </c>
      <c r="C986" s="9" t="s">
        <v>14</v>
      </c>
      <c r="D986" s="24">
        <v>283000</v>
      </c>
      <c r="E986" s="9" t="s">
        <v>2658</v>
      </c>
      <c r="F986" s="9" t="s">
        <v>65</v>
      </c>
      <c r="G986" s="9" t="s">
        <v>45</v>
      </c>
      <c r="H986" t="str" cm="1">
        <f t="array" ref="H986">_xlfn.IFS(D986&gt;=250000,"高額",D986&gt;=150000,"中額",TRUE,"低額")</f>
        <v>高額</v>
      </c>
    </row>
    <row r="987" spans="2:8" x14ac:dyDescent="0.25">
      <c r="B987" s="9" t="s">
        <v>1971</v>
      </c>
      <c r="C987" s="9" t="s">
        <v>22</v>
      </c>
      <c r="D987" s="24">
        <v>289000</v>
      </c>
      <c r="E987" s="9" t="s">
        <v>2659</v>
      </c>
      <c r="F987" s="9" t="s">
        <v>65</v>
      </c>
      <c r="G987" s="9" t="s">
        <v>43</v>
      </c>
      <c r="H987" t="str" cm="1">
        <f t="array" ref="H987">_xlfn.IFS(D987&gt;=250000,"高額",D987&gt;=150000,"中額",TRUE,"低額")</f>
        <v>高額</v>
      </c>
    </row>
    <row r="988" spans="2:8" x14ac:dyDescent="0.25">
      <c r="B988" s="9" t="s">
        <v>1973</v>
      </c>
      <c r="C988" s="9" t="s">
        <v>14</v>
      </c>
      <c r="D988" s="24">
        <v>120000</v>
      </c>
      <c r="E988" s="9" t="s">
        <v>2660</v>
      </c>
      <c r="F988" s="9" t="s">
        <v>65</v>
      </c>
      <c r="G988" s="9" t="s">
        <v>58</v>
      </c>
      <c r="H988" t="str" cm="1">
        <f t="array" ref="H988">_xlfn.IFS(D988&gt;=250000,"高額",D988&gt;=150000,"中額",TRUE,"低額")</f>
        <v>低額</v>
      </c>
    </row>
    <row r="989" spans="2:8" x14ac:dyDescent="0.25">
      <c r="B989" s="9" t="s">
        <v>1975</v>
      </c>
      <c r="C989" s="9" t="s">
        <v>18</v>
      </c>
      <c r="D989" s="24">
        <v>236000</v>
      </c>
      <c r="E989" s="9" t="s">
        <v>2660</v>
      </c>
      <c r="F989" s="9" t="s">
        <v>66</v>
      </c>
      <c r="G989" s="9" t="s">
        <v>55</v>
      </c>
      <c r="H989" t="str" cm="1">
        <f t="array" ref="H989">_xlfn.IFS(D989&gt;=250000,"高額",D989&gt;=150000,"中額",TRUE,"低額")</f>
        <v>中額</v>
      </c>
    </row>
    <row r="990" spans="2:8" x14ac:dyDescent="0.25">
      <c r="B990" s="9" t="s">
        <v>1976</v>
      </c>
      <c r="C990" s="9" t="s">
        <v>24</v>
      </c>
      <c r="D990" s="24">
        <v>227000</v>
      </c>
      <c r="E990" s="9" t="s">
        <v>2661</v>
      </c>
      <c r="F990" s="9" t="s">
        <v>62</v>
      </c>
      <c r="G990" s="9" t="s">
        <v>58</v>
      </c>
      <c r="H990" t="str" cm="1">
        <f t="array" ref="H990">_xlfn.IFS(D990&gt;=250000,"高額",D990&gt;=150000,"中額",TRUE,"低額")</f>
        <v>中額</v>
      </c>
    </row>
    <row r="991" spans="2:8" x14ac:dyDescent="0.25">
      <c r="B991" s="9" t="s">
        <v>1978</v>
      </c>
      <c r="C991" s="9" t="s">
        <v>12</v>
      </c>
      <c r="D991" s="24">
        <v>278000</v>
      </c>
      <c r="E991" s="9" t="s">
        <v>2661</v>
      </c>
      <c r="F991" s="9" t="s">
        <v>64</v>
      </c>
      <c r="G991" s="9" t="s">
        <v>47</v>
      </c>
      <c r="H991" t="str" cm="1">
        <f t="array" ref="H991">_xlfn.IFS(D991&gt;=250000,"高額",D991&gt;=150000,"中額",TRUE,"低額")</f>
        <v>高額</v>
      </c>
    </row>
    <row r="992" spans="2:8" x14ac:dyDescent="0.25">
      <c r="B992" s="9" t="s">
        <v>1979</v>
      </c>
      <c r="C992" s="9" t="s">
        <v>14</v>
      </c>
      <c r="D992" s="24">
        <v>126000</v>
      </c>
      <c r="E992" s="9" t="s">
        <v>2662</v>
      </c>
      <c r="F992" s="9" t="s">
        <v>66</v>
      </c>
      <c r="G992" s="9" t="s">
        <v>51</v>
      </c>
      <c r="H992" t="str" cm="1">
        <f t="array" ref="H992">_xlfn.IFS(D992&gt;=250000,"高額",D992&gt;=150000,"中額",TRUE,"低額")</f>
        <v>低額</v>
      </c>
    </row>
    <row r="993" spans="2:8" x14ac:dyDescent="0.25">
      <c r="B993" s="9" t="s">
        <v>1981</v>
      </c>
      <c r="C993" s="9" t="s">
        <v>20</v>
      </c>
      <c r="D993" s="24">
        <v>96000</v>
      </c>
      <c r="E993" s="9" t="s">
        <v>2663</v>
      </c>
      <c r="F993" s="9" t="s">
        <v>67</v>
      </c>
      <c r="G993" s="9" t="s">
        <v>61</v>
      </c>
      <c r="H993" t="str" cm="1">
        <f t="array" ref="H993">_xlfn.IFS(D993&gt;=250000,"高額",D993&gt;=150000,"中額",TRUE,"低額")</f>
        <v>低額</v>
      </c>
    </row>
    <row r="994" spans="2:8" x14ac:dyDescent="0.25">
      <c r="B994" s="9" t="s">
        <v>1983</v>
      </c>
      <c r="C994" s="9" t="s">
        <v>12</v>
      </c>
      <c r="D994" s="24">
        <v>291000</v>
      </c>
      <c r="E994" s="9" t="s">
        <v>2664</v>
      </c>
      <c r="F994" s="9" t="s">
        <v>64</v>
      </c>
      <c r="G994" s="9" t="s">
        <v>49</v>
      </c>
      <c r="H994" t="str" cm="1">
        <f t="array" ref="H994">_xlfn.IFS(D994&gt;=250000,"高額",D994&gt;=150000,"中額",TRUE,"低額")</f>
        <v>高額</v>
      </c>
    </row>
    <row r="995" spans="2:8" x14ac:dyDescent="0.25">
      <c r="B995" s="9" t="s">
        <v>1985</v>
      </c>
      <c r="C995" s="9" t="s">
        <v>22</v>
      </c>
      <c r="D995" s="24">
        <v>106000</v>
      </c>
      <c r="E995" s="9" t="s">
        <v>2665</v>
      </c>
      <c r="F995" s="9" t="s">
        <v>63</v>
      </c>
      <c r="G995" s="9" t="s">
        <v>53</v>
      </c>
      <c r="H995" t="str" cm="1">
        <f t="array" ref="H995">_xlfn.IFS(D995&gt;=250000,"高額",D995&gt;=150000,"中額",TRUE,"低額")</f>
        <v>低額</v>
      </c>
    </row>
    <row r="996" spans="2:8" x14ac:dyDescent="0.25">
      <c r="B996" s="9" t="s">
        <v>1987</v>
      </c>
      <c r="C996" s="9" t="s">
        <v>18</v>
      </c>
      <c r="D996" s="24">
        <v>126000</v>
      </c>
      <c r="E996" s="9" t="s">
        <v>2666</v>
      </c>
      <c r="F996" s="9" t="s">
        <v>62</v>
      </c>
      <c r="G996" s="9" t="s">
        <v>51</v>
      </c>
      <c r="H996" t="str" cm="1">
        <f t="array" ref="H996">_xlfn.IFS(D996&gt;=250000,"高額",D996&gt;=150000,"中額",TRUE,"低額")</f>
        <v>低額</v>
      </c>
    </row>
    <row r="997" spans="2:8" x14ac:dyDescent="0.25">
      <c r="B997" s="9" t="s">
        <v>1989</v>
      </c>
      <c r="C997" s="9" t="s">
        <v>16</v>
      </c>
      <c r="D997" s="24">
        <v>279000</v>
      </c>
      <c r="E997" s="9" t="s">
        <v>2667</v>
      </c>
      <c r="F997" s="9" t="s">
        <v>64</v>
      </c>
      <c r="G997" s="9" t="s">
        <v>58</v>
      </c>
      <c r="H997" t="str" cm="1">
        <f t="array" ref="H997">_xlfn.IFS(D997&gt;=250000,"高額",D997&gt;=150000,"中額",TRUE,"低額")</f>
        <v>高額</v>
      </c>
    </row>
    <row r="998" spans="2:8" x14ac:dyDescent="0.25">
      <c r="B998" s="9" t="s">
        <v>1991</v>
      </c>
      <c r="C998" s="9" t="s">
        <v>24</v>
      </c>
      <c r="D998" s="24">
        <v>277000</v>
      </c>
      <c r="E998" s="9" t="s">
        <v>2668</v>
      </c>
      <c r="F998" s="9" t="s">
        <v>65</v>
      </c>
      <c r="G998" s="9" t="s">
        <v>53</v>
      </c>
      <c r="H998" t="str" cm="1">
        <f t="array" ref="H998">_xlfn.IFS(D998&gt;=250000,"高額",D998&gt;=150000,"中額",TRUE,"低額")</f>
        <v>高額</v>
      </c>
    </row>
    <row r="999" spans="2:8" x14ac:dyDescent="0.25">
      <c r="B999" s="9" t="s">
        <v>1993</v>
      </c>
      <c r="C999" s="9" t="s">
        <v>20</v>
      </c>
      <c r="D999" s="24">
        <v>248000</v>
      </c>
      <c r="E999" s="9" t="s">
        <v>2669</v>
      </c>
      <c r="F999" s="9" t="s">
        <v>64</v>
      </c>
      <c r="G999" s="9" t="s">
        <v>43</v>
      </c>
      <c r="H999" t="str" cm="1">
        <f t="array" ref="H999">_xlfn.IFS(D999&gt;=250000,"高額",D999&gt;=150000,"中額",TRUE,"低額")</f>
        <v>中額</v>
      </c>
    </row>
    <row r="1000" spans="2:8" x14ac:dyDescent="0.25">
      <c r="B1000" s="9" t="s">
        <v>1995</v>
      </c>
      <c r="C1000" s="9" t="s">
        <v>12</v>
      </c>
      <c r="D1000" s="24">
        <v>183000</v>
      </c>
      <c r="E1000" s="9" t="s">
        <v>2670</v>
      </c>
      <c r="F1000" s="9" t="s">
        <v>65</v>
      </c>
      <c r="G1000" s="9" t="s">
        <v>51</v>
      </c>
      <c r="H1000" t="str" cm="1">
        <f t="array" ref="H1000">_xlfn.IFS(D1000&gt;=250000,"高額",D1000&gt;=150000,"中額",TRUE,"低額")</f>
        <v>中額</v>
      </c>
    </row>
    <row r="1001" spans="2:8" x14ac:dyDescent="0.25">
      <c r="B1001" s="9" t="s">
        <v>1997</v>
      </c>
      <c r="C1001" s="9" t="s">
        <v>24</v>
      </c>
      <c r="D1001" s="24">
        <v>77000</v>
      </c>
      <c r="E1001" s="9" t="s">
        <v>2671</v>
      </c>
      <c r="F1001" s="9" t="s">
        <v>66</v>
      </c>
      <c r="G1001" s="9" t="s">
        <v>53</v>
      </c>
      <c r="H1001" t="str" cm="1">
        <f t="array" ref="H1001">_xlfn.IFS(D1001&gt;=250000,"高額",D1001&gt;=150000,"中額",TRUE,"低額")</f>
        <v>低額</v>
      </c>
    </row>
  </sheetData>
  <mergeCells count="1">
    <mergeCell ref="J12:M15"/>
  </mergeCells>
  <phoneticPr fontId="2" type="noConversion"/>
  <conditionalFormatting sqref="H2:H1001">
    <cfRule type="containsText" dxfId="2" priority="2" operator="containsText" text="高額">
      <formula>NOT(ISERROR(SEARCH("高額",H2)))</formula>
    </cfRule>
  </conditionalFormatting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F945-B898-4DC8-93DB-1E1A7AF9584F}">
  <dimension ref="A1:C8"/>
  <sheetViews>
    <sheetView topLeftCell="A4" workbookViewId="0"/>
  </sheetViews>
  <sheetFormatPr defaultRowHeight="15.75" x14ac:dyDescent="0.25"/>
  <cols>
    <col min="1" max="16384" width="9" style="9"/>
  </cols>
  <sheetData>
    <row r="1" spans="1:3" x14ac:dyDescent="0.25">
      <c r="A1" s="9" t="s">
        <v>9</v>
      </c>
      <c r="B1" s="9" t="s">
        <v>10</v>
      </c>
      <c r="C1" s="9" t="s">
        <v>11</v>
      </c>
    </row>
    <row r="2" spans="1:3" x14ac:dyDescent="0.25">
      <c r="A2" s="9" t="s">
        <v>34</v>
      </c>
      <c r="B2" s="9" t="s">
        <v>12</v>
      </c>
      <c r="C2" s="9" t="s">
        <v>13</v>
      </c>
    </row>
    <row r="3" spans="1:3" x14ac:dyDescent="0.25">
      <c r="A3" s="9" t="s">
        <v>35</v>
      </c>
      <c r="B3" s="9" t="s">
        <v>14</v>
      </c>
      <c r="C3" s="9" t="s">
        <v>15</v>
      </c>
    </row>
    <row r="4" spans="1:3" x14ac:dyDescent="0.25">
      <c r="A4" s="9" t="s">
        <v>36</v>
      </c>
      <c r="B4" s="9" t="s">
        <v>16</v>
      </c>
      <c r="C4" s="9" t="s">
        <v>17</v>
      </c>
    </row>
    <row r="5" spans="1:3" x14ac:dyDescent="0.25">
      <c r="A5" s="9" t="s">
        <v>37</v>
      </c>
      <c r="B5" s="9" t="s">
        <v>18</v>
      </c>
      <c r="C5" s="9" t="s">
        <v>19</v>
      </c>
    </row>
    <row r="6" spans="1:3" x14ac:dyDescent="0.25">
      <c r="A6" s="9" t="s">
        <v>38</v>
      </c>
      <c r="B6" s="9" t="s">
        <v>20</v>
      </c>
      <c r="C6" s="9" t="s">
        <v>21</v>
      </c>
    </row>
    <row r="7" spans="1:3" x14ac:dyDescent="0.25">
      <c r="A7" s="9" t="s">
        <v>39</v>
      </c>
      <c r="B7" s="9" t="s">
        <v>22</v>
      </c>
      <c r="C7" s="9" t="s">
        <v>23</v>
      </c>
    </row>
    <row r="8" spans="1:3" x14ac:dyDescent="0.25">
      <c r="A8" s="9" t="s">
        <v>40</v>
      </c>
      <c r="B8" s="9" t="s">
        <v>24</v>
      </c>
      <c r="C8" s="9" t="s">
        <v>25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71EF-D151-4660-BFDD-68A8DEA9E764}">
  <dimension ref="A1:C10"/>
  <sheetViews>
    <sheetView workbookViewId="0"/>
  </sheetViews>
  <sheetFormatPr defaultRowHeight="15.75" x14ac:dyDescent="0.25"/>
  <cols>
    <col min="1" max="16384" width="9" style="9"/>
  </cols>
  <sheetData>
    <row r="1" spans="1:3" x14ac:dyDescent="0.25">
      <c r="A1" s="9" t="s">
        <v>9</v>
      </c>
      <c r="B1" s="9" t="s">
        <v>41</v>
      </c>
      <c r="C1" s="9" t="s">
        <v>10</v>
      </c>
    </row>
    <row r="2" spans="1:3" x14ac:dyDescent="0.25">
      <c r="A2" s="9" t="s">
        <v>34</v>
      </c>
      <c r="B2" s="9" t="s">
        <v>42</v>
      </c>
      <c r="C2" s="9" t="s">
        <v>43</v>
      </c>
    </row>
    <row r="3" spans="1:3" x14ac:dyDescent="0.25">
      <c r="A3" s="9" t="s">
        <v>35</v>
      </c>
      <c r="B3" s="9" t="s">
        <v>44</v>
      </c>
      <c r="C3" s="9" t="s">
        <v>45</v>
      </c>
    </row>
    <row r="4" spans="1:3" x14ac:dyDescent="0.25">
      <c r="A4" s="9" t="s">
        <v>36</v>
      </c>
      <c r="B4" s="9" t="s">
        <v>46</v>
      </c>
      <c r="C4" s="9" t="s">
        <v>47</v>
      </c>
    </row>
    <row r="5" spans="1:3" x14ac:dyDescent="0.25">
      <c r="A5" s="9" t="s">
        <v>37</v>
      </c>
      <c r="B5" s="9" t="s">
        <v>48</v>
      </c>
      <c r="C5" s="9" t="s">
        <v>49</v>
      </c>
    </row>
    <row r="6" spans="1:3" x14ac:dyDescent="0.25">
      <c r="A6" s="9" t="s">
        <v>38</v>
      </c>
      <c r="B6" s="9" t="s">
        <v>50</v>
      </c>
      <c r="C6" s="9" t="s">
        <v>51</v>
      </c>
    </row>
    <row r="7" spans="1:3" x14ac:dyDescent="0.25">
      <c r="A7" s="9" t="s">
        <v>39</v>
      </c>
      <c r="B7" s="9" t="s">
        <v>52</v>
      </c>
      <c r="C7" s="9" t="s">
        <v>53</v>
      </c>
    </row>
    <row r="8" spans="1:3" x14ac:dyDescent="0.25">
      <c r="A8" s="9" t="s">
        <v>40</v>
      </c>
      <c r="B8" s="9" t="s">
        <v>54</v>
      </c>
      <c r="C8" s="9" t="s">
        <v>55</v>
      </c>
    </row>
    <row r="9" spans="1:3" x14ac:dyDescent="0.25">
      <c r="A9" s="9" t="s">
        <v>56</v>
      </c>
      <c r="B9" s="9" t="s">
        <v>57</v>
      </c>
      <c r="C9" s="9" t="s">
        <v>58</v>
      </c>
    </row>
    <row r="10" spans="1:3" x14ac:dyDescent="0.25">
      <c r="A10" s="9" t="s">
        <v>59</v>
      </c>
      <c r="B10" s="9" t="s">
        <v>60</v>
      </c>
      <c r="C10" s="9" t="s">
        <v>61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3804-D34B-46CF-BC3B-036F1D842F6B}">
  <dimension ref="A1:B7"/>
  <sheetViews>
    <sheetView topLeftCell="A2" workbookViewId="0">
      <selection activeCell="C34" sqref="C33:C34"/>
    </sheetView>
  </sheetViews>
  <sheetFormatPr defaultRowHeight="15.75" x14ac:dyDescent="0.25"/>
  <cols>
    <col min="1" max="16384" width="9" style="9"/>
  </cols>
  <sheetData>
    <row r="1" spans="1:2" x14ac:dyDescent="0.25">
      <c r="A1" s="9" t="s">
        <v>9</v>
      </c>
      <c r="B1" s="9" t="s">
        <v>10</v>
      </c>
    </row>
    <row r="2" spans="1:2" x14ac:dyDescent="0.25">
      <c r="A2" s="9" t="s">
        <v>34</v>
      </c>
      <c r="B2" s="9" t="s">
        <v>62</v>
      </c>
    </row>
    <row r="3" spans="1:2" x14ac:dyDescent="0.25">
      <c r="A3" s="9" t="s">
        <v>35</v>
      </c>
      <c r="B3" s="9" t="s">
        <v>63</v>
      </c>
    </row>
    <row r="4" spans="1:2" x14ac:dyDescent="0.25">
      <c r="A4" s="9" t="s">
        <v>36</v>
      </c>
      <c r="B4" s="9" t="s">
        <v>64</v>
      </c>
    </row>
    <row r="5" spans="1:2" x14ac:dyDescent="0.25">
      <c r="A5" s="9" t="s">
        <v>37</v>
      </c>
      <c r="B5" s="9" t="s">
        <v>65</v>
      </c>
    </row>
    <row r="6" spans="1:2" x14ac:dyDescent="0.25">
      <c r="A6" s="9" t="s">
        <v>38</v>
      </c>
      <c r="B6" s="9" t="s">
        <v>66</v>
      </c>
    </row>
    <row r="7" spans="1:2" x14ac:dyDescent="0.25">
      <c r="A7" s="9" t="s">
        <v>39</v>
      </c>
      <c r="B7" s="9" t="s">
        <v>67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8273-3502-49C4-97FE-6CA86244541E}">
  <dimension ref="A1:F1001"/>
  <sheetViews>
    <sheetView topLeftCell="A969" workbookViewId="0">
      <selection sqref="A1:F1001"/>
    </sheetView>
  </sheetViews>
  <sheetFormatPr defaultRowHeight="15.75" x14ac:dyDescent="0.25"/>
  <cols>
    <col min="1" max="16384" width="9" style="9"/>
  </cols>
  <sheetData>
    <row r="1" spans="1:6" x14ac:dyDescent="0.25">
      <c r="A1" s="9" t="s">
        <v>9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</row>
    <row r="2" spans="1:6" x14ac:dyDescent="0.25">
      <c r="A2" s="9" t="s">
        <v>34</v>
      </c>
      <c r="B2" s="9" t="s">
        <v>59</v>
      </c>
      <c r="C2" s="9" t="s">
        <v>37</v>
      </c>
      <c r="D2" s="9" t="s">
        <v>39</v>
      </c>
      <c r="E2" s="9" t="s">
        <v>73</v>
      </c>
      <c r="F2" s="9" t="s">
        <v>74</v>
      </c>
    </row>
    <row r="3" spans="1:6" x14ac:dyDescent="0.25">
      <c r="A3" s="9" t="s">
        <v>35</v>
      </c>
      <c r="B3" s="9" t="s">
        <v>37</v>
      </c>
      <c r="C3" s="9" t="s">
        <v>39</v>
      </c>
      <c r="D3" s="9" t="s">
        <v>37</v>
      </c>
      <c r="E3" s="9" t="s">
        <v>75</v>
      </c>
      <c r="F3" s="9" t="s">
        <v>76</v>
      </c>
    </row>
    <row r="4" spans="1:6" x14ac:dyDescent="0.25">
      <c r="A4" s="9" t="s">
        <v>36</v>
      </c>
      <c r="B4" s="9" t="s">
        <v>35</v>
      </c>
      <c r="C4" s="9" t="s">
        <v>34</v>
      </c>
      <c r="D4" s="9" t="s">
        <v>36</v>
      </c>
      <c r="E4" s="9" t="s">
        <v>77</v>
      </c>
      <c r="F4" s="9" t="s">
        <v>78</v>
      </c>
    </row>
    <row r="5" spans="1:6" x14ac:dyDescent="0.25">
      <c r="A5" s="9" t="s">
        <v>37</v>
      </c>
      <c r="B5" s="9" t="s">
        <v>56</v>
      </c>
      <c r="C5" s="9" t="s">
        <v>36</v>
      </c>
      <c r="D5" s="9" t="s">
        <v>36</v>
      </c>
      <c r="E5" s="9" t="s">
        <v>79</v>
      </c>
      <c r="F5" s="9" t="s">
        <v>80</v>
      </c>
    </row>
    <row r="6" spans="1:6" x14ac:dyDescent="0.25">
      <c r="A6" s="9" t="s">
        <v>38</v>
      </c>
      <c r="B6" s="9" t="s">
        <v>34</v>
      </c>
      <c r="C6" s="9" t="s">
        <v>38</v>
      </c>
      <c r="D6" s="9" t="s">
        <v>35</v>
      </c>
      <c r="E6" s="9" t="s">
        <v>81</v>
      </c>
      <c r="F6" s="9" t="s">
        <v>80</v>
      </c>
    </row>
    <row r="7" spans="1:6" x14ac:dyDescent="0.25">
      <c r="A7" s="9" t="s">
        <v>39</v>
      </c>
      <c r="B7" s="9" t="s">
        <v>39</v>
      </c>
      <c r="C7" s="9" t="s">
        <v>35</v>
      </c>
      <c r="D7" s="9" t="s">
        <v>37</v>
      </c>
      <c r="E7" s="9" t="s">
        <v>82</v>
      </c>
      <c r="F7" s="9" t="s">
        <v>83</v>
      </c>
    </row>
    <row r="8" spans="1:6" x14ac:dyDescent="0.25">
      <c r="A8" s="9" t="s">
        <v>40</v>
      </c>
      <c r="B8" s="9" t="s">
        <v>40</v>
      </c>
      <c r="C8" s="9" t="s">
        <v>34</v>
      </c>
      <c r="D8" s="9" t="s">
        <v>34</v>
      </c>
      <c r="E8" s="9" t="s">
        <v>84</v>
      </c>
      <c r="F8" s="9" t="s">
        <v>85</v>
      </c>
    </row>
    <row r="9" spans="1:6" x14ac:dyDescent="0.25">
      <c r="A9" s="9" t="s">
        <v>56</v>
      </c>
      <c r="B9" s="9" t="s">
        <v>59</v>
      </c>
      <c r="C9" s="9" t="s">
        <v>34</v>
      </c>
      <c r="D9" s="9" t="s">
        <v>36</v>
      </c>
      <c r="E9" s="9" t="s">
        <v>86</v>
      </c>
      <c r="F9" s="9" t="s">
        <v>87</v>
      </c>
    </row>
    <row r="10" spans="1:6" x14ac:dyDescent="0.25">
      <c r="A10" s="9" t="s">
        <v>59</v>
      </c>
      <c r="B10" s="9" t="s">
        <v>37</v>
      </c>
      <c r="C10" s="9" t="s">
        <v>36</v>
      </c>
      <c r="D10" s="9" t="s">
        <v>38</v>
      </c>
      <c r="E10" s="9" t="s">
        <v>88</v>
      </c>
      <c r="F10" s="9" t="s">
        <v>89</v>
      </c>
    </row>
    <row r="11" spans="1:6" x14ac:dyDescent="0.25">
      <c r="A11" s="9" t="s">
        <v>90</v>
      </c>
      <c r="B11" s="9" t="s">
        <v>35</v>
      </c>
      <c r="C11" s="9" t="s">
        <v>36</v>
      </c>
      <c r="D11" s="9" t="s">
        <v>34</v>
      </c>
      <c r="E11" s="9" t="s">
        <v>91</v>
      </c>
      <c r="F11" s="9" t="s">
        <v>89</v>
      </c>
    </row>
    <row r="12" spans="1:6" x14ac:dyDescent="0.25">
      <c r="A12" s="9" t="s">
        <v>92</v>
      </c>
      <c r="B12" s="9" t="s">
        <v>56</v>
      </c>
      <c r="C12" s="9" t="s">
        <v>39</v>
      </c>
      <c r="D12" s="9" t="s">
        <v>39</v>
      </c>
      <c r="E12" s="9" t="s">
        <v>93</v>
      </c>
      <c r="F12" s="9" t="s">
        <v>89</v>
      </c>
    </row>
    <row r="13" spans="1:6" x14ac:dyDescent="0.25">
      <c r="A13" s="9" t="s">
        <v>94</v>
      </c>
      <c r="B13" s="9" t="s">
        <v>56</v>
      </c>
      <c r="C13" s="9" t="s">
        <v>35</v>
      </c>
      <c r="D13" s="9" t="s">
        <v>36</v>
      </c>
      <c r="E13" s="9" t="s">
        <v>95</v>
      </c>
      <c r="F13" s="9" t="s">
        <v>96</v>
      </c>
    </row>
    <row r="14" spans="1:6" x14ac:dyDescent="0.25">
      <c r="A14" s="9" t="s">
        <v>97</v>
      </c>
      <c r="B14" s="9" t="s">
        <v>40</v>
      </c>
      <c r="C14" s="9" t="s">
        <v>37</v>
      </c>
      <c r="D14" s="9" t="s">
        <v>36</v>
      </c>
      <c r="E14" s="9" t="s">
        <v>98</v>
      </c>
      <c r="F14" s="9" t="s">
        <v>96</v>
      </c>
    </row>
    <row r="15" spans="1:6" x14ac:dyDescent="0.25">
      <c r="A15" s="9" t="s">
        <v>99</v>
      </c>
      <c r="B15" s="9" t="s">
        <v>35</v>
      </c>
      <c r="C15" s="9" t="s">
        <v>38</v>
      </c>
      <c r="D15" s="9" t="s">
        <v>35</v>
      </c>
      <c r="E15" s="9" t="s">
        <v>100</v>
      </c>
      <c r="F15" s="9" t="s">
        <v>101</v>
      </c>
    </row>
    <row r="16" spans="1:6" x14ac:dyDescent="0.25">
      <c r="A16" s="9" t="s">
        <v>102</v>
      </c>
      <c r="B16" s="9" t="s">
        <v>38</v>
      </c>
      <c r="C16" s="9" t="s">
        <v>39</v>
      </c>
      <c r="D16" s="9" t="s">
        <v>37</v>
      </c>
      <c r="E16" s="9" t="s">
        <v>103</v>
      </c>
      <c r="F16" s="9" t="s">
        <v>101</v>
      </c>
    </row>
    <row r="17" spans="1:6" x14ac:dyDescent="0.25">
      <c r="A17" s="9" t="s">
        <v>104</v>
      </c>
      <c r="B17" s="9" t="s">
        <v>59</v>
      </c>
      <c r="C17" s="9" t="s">
        <v>35</v>
      </c>
      <c r="D17" s="9" t="s">
        <v>38</v>
      </c>
      <c r="E17" s="9" t="s">
        <v>105</v>
      </c>
      <c r="F17" s="9" t="s">
        <v>101</v>
      </c>
    </row>
    <row r="18" spans="1:6" x14ac:dyDescent="0.25">
      <c r="A18" s="9" t="s">
        <v>106</v>
      </c>
      <c r="B18" s="9" t="s">
        <v>59</v>
      </c>
      <c r="C18" s="9" t="s">
        <v>36</v>
      </c>
      <c r="D18" s="9" t="s">
        <v>34</v>
      </c>
      <c r="E18" s="9" t="s">
        <v>107</v>
      </c>
      <c r="F18" s="9" t="s">
        <v>101</v>
      </c>
    </row>
    <row r="19" spans="1:6" x14ac:dyDescent="0.25">
      <c r="A19" s="9" t="s">
        <v>108</v>
      </c>
      <c r="B19" s="9" t="s">
        <v>35</v>
      </c>
      <c r="C19" s="9" t="s">
        <v>39</v>
      </c>
      <c r="D19" s="9" t="s">
        <v>37</v>
      </c>
      <c r="E19" s="9" t="s">
        <v>109</v>
      </c>
      <c r="F19" s="9" t="s">
        <v>110</v>
      </c>
    </row>
    <row r="20" spans="1:6" x14ac:dyDescent="0.25">
      <c r="A20" s="9" t="s">
        <v>111</v>
      </c>
      <c r="B20" s="9" t="s">
        <v>35</v>
      </c>
      <c r="C20" s="9" t="s">
        <v>39</v>
      </c>
      <c r="D20" s="9" t="s">
        <v>34</v>
      </c>
      <c r="E20" s="9" t="s">
        <v>112</v>
      </c>
      <c r="F20" s="9" t="s">
        <v>110</v>
      </c>
    </row>
    <row r="21" spans="1:6" x14ac:dyDescent="0.25">
      <c r="A21" s="9" t="s">
        <v>113</v>
      </c>
      <c r="B21" s="9" t="s">
        <v>37</v>
      </c>
      <c r="C21" s="9" t="s">
        <v>35</v>
      </c>
      <c r="D21" s="9" t="s">
        <v>38</v>
      </c>
      <c r="E21" s="9" t="s">
        <v>114</v>
      </c>
      <c r="F21" s="9" t="s">
        <v>115</v>
      </c>
    </row>
    <row r="22" spans="1:6" x14ac:dyDescent="0.25">
      <c r="A22" s="9" t="s">
        <v>116</v>
      </c>
      <c r="B22" s="9" t="s">
        <v>35</v>
      </c>
      <c r="C22" s="9" t="s">
        <v>36</v>
      </c>
      <c r="D22" s="9" t="s">
        <v>37</v>
      </c>
      <c r="E22" s="9" t="s">
        <v>117</v>
      </c>
      <c r="F22" s="9" t="s">
        <v>115</v>
      </c>
    </row>
    <row r="23" spans="1:6" x14ac:dyDescent="0.25">
      <c r="A23" s="9" t="s">
        <v>118</v>
      </c>
      <c r="B23" s="9" t="s">
        <v>37</v>
      </c>
      <c r="C23" s="9" t="s">
        <v>39</v>
      </c>
      <c r="D23" s="9" t="s">
        <v>39</v>
      </c>
      <c r="E23" s="9" t="s">
        <v>119</v>
      </c>
      <c r="F23" s="9" t="s">
        <v>120</v>
      </c>
    </row>
    <row r="24" spans="1:6" x14ac:dyDescent="0.25">
      <c r="A24" s="9" t="s">
        <v>121</v>
      </c>
      <c r="B24" s="9" t="s">
        <v>38</v>
      </c>
      <c r="C24" s="9" t="s">
        <v>35</v>
      </c>
      <c r="D24" s="9" t="s">
        <v>38</v>
      </c>
      <c r="E24" s="9" t="s">
        <v>122</v>
      </c>
      <c r="F24" s="9" t="s">
        <v>120</v>
      </c>
    </row>
    <row r="25" spans="1:6" x14ac:dyDescent="0.25">
      <c r="A25" s="9" t="s">
        <v>123</v>
      </c>
      <c r="B25" s="9" t="s">
        <v>36</v>
      </c>
      <c r="C25" s="9" t="s">
        <v>37</v>
      </c>
      <c r="D25" s="9" t="s">
        <v>35</v>
      </c>
      <c r="E25" s="9" t="s">
        <v>124</v>
      </c>
      <c r="F25" s="9" t="s">
        <v>120</v>
      </c>
    </row>
    <row r="26" spans="1:6" x14ac:dyDescent="0.25">
      <c r="A26" s="9" t="s">
        <v>125</v>
      </c>
      <c r="B26" s="9" t="s">
        <v>35</v>
      </c>
      <c r="C26" s="9" t="s">
        <v>36</v>
      </c>
      <c r="D26" s="9" t="s">
        <v>34</v>
      </c>
      <c r="E26" s="9" t="s">
        <v>126</v>
      </c>
      <c r="F26" s="9" t="s">
        <v>120</v>
      </c>
    </row>
    <row r="27" spans="1:6" x14ac:dyDescent="0.25">
      <c r="A27" s="9" t="s">
        <v>127</v>
      </c>
      <c r="B27" s="9" t="s">
        <v>37</v>
      </c>
      <c r="C27" s="9" t="s">
        <v>35</v>
      </c>
      <c r="D27" s="9" t="s">
        <v>35</v>
      </c>
      <c r="E27" s="9" t="s">
        <v>128</v>
      </c>
      <c r="F27" s="9" t="s">
        <v>129</v>
      </c>
    </row>
    <row r="28" spans="1:6" x14ac:dyDescent="0.25">
      <c r="A28" s="9" t="s">
        <v>130</v>
      </c>
      <c r="B28" s="9" t="s">
        <v>36</v>
      </c>
      <c r="C28" s="9" t="s">
        <v>39</v>
      </c>
      <c r="D28" s="9" t="s">
        <v>35</v>
      </c>
      <c r="E28" s="9" t="s">
        <v>131</v>
      </c>
      <c r="F28" s="9" t="s">
        <v>132</v>
      </c>
    </row>
    <row r="29" spans="1:6" x14ac:dyDescent="0.25">
      <c r="A29" s="9" t="s">
        <v>133</v>
      </c>
      <c r="B29" s="9" t="s">
        <v>35</v>
      </c>
      <c r="C29" s="9" t="s">
        <v>34</v>
      </c>
      <c r="D29" s="9" t="s">
        <v>36</v>
      </c>
      <c r="E29" s="9" t="s">
        <v>134</v>
      </c>
      <c r="F29" s="9" t="s">
        <v>135</v>
      </c>
    </row>
    <row r="30" spans="1:6" x14ac:dyDescent="0.25">
      <c r="A30" s="9" t="s">
        <v>136</v>
      </c>
      <c r="B30" s="9" t="s">
        <v>38</v>
      </c>
      <c r="C30" s="9" t="s">
        <v>38</v>
      </c>
      <c r="D30" s="9" t="s">
        <v>36</v>
      </c>
      <c r="E30" s="9" t="s">
        <v>137</v>
      </c>
      <c r="F30" s="9" t="s">
        <v>135</v>
      </c>
    </row>
    <row r="31" spans="1:6" x14ac:dyDescent="0.25">
      <c r="A31" s="9" t="s">
        <v>138</v>
      </c>
      <c r="B31" s="9" t="s">
        <v>35</v>
      </c>
      <c r="C31" s="9" t="s">
        <v>35</v>
      </c>
      <c r="D31" s="9" t="s">
        <v>34</v>
      </c>
      <c r="E31" s="9" t="s">
        <v>139</v>
      </c>
      <c r="F31" s="9" t="s">
        <v>140</v>
      </c>
    </row>
    <row r="32" spans="1:6" x14ac:dyDescent="0.25">
      <c r="A32" s="9" t="s">
        <v>141</v>
      </c>
      <c r="B32" s="9" t="s">
        <v>34</v>
      </c>
      <c r="C32" s="9" t="s">
        <v>40</v>
      </c>
      <c r="D32" s="9" t="s">
        <v>36</v>
      </c>
      <c r="E32" s="9" t="s">
        <v>142</v>
      </c>
      <c r="F32" s="9" t="s">
        <v>143</v>
      </c>
    </row>
    <row r="33" spans="1:6" x14ac:dyDescent="0.25">
      <c r="A33" s="9" t="s">
        <v>144</v>
      </c>
      <c r="B33" s="9" t="s">
        <v>36</v>
      </c>
      <c r="C33" s="9" t="s">
        <v>39</v>
      </c>
      <c r="D33" s="9" t="s">
        <v>35</v>
      </c>
      <c r="E33" s="9" t="s">
        <v>145</v>
      </c>
      <c r="F33" s="9" t="s">
        <v>143</v>
      </c>
    </row>
    <row r="34" spans="1:6" x14ac:dyDescent="0.25">
      <c r="A34" s="9" t="s">
        <v>146</v>
      </c>
      <c r="B34" s="9" t="s">
        <v>56</v>
      </c>
      <c r="C34" s="9" t="s">
        <v>39</v>
      </c>
      <c r="D34" s="9" t="s">
        <v>38</v>
      </c>
      <c r="E34" s="9" t="s">
        <v>147</v>
      </c>
      <c r="F34" s="9" t="s">
        <v>148</v>
      </c>
    </row>
    <row r="35" spans="1:6" x14ac:dyDescent="0.25">
      <c r="A35" s="9" t="s">
        <v>149</v>
      </c>
      <c r="B35" s="9" t="s">
        <v>34</v>
      </c>
      <c r="C35" s="9" t="s">
        <v>34</v>
      </c>
      <c r="D35" s="9" t="s">
        <v>38</v>
      </c>
      <c r="E35" s="9" t="s">
        <v>150</v>
      </c>
      <c r="F35" s="9" t="s">
        <v>148</v>
      </c>
    </row>
    <row r="36" spans="1:6" x14ac:dyDescent="0.25">
      <c r="A36" s="9" t="s">
        <v>151</v>
      </c>
      <c r="B36" s="9" t="s">
        <v>35</v>
      </c>
      <c r="C36" s="9" t="s">
        <v>40</v>
      </c>
      <c r="D36" s="9" t="s">
        <v>39</v>
      </c>
      <c r="E36" s="9" t="s">
        <v>152</v>
      </c>
      <c r="F36" s="9" t="s">
        <v>153</v>
      </c>
    </row>
    <row r="37" spans="1:6" x14ac:dyDescent="0.25">
      <c r="A37" s="9" t="s">
        <v>154</v>
      </c>
      <c r="B37" s="9" t="s">
        <v>59</v>
      </c>
      <c r="C37" s="9" t="s">
        <v>35</v>
      </c>
      <c r="D37" s="9" t="s">
        <v>39</v>
      </c>
      <c r="E37" s="9" t="s">
        <v>155</v>
      </c>
      <c r="F37" s="9" t="s">
        <v>156</v>
      </c>
    </row>
    <row r="38" spans="1:6" x14ac:dyDescent="0.25">
      <c r="A38" s="9" t="s">
        <v>157</v>
      </c>
      <c r="B38" s="9" t="s">
        <v>39</v>
      </c>
      <c r="C38" s="9" t="s">
        <v>37</v>
      </c>
      <c r="D38" s="9" t="s">
        <v>36</v>
      </c>
      <c r="E38" s="9" t="s">
        <v>158</v>
      </c>
      <c r="F38" s="9" t="s">
        <v>156</v>
      </c>
    </row>
    <row r="39" spans="1:6" x14ac:dyDescent="0.25">
      <c r="A39" s="9" t="s">
        <v>159</v>
      </c>
      <c r="B39" s="9" t="s">
        <v>37</v>
      </c>
      <c r="C39" s="9" t="s">
        <v>36</v>
      </c>
      <c r="D39" s="9" t="s">
        <v>35</v>
      </c>
      <c r="E39" s="9" t="s">
        <v>160</v>
      </c>
      <c r="F39" s="9" t="s">
        <v>161</v>
      </c>
    </row>
    <row r="40" spans="1:6" x14ac:dyDescent="0.25">
      <c r="A40" s="9" t="s">
        <v>162</v>
      </c>
      <c r="B40" s="9" t="s">
        <v>38</v>
      </c>
      <c r="C40" s="9" t="s">
        <v>35</v>
      </c>
      <c r="D40" s="9" t="s">
        <v>39</v>
      </c>
      <c r="E40" s="9" t="s">
        <v>163</v>
      </c>
      <c r="F40" s="9" t="s">
        <v>161</v>
      </c>
    </row>
    <row r="41" spans="1:6" x14ac:dyDescent="0.25">
      <c r="A41" s="9" t="s">
        <v>164</v>
      </c>
      <c r="B41" s="9" t="s">
        <v>56</v>
      </c>
      <c r="C41" s="9" t="s">
        <v>37</v>
      </c>
      <c r="D41" s="9" t="s">
        <v>39</v>
      </c>
      <c r="E41" s="9" t="s">
        <v>165</v>
      </c>
      <c r="F41" s="9" t="s">
        <v>166</v>
      </c>
    </row>
    <row r="42" spans="1:6" x14ac:dyDescent="0.25">
      <c r="A42" s="9" t="s">
        <v>167</v>
      </c>
      <c r="B42" s="9" t="s">
        <v>56</v>
      </c>
      <c r="C42" s="9" t="s">
        <v>34</v>
      </c>
      <c r="D42" s="9" t="s">
        <v>39</v>
      </c>
      <c r="E42" s="9" t="s">
        <v>168</v>
      </c>
      <c r="F42" s="9" t="s">
        <v>169</v>
      </c>
    </row>
    <row r="43" spans="1:6" x14ac:dyDescent="0.25">
      <c r="A43" s="9" t="s">
        <v>170</v>
      </c>
      <c r="B43" s="9" t="s">
        <v>39</v>
      </c>
      <c r="C43" s="9" t="s">
        <v>34</v>
      </c>
      <c r="D43" s="9" t="s">
        <v>34</v>
      </c>
      <c r="E43" s="9" t="s">
        <v>171</v>
      </c>
      <c r="F43" s="9" t="s">
        <v>172</v>
      </c>
    </row>
    <row r="44" spans="1:6" x14ac:dyDescent="0.25">
      <c r="A44" s="9" t="s">
        <v>173</v>
      </c>
      <c r="B44" s="9" t="s">
        <v>35</v>
      </c>
      <c r="C44" s="9" t="s">
        <v>39</v>
      </c>
      <c r="D44" s="9" t="s">
        <v>38</v>
      </c>
      <c r="E44" s="9" t="s">
        <v>174</v>
      </c>
      <c r="F44" s="9" t="s">
        <v>175</v>
      </c>
    </row>
    <row r="45" spans="1:6" x14ac:dyDescent="0.25">
      <c r="A45" s="9" t="s">
        <v>176</v>
      </c>
      <c r="B45" s="9" t="s">
        <v>38</v>
      </c>
      <c r="C45" s="9" t="s">
        <v>38</v>
      </c>
      <c r="D45" s="9" t="s">
        <v>39</v>
      </c>
      <c r="E45" s="9" t="s">
        <v>177</v>
      </c>
      <c r="F45" s="9" t="s">
        <v>178</v>
      </c>
    </row>
    <row r="46" spans="1:6" x14ac:dyDescent="0.25">
      <c r="A46" s="9" t="s">
        <v>179</v>
      </c>
      <c r="B46" s="9" t="s">
        <v>56</v>
      </c>
      <c r="C46" s="9" t="s">
        <v>39</v>
      </c>
      <c r="D46" s="9" t="s">
        <v>36</v>
      </c>
      <c r="E46" s="9" t="s">
        <v>180</v>
      </c>
      <c r="F46" s="9" t="s">
        <v>181</v>
      </c>
    </row>
    <row r="47" spans="1:6" x14ac:dyDescent="0.25">
      <c r="A47" s="9" t="s">
        <v>182</v>
      </c>
      <c r="B47" s="9" t="s">
        <v>59</v>
      </c>
      <c r="C47" s="9" t="s">
        <v>34</v>
      </c>
      <c r="D47" s="9" t="s">
        <v>34</v>
      </c>
      <c r="E47" s="9" t="s">
        <v>183</v>
      </c>
      <c r="F47" s="9" t="s">
        <v>181</v>
      </c>
    </row>
    <row r="48" spans="1:6" x14ac:dyDescent="0.25">
      <c r="A48" s="9" t="s">
        <v>184</v>
      </c>
      <c r="B48" s="9" t="s">
        <v>39</v>
      </c>
      <c r="C48" s="9" t="s">
        <v>38</v>
      </c>
      <c r="D48" s="9" t="s">
        <v>38</v>
      </c>
      <c r="E48" s="9" t="s">
        <v>185</v>
      </c>
      <c r="F48" s="9" t="s">
        <v>186</v>
      </c>
    </row>
    <row r="49" spans="1:6" x14ac:dyDescent="0.25">
      <c r="A49" s="9" t="s">
        <v>187</v>
      </c>
      <c r="B49" s="9" t="s">
        <v>40</v>
      </c>
      <c r="C49" s="9" t="s">
        <v>34</v>
      </c>
      <c r="D49" s="9" t="s">
        <v>39</v>
      </c>
      <c r="E49" s="9" t="s">
        <v>188</v>
      </c>
      <c r="F49" s="9" t="s">
        <v>189</v>
      </c>
    </row>
    <row r="50" spans="1:6" x14ac:dyDescent="0.25">
      <c r="A50" s="9" t="s">
        <v>190</v>
      </c>
      <c r="B50" s="9" t="s">
        <v>36</v>
      </c>
      <c r="C50" s="9" t="s">
        <v>38</v>
      </c>
      <c r="D50" s="9" t="s">
        <v>38</v>
      </c>
      <c r="E50" s="9" t="s">
        <v>191</v>
      </c>
      <c r="F50" s="9" t="s">
        <v>192</v>
      </c>
    </row>
    <row r="51" spans="1:6" x14ac:dyDescent="0.25">
      <c r="A51" s="9" t="s">
        <v>193</v>
      </c>
      <c r="B51" s="9" t="s">
        <v>59</v>
      </c>
      <c r="C51" s="9" t="s">
        <v>38</v>
      </c>
      <c r="D51" s="9" t="s">
        <v>35</v>
      </c>
      <c r="E51" s="9" t="s">
        <v>194</v>
      </c>
      <c r="F51" s="9" t="s">
        <v>195</v>
      </c>
    </row>
    <row r="52" spans="1:6" x14ac:dyDescent="0.25">
      <c r="A52" s="9" t="s">
        <v>196</v>
      </c>
      <c r="B52" s="9" t="s">
        <v>39</v>
      </c>
      <c r="C52" s="9" t="s">
        <v>36</v>
      </c>
      <c r="D52" s="9" t="s">
        <v>35</v>
      </c>
      <c r="E52" s="9" t="s">
        <v>109</v>
      </c>
      <c r="F52" s="9" t="s">
        <v>197</v>
      </c>
    </row>
    <row r="53" spans="1:6" x14ac:dyDescent="0.25">
      <c r="A53" s="9" t="s">
        <v>198</v>
      </c>
      <c r="B53" s="9" t="s">
        <v>36</v>
      </c>
      <c r="C53" s="9" t="s">
        <v>35</v>
      </c>
      <c r="D53" s="9" t="s">
        <v>35</v>
      </c>
      <c r="E53" s="9" t="s">
        <v>199</v>
      </c>
      <c r="F53" s="9" t="s">
        <v>200</v>
      </c>
    </row>
    <row r="54" spans="1:6" x14ac:dyDescent="0.25">
      <c r="A54" s="9" t="s">
        <v>201</v>
      </c>
      <c r="B54" s="9" t="s">
        <v>36</v>
      </c>
      <c r="C54" s="9" t="s">
        <v>39</v>
      </c>
      <c r="D54" s="9" t="s">
        <v>34</v>
      </c>
      <c r="E54" s="9" t="s">
        <v>202</v>
      </c>
      <c r="F54" s="9" t="s">
        <v>200</v>
      </c>
    </row>
    <row r="55" spans="1:6" x14ac:dyDescent="0.25">
      <c r="A55" s="9" t="s">
        <v>203</v>
      </c>
      <c r="B55" s="9" t="s">
        <v>34</v>
      </c>
      <c r="C55" s="9" t="s">
        <v>37</v>
      </c>
      <c r="D55" s="9" t="s">
        <v>35</v>
      </c>
      <c r="E55" s="9" t="s">
        <v>204</v>
      </c>
      <c r="F55" s="9" t="s">
        <v>205</v>
      </c>
    </row>
    <row r="56" spans="1:6" x14ac:dyDescent="0.25">
      <c r="A56" s="9" t="s">
        <v>206</v>
      </c>
      <c r="B56" s="9" t="s">
        <v>39</v>
      </c>
      <c r="C56" s="9" t="s">
        <v>38</v>
      </c>
      <c r="D56" s="9" t="s">
        <v>35</v>
      </c>
      <c r="E56" s="9" t="s">
        <v>207</v>
      </c>
      <c r="F56" s="9" t="s">
        <v>208</v>
      </c>
    </row>
    <row r="57" spans="1:6" x14ac:dyDescent="0.25">
      <c r="A57" s="9" t="s">
        <v>209</v>
      </c>
      <c r="B57" s="9" t="s">
        <v>34</v>
      </c>
      <c r="C57" s="9" t="s">
        <v>34</v>
      </c>
      <c r="D57" s="9" t="s">
        <v>38</v>
      </c>
      <c r="E57" s="9" t="s">
        <v>107</v>
      </c>
      <c r="F57" s="9" t="s">
        <v>208</v>
      </c>
    </row>
    <row r="58" spans="1:6" x14ac:dyDescent="0.25">
      <c r="A58" s="9" t="s">
        <v>210</v>
      </c>
      <c r="B58" s="9" t="s">
        <v>59</v>
      </c>
      <c r="C58" s="9" t="s">
        <v>40</v>
      </c>
      <c r="D58" s="9" t="s">
        <v>39</v>
      </c>
      <c r="E58" s="9" t="s">
        <v>211</v>
      </c>
      <c r="F58" s="9" t="s">
        <v>212</v>
      </c>
    </row>
    <row r="59" spans="1:6" x14ac:dyDescent="0.25">
      <c r="A59" s="9" t="s">
        <v>213</v>
      </c>
      <c r="B59" s="9" t="s">
        <v>56</v>
      </c>
      <c r="C59" s="9" t="s">
        <v>35</v>
      </c>
      <c r="D59" s="9" t="s">
        <v>39</v>
      </c>
      <c r="E59" s="9" t="s">
        <v>214</v>
      </c>
      <c r="F59" s="9" t="s">
        <v>215</v>
      </c>
    </row>
    <row r="60" spans="1:6" x14ac:dyDescent="0.25">
      <c r="A60" s="9" t="s">
        <v>216</v>
      </c>
      <c r="B60" s="9" t="s">
        <v>37</v>
      </c>
      <c r="C60" s="9" t="s">
        <v>36</v>
      </c>
      <c r="D60" s="9" t="s">
        <v>34</v>
      </c>
      <c r="E60" s="9" t="s">
        <v>217</v>
      </c>
      <c r="F60" s="9" t="s">
        <v>215</v>
      </c>
    </row>
    <row r="61" spans="1:6" x14ac:dyDescent="0.25">
      <c r="A61" s="9" t="s">
        <v>218</v>
      </c>
      <c r="B61" s="9" t="s">
        <v>56</v>
      </c>
      <c r="C61" s="9" t="s">
        <v>35</v>
      </c>
      <c r="D61" s="9" t="s">
        <v>36</v>
      </c>
      <c r="E61" s="9" t="s">
        <v>219</v>
      </c>
      <c r="F61" s="9" t="s">
        <v>215</v>
      </c>
    </row>
    <row r="62" spans="1:6" x14ac:dyDescent="0.25">
      <c r="A62" s="9" t="s">
        <v>220</v>
      </c>
      <c r="B62" s="9" t="s">
        <v>35</v>
      </c>
      <c r="C62" s="9" t="s">
        <v>40</v>
      </c>
      <c r="D62" s="9" t="s">
        <v>34</v>
      </c>
      <c r="E62" s="9" t="s">
        <v>112</v>
      </c>
      <c r="F62" s="9" t="s">
        <v>215</v>
      </c>
    </row>
    <row r="63" spans="1:6" x14ac:dyDescent="0.25">
      <c r="A63" s="9" t="s">
        <v>221</v>
      </c>
      <c r="B63" s="9" t="s">
        <v>59</v>
      </c>
      <c r="C63" s="9" t="s">
        <v>36</v>
      </c>
      <c r="D63" s="9" t="s">
        <v>37</v>
      </c>
      <c r="E63" s="9" t="s">
        <v>222</v>
      </c>
      <c r="F63" s="9" t="s">
        <v>223</v>
      </c>
    </row>
    <row r="64" spans="1:6" x14ac:dyDescent="0.25">
      <c r="A64" s="9" t="s">
        <v>224</v>
      </c>
      <c r="B64" s="9" t="s">
        <v>35</v>
      </c>
      <c r="C64" s="9" t="s">
        <v>36</v>
      </c>
      <c r="D64" s="9" t="s">
        <v>36</v>
      </c>
      <c r="E64" s="9" t="s">
        <v>225</v>
      </c>
      <c r="F64" s="9" t="s">
        <v>226</v>
      </c>
    </row>
    <row r="65" spans="1:6" x14ac:dyDescent="0.25">
      <c r="A65" s="9" t="s">
        <v>227</v>
      </c>
      <c r="B65" s="9" t="s">
        <v>37</v>
      </c>
      <c r="C65" s="9" t="s">
        <v>37</v>
      </c>
      <c r="D65" s="9" t="s">
        <v>38</v>
      </c>
      <c r="E65" s="9" t="s">
        <v>228</v>
      </c>
      <c r="F65" s="9" t="s">
        <v>226</v>
      </c>
    </row>
    <row r="66" spans="1:6" x14ac:dyDescent="0.25">
      <c r="A66" s="9" t="s">
        <v>229</v>
      </c>
      <c r="B66" s="9" t="s">
        <v>40</v>
      </c>
      <c r="C66" s="9" t="s">
        <v>36</v>
      </c>
      <c r="D66" s="9" t="s">
        <v>35</v>
      </c>
      <c r="E66" s="9" t="s">
        <v>230</v>
      </c>
      <c r="F66" s="9" t="s">
        <v>231</v>
      </c>
    </row>
    <row r="67" spans="1:6" x14ac:dyDescent="0.25">
      <c r="A67" s="9" t="s">
        <v>232</v>
      </c>
      <c r="B67" s="9" t="s">
        <v>56</v>
      </c>
      <c r="C67" s="9" t="s">
        <v>38</v>
      </c>
      <c r="D67" s="9" t="s">
        <v>35</v>
      </c>
      <c r="E67" s="9" t="s">
        <v>233</v>
      </c>
      <c r="F67" s="9" t="s">
        <v>234</v>
      </c>
    </row>
    <row r="68" spans="1:6" x14ac:dyDescent="0.25">
      <c r="A68" s="9" t="s">
        <v>235</v>
      </c>
      <c r="B68" s="9" t="s">
        <v>37</v>
      </c>
      <c r="C68" s="9" t="s">
        <v>35</v>
      </c>
      <c r="D68" s="9" t="s">
        <v>39</v>
      </c>
      <c r="E68" s="9" t="s">
        <v>236</v>
      </c>
      <c r="F68" s="9" t="s">
        <v>237</v>
      </c>
    </row>
    <row r="69" spans="1:6" x14ac:dyDescent="0.25">
      <c r="A69" s="9" t="s">
        <v>238</v>
      </c>
      <c r="B69" s="9" t="s">
        <v>35</v>
      </c>
      <c r="C69" s="9" t="s">
        <v>38</v>
      </c>
      <c r="D69" s="9" t="s">
        <v>36</v>
      </c>
      <c r="E69" s="9" t="s">
        <v>239</v>
      </c>
      <c r="F69" s="9" t="s">
        <v>240</v>
      </c>
    </row>
    <row r="70" spans="1:6" x14ac:dyDescent="0.25">
      <c r="A70" s="9" t="s">
        <v>241</v>
      </c>
      <c r="B70" s="9" t="s">
        <v>59</v>
      </c>
      <c r="C70" s="9" t="s">
        <v>37</v>
      </c>
      <c r="D70" s="9" t="s">
        <v>38</v>
      </c>
      <c r="E70" s="9" t="s">
        <v>242</v>
      </c>
      <c r="F70" s="9" t="s">
        <v>240</v>
      </c>
    </row>
    <row r="71" spans="1:6" x14ac:dyDescent="0.25">
      <c r="A71" s="9" t="s">
        <v>243</v>
      </c>
      <c r="B71" s="9" t="s">
        <v>35</v>
      </c>
      <c r="C71" s="9" t="s">
        <v>36</v>
      </c>
      <c r="D71" s="9" t="s">
        <v>37</v>
      </c>
      <c r="E71" s="9" t="s">
        <v>244</v>
      </c>
      <c r="F71" s="9" t="s">
        <v>245</v>
      </c>
    </row>
    <row r="72" spans="1:6" x14ac:dyDescent="0.25">
      <c r="A72" s="9" t="s">
        <v>246</v>
      </c>
      <c r="B72" s="9" t="s">
        <v>36</v>
      </c>
      <c r="C72" s="9" t="s">
        <v>37</v>
      </c>
      <c r="D72" s="9" t="s">
        <v>39</v>
      </c>
      <c r="E72" s="9" t="s">
        <v>247</v>
      </c>
      <c r="F72" s="9" t="s">
        <v>245</v>
      </c>
    </row>
    <row r="73" spans="1:6" x14ac:dyDescent="0.25">
      <c r="A73" s="9" t="s">
        <v>248</v>
      </c>
      <c r="B73" s="9" t="s">
        <v>38</v>
      </c>
      <c r="C73" s="9" t="s">
        <v>35</v>
      </c>
      <c r="D73" s="9" t="s">
        <v>35</v>
      </c>
      <c r="E73" s="9" t="s">
        <v>249</v>
      </c>
      <c r="F73" s="9" t="s">
        <v>250</v>
      </c>
    </row>
    <row r="74" spans="1:6" x14ac:dyDescent="0.25">
      <c r="A74" s="9" t="s">
        <v>251</v>
      </c>
      <c r="B74" s="9" t="s">
        <v>56</v>
      </c>
      <c r="C74" s="9" t="s">
        <v>35</v>
      </c>
      <c r="D74" s="9" t="s">
        <v>39</v>
      </c>
      <c r="E74" s="9" t="s">
        <v>252</v>
      </c>
      <c r="F74" s="9" t="s">
        <v>250</v>
      </c>
    </row>
    <row r="75" spans="1:6" x14ac:dyDescent="0.25">
      <c r="A75" s="9" t="s">
        <v>253</v>
      </c>
      <c r="B75" s="9" t="s">
        <v>37</v>
      </c>
      <c r="C75" s="9" t="s">
        <v>38</v>
      </c>
      <c r="D75" s="9" t="s">
        <v>34</v>
      </c>
      <c r="E75" s="9" t="s">
        <v>254</v>
      </c>
      <c r="F75" s="9" t="s">
        <v>255</v>
      </c>
    </row>
    <row r="76" spans="1:6" x14ac:dyDescent="0.25">
      <c r="A76" s="9" t="s">
        <v>256</v>
      </c>
      <c r="B76" s="9" t="s">
        <v>38</v>
      </c>
      <c r="C76" s="9" t="s">
        <v>37</v>
      </c>
      <c r="D76" s="9" t="s">
        <v>37</v>
      </c>
      <c r="E76" s="9" t="s">
        <v>257</v>
      </c>
      <c r="F76" s="9" t="s">
        <v>258</v>
      </c>
    </row>
    <row r="77" spans="1:6" x14ac:dyDescent="0.25">
      <c r="A77" s="9" t="s">
        <v>259</v>
      </c>
      <c r="B77" s="9" t="s">
        <v>39</v>
      </c>
      <c r="C77" s="9" t="s">
        <v>38</v>
      </c>
      <c r="D77" s="9" t="s">
        <v>39</v>
      </c>
      <c r="E77" s="9" t="s">
        <v>260</v>
      </c>
      <c r="F77" s="9" t="s">
        <v>258</v>
      </c>
    </row>
    <row r="78" spans="1:6" x14ac:dyDescent="0.25">
      <c r="A78" s="9" t="s">
        <v>261</v>
      </c>
      <c r="B78" s="9" t="s">
        <v>35</v>
      </c>
      <c r="C78" s="9" t="s">
        <v>35</v>
      </c>
      <c r="D78" s="9" t="s">
        <v>38</v>
      </c>
      <c r="E78" s="9" t="s">
        <v>262</v>
      </c>
      <c r="F78" s="9" t="s">
        <v>258</v>
      </c>
    </row>
    <row r="79" spans="1:6" x14ac:dyDescent="0.25">
      <c r="A79" s="9" t="s">
        <v>263</v>
      </c>
      <c r="B79" s="9" t="s">
        <v>35</v>
      </c>
      <c r="C79" s="9" t="s">
        <v>37</v>
      </c>
      <c r="D79" s="9" t="s">
        <v>37</v>
      </c>
      <c r="E79" s="9" t="s">
        <v>264</v>
      </c>
      <c r="F79" s="9" t="s">
        <v>265</v>
      </c>
    </row>
    <row r="80" spans="1:6" x14ac:dyDescent="0.25">
      <c r="A80" s="9" t="s">
        <v>266</v>
      </c>
      <c r="B80" s="9" t="s">
        <v>40</v>
      </c>
      <c r="C80" s="9" t="s">
        <v>39</v>
      </c>
      <c r="D80" s="9" t="s">
        <v>37</v>
      </c>
      <c r="E80" s="9" t="s">
        <v>267</v>
      </c>
      <c r="F80" s="9" t="s">
        <v>268</v>
      </c>
    </row>
    <row r="81" spans="1:6" x14ac:dyDescent="0.25">
      <c r="A81" s="9" t="s">
        <v>269</v>
      </c>
      <c r="B81" s="9" t="s">
        <v>39</v>
      </c>
      <c r="C81" s="9" t="s">
        <v>36</v>
      </c>
      <c r="D81" s="9" t="s">
        <v>37</v>
      </c>
      <c r="E81" s="9" t="s">
        <v>270</v>
      </c>
      <c r="F81" s="9" t="s">
        <v>271</v>
      </c>
    </row>
    <row r="82" spans="1:6" x14ac:dyDescent="0.25">
      <c r="A82" s="9" t="s">
        <v>272</v>
      </c>
      <c r="B82" s="9" t="s">
        <v>37</v>
      </c>
      <c r="C82" s="9" t="s">
        <v>40</v>
      </c>
      <c r="D82" s="9" t="s">
        <v>37</v>
      </c>
      <c r="E82" s="9" t="s">
        <v>194</v>
      </c>
      <c r="F82" s="9" t="s">
        <v>273</v>
      </c>
    </row>
    <row r="83" spans="1:6" x14ac:dyDescent="0.25">
      <c r="A83" s="9" t="s">
        <v>274</v>
      </c>
      <c r="B83" s="9" t="s">
        <v>36</v>
      </c>
      <c r="C83" s="9" t="s">
        <v>35</v>
      </c>
      <c r="D83" s="9" t="s">
        <v>39</v>
      </c>
      <c r="E83" s="9" t="s">
        <v>275</v>
      </c>
      <c r="F83" s="9" t="s">
        <v>276</v>
      </c>
    </row>
    <row r="84" spans="1:6" x14ac:dyDescent="0.25">
      <c r="A84" s="9" t="s">
        <v>277</v>
      </c>
      <c r="B84" s="9" t="s">
        <v>34</v>
      </c>
      <c r="C84" s="9" t="s">
        <v>37</v>
      </c>
      <c r="D84" s="9" t="s">
        <v>37</v>
      </c>
      <c r="E84" s="9" t="s">
        <v>278</v>
      </c>
      <c r="F84" s="9" t="s">
        <v>276</v>
      </c>
    </row>
    <row r="85" spans="1:6" x14ac:dyDescent="0.25">
      <c r="A85" s="9" t="s">
        <v>279</v>
      </c>
      <c r="B85" s="9" t="s">
        <v>59</v>
      </c>
      <c r="C85" s="9" t="s">
        <v>39</v>
      </c>
      <c r="D85" s="9" t="s">
        <v>35</v>
      </c>
      <c r="E85" s="9" t="s">
        <v>280</v>
      </c>
      <c r="F85" s="9" t="s">
        <v>281</v>
      </c>
    </row>
    <row r="86" spans="1:6" x14ac:dyDescent="0.25">
      <c r="A86" s="9" t="s">
        <v>282</v>
      </c>
      <c r="B86" s="9" t="s">
        <v>34</v>
      </c>
      <c r="C86" s="9" t="s">
        <v>40</v>
      </c>
      <c r="D86" s="9" t="s">
        <v>35</v>
      </c>
      <c r="E86" s="9" t="s">
        <v>134</v>
      </c>
      <c r="F86" s="9" t="s">
        <v>281</v>
      </c>
    </row>
    <row r="87" spans="1:6" x14ac:dyDescent="0.25">
      <c r="A87" s="9" t="s">
        <v>283</v>
      </c>
      <c r="B87" s="9" t="s">
        <v>40</v>
      </c>
      <c r="C87" s="9" t="s">
        <v>40</v>
      </c>
      <c r="D87" s="9" t="s">
        <v>35</v>
      </c>
      <c r="E87" s="9" t="s">
        <v>284</v>
      </c>
      <c r="F87" s="9" t="s">
        <v>281</v>
      </c>
    </row>
    <row r="88" spans="1:6" x14ac:dyDescent="0.25">
      <c r="A88" s="9" t="s">
        <v>285</v>
      </c>
      <c r="B88" s="9" t="s">
        <v>39</v>
      </c>
      <c r="C88" s="9" t="s">
        <v>40</v>
      </c>
      <c r="D88" s="9" t="s">
        <v>34</v>
      </c>
      <c r="E88" s="9" t="s">
        <v>286</v>
      </c>
      <c r="F88" s="9" t="s">
        <v>287</v>
      </c>
    </row>
    <row r="89" spans="1:6" x14ac:dyDescent="0.25">
      <c r="A89" s="9" t="s">
        <v>288</v>
      </c>
      <c r="B89" s="9" t="s">
        <v>40</v>
      </c>
      <c r="C89" s="9" t="s">
        <v>37</v>
      </c>
      <c r="D89" s="9" t="s">
        <v>35</v>
      </c>
      <c r="E89" s="9" t="s">
        <v>289</v>
      </c>
      <c r="F89" s="9" t="s">
        <v>287</v>
      </c>
    </row>
    <row r="90" spans="1:6" x14ac:dyDescent="0.25">
      <c r="A90" s="9" t="s">
        <v>290</v>
      </c>
      <c r="B90" s="9" t="s">
        <v>37</v>
      </c>
      <c r="C90" s="9" t="s">
        <v>35</v>
      </c>
      <c r="D90" s="9" t="s">
        <v>39</v>
      </c>
      <c r="E90" s="9" t="s">
        <v>291</v>
      </c>
      <c r="F90" s="9" t="s">
        <v>292</v>
      </c>
    </row>
    <row r="91" spans="1:6" x14ac:dyDescent="0.25">
      <c r="A91" s="9" t="s">
        <v>293</v>
      </c>
      <c r="B91" s="9" t="s">
        <v>39</v>
      </c>
      <c r="C91" s="9" t="s">
        <v>40</v>
      </c>
      <c r="D91" s="9" t="s">
        <v>38</v>
      </c>
      <c r="E91" s="9" t="s">
        <v>81</v>
      </c>
      <c r="F91" s="9" t="s">
        <v>292</v>
      </c>
    </row>
    <row r="92" spans="1:6" x14ac:dyDescent="0.25">
      <c r="A92" s="9" t="s">
        <v>294</v>
      </c>
      <c r="B92" s="9" t="s">
        <v>36</v>
      </c>
      <c r="C92" s="9" t="s">
        <v>39</v>
      </c>
      <c r="D92" s="9" t="s">
        <v>34</v>
      </c>
      <c r="E92" s="9" t="s">
        <v>295</v>
      </c>
      <c r="F92" s="9" t="s">
        <v>292</v>
      </c>
    </row>
    <row r="93" spans="1:6" x14ac:dyDescent="0.25">
      <c r="A93" s="9" t="s">
        <v>296</v>
      </c>
      <c r="B93" s="9" t="s">
        <v>36</v>
      </c>
      <c r="C93" s="9" t="s">
        <v>40</v>
      </c>
      <c r="D93" s="9" t="s">
        <v>34</v>
      </c>
      <c r="E93" s="9" t="s">
        <v>297</v>
      </c>
      <c r="F93" s="9" t="s">
        <v>298</v>
      </c>
    </row>
    <row r="94" spans="1:6" x14ac:dyDescent="0.25">
      <c r="A94" s="9" t="s">
        <v>299</v>
      </c>
      <c r="B94" s="9" t="s">
        <v>36</v>
      </c>
      <c r="C94" s="9" t="s">
        <v>35</v>
      </c>
      <c r="D94" s="9" t="s">
        <v>34</v>
      </c>
      <c r="E94" s="9" t="s">
        <v>300</v>
      </c>
      <c r="F94" s="9" t="s">
        <v>301</v>
      </c>
    </row>
    <row r="95" spans="1:6" x14ac:dyDescent="0.25">
      <c r="A95" s="9" t="s">
        <v>302</v>
      </c>
      <c r="B95" s="9" t="s">
        <v>35</v>
      </c>
      <c r="C95" s="9" t="s">
        <v>38</v>
      </c>
      <c r="D95" s="9" t="s">
        <v>39</v>
      </c>
      <c r="E95" s="9" t="s">
        <v>303</v>
      </c>
      <c r="F95" s="9" t="s">
        <v>304</v>
      </c>
    </row>
    <row r="96" spans="1:6" x14ac:dyDescent="0.25">
      <c r="A96" s="9" t="s">
        <v>305</v>
      </c>
      <c r="B96" s="9" t="s">
        <v>40</v>
      </c>
      <c r="C96" s="9" t="s">
        <v>35</v>
      </c>
      <c r="D96" s="9" t="s">
        <v>35</v>
      </c>
      <c r="E96" s="9" t="s">
        <v>180</v>
      </c>
      <c r="F96" s="9" t="s">
        <v>304</v>
      </c>
    </row>
    <row r="97" spans="1:6" x14ac:dyDescent="0.25">
      <c r="A97" s="9" t="s">
        <v>306</v>
      </c>
      <c r="B97" s="9" t="s">
        <v>35</v>
      </c>
      <c r="C97" s="9" t="s">
        <v>35</v>
      </c>
      <c r="D97" s="9" t="s">
        <v>39</v>
      </c>
      <c r="E97" s="9" t="s">
        <v>307</v>
      </c>
      <c r="F97" s="9" t="s">
        <v>308</v>
      </c>
    </row>
    <row r="98" spans="1:6" x14ac:dyDescent="0.25">
      <c r="A98" s="9" t="s">
        <v>309</v>
      </c>
      <c r="B98" s="9" t="s">
        <v>37</v>
      </c>
      <c r="C98" s="9" t="s">
        <v>38</v>
      </c>
      <c r="D98" s="9" t="s">
        <v>37</v>
      </c>
      <c r="E98" s="9" t="s">
        <v>185</v>
      </c>
      <c r="F98" s="9" t="s">
        <v>310</v>
      </c>
    </row>
    <row r="99" spans="1:6" x14ac:dyDescent="0.25">
      <c r="A99" s="9" t="s">
        <v>311</v>
      </c>
      <c r="B99" s="9" t="s">
        <v>34</v>
      </c>
      <c r="C99" s="9" t="s">
        <v>36</v>
      </c>
      <c r="D99" s="9" t="s">
        <v>39</v>
      </c>
      <c r="E99" s="9" t="s">
        <v>312</v>
      </c>
      <c r="F99" s="9" t="s">
        <v>313</v>
      </c>
    </row>
    <row r="100" spans="1:6" x14ac:dyDescent="0.25">
      <c r="A100" s="9" t="s">
        <v>314</v>
      </c>
      <c r="B100" s="9" t="s">
        <v>40</v>
      </c>
      <c r="C100" s="9" t="s">
        <v>39</v>
      </c>
      <c r="D100" s="9" t="s">
        <v>36</v>
      </c>
      <c r="E100" s="9" t="s">
        <v>315</v>
      </c>
      <c r="F100" s="9" t="s">
        <v>316</v>
      </c>
    </row>
    <row r="101" spans="1:6" x14ac:dyDescent="0.25">
      <c r="A101" s="9" t="s">
        <v>317</v>
      </c>
      <c r="B101" s="9" t="s">
        <v>56</v>
      </c>
      <c r="C101" s="9" t="s">
        <v>36</v>
      </c>
      <c r="D101" s="9" t="s">
        <v>39</v>
      </c>
      <c r="E101" s="9" t="s">
        <v>131</v>
      </c>
      <c r="F101" s="9" t="s">
        <v>318</v>
      </c>
    </row>
    <row r="102" spans="1:6" x14ac:dyDescent="0.25">
      <c r="A102" s="9" t="s">
        <v>319</v>
      </c>
      <c r="B102" s="9" t="s">
        <v>39</v>
      </c>
      <c r="C102" s="9" t="s">
        <v>40</v>
      </c>
      <c r="D102" s="9" t="s">
        <v>35</v>
      </c>
      <c r="E102" s="9" t="s">
        <v>107</v>
      </c>
      <c r="F102" s="9" t="s">
        <v>320</v>
      </c>
    </row>
    <row r="103" spans="1:6" x14ac:dyDescent="0.25">
      <c r="A103" s="9" t="s">
        <v>321</v>
      </c>
      <c r="B103" s="9" t="s">
        <v>38</v>
      </c>
      <c r="C103" s="9" t="s">
        <v>34</v>
      </c>
      <c r="D103" s="9" t="s">
        <v>36</v>
      </c>
      <c r="E103" s="9" t="s">
        <v>73</v>
      </c>
      <c r="F103" s="9" t="s">
        <v>322</v>
      </c>
    </row>
    <row r="104" spans="1:6" x14ac:dyDescent="0.25">
      <c r="A104" s="9" t="s">
        <v>323</v>
      </c>
      <c r="B104" s="9" t="s">
        <v>35</v>
      </c>
      <c r="C104" s="9" t="s">
        <v>35</v>
      </c>
      <c r="D104" s="9" t="s">
        <v>37</v>
      </c>
      <c r="E104" s="9" t="s">
        <v>324</v>
      </c>
      <c r="F104" s="9" t="s">
        <v>322</v>
      </c>
    </row>
    <row r="105" spans="1:6" x14ac:dyDescent="0.25">
      <c r="A105" s="9" t="s">
        <v>325</v>
      </c>
      <c r="B105" s="9" t="s">
        <v>38</v>
      </c>
      <c r="C105" s="9" t="s">
        <v>35</v>
      </c>
      <c r="D105" s="9" t="s">
        <v>37</v>
      </c>
      <c r="E105" s="9" t="s">
        <v>295</v>
      </c>
      <c r="F105" s="9" t="s">
        <v>326</v>
      </c>
    </row>
    <row r="106" spans="1:6" x14ac:dyDescent="0.25">
      <c r="A106" s="9" t="s">
        <v>327</v>
      </c>
      <c r="B106" s="9" t="s">
        <v>34</v>
      </c>
      <c r="C106" s="9" t="s">
        <v>34</v>
      </c>
      <c r="D106" s="9" t="s">
        <v>36</v>
      </c>
      <c r="E106" s="9" t="s">
        <v>328</v>
      </c>
      <c r="F106" s="9" t="s">
        <v>329</v>
      </c>
    </row>
    <row r="107" spans="1:6" x14ac:dyDescent="0.25">
      <c r="A107" s="9" t="s">
        <v>330</v>
      </c>
      <c r="B107" s="9" t="s">
        <v>35</v>
      </c>
      <c r="C107" s="9" t="s">
        <v>39</v>
      </c>
      <c r="D107" s="9" t="s">
        <v>34</v>
      </c>
      <c r="E107" s="9" t="s">
        <v>222</v>
      </c>
      <c r="F107" s="9" t="s">
        <v>331</v>
      </c>
    </row>
    <row r="108" spans="1:6" x14ac:dyDescent="0.25">
      <c r="A108" s="9" t="s">
        <v>332</v>
      </c>
      <c r="B108" s="9" t="s">
        <v>37</v>
      </c>
      <c r="C108" s="9" t="s">
        <v>35</v>
      </c>
      <c r="D108" s="9" t="s">
        <v>35</v>
      </c>
      <c r="E108" s="9" t="s">
        <v>333</v>
      </c>
      <c r="F108" s="9" t="s">
        <v>334</v>
      </c>
    </row>
    <row r="109" spans="1:6" x14ac:dyDescent="0.25">
      <c r="A109" s="9" t="s">
        <v>335</v>
      </c>
      <c r="B109" s="9" t="s">
        <v>34</v>
      </c>
      <c r="C109" s="9" t="s">
        <v>39</v>
      </c>
      <c r="D109" s="9" t="s">
        <v>35</v>
      </c>
      <c r="E109" s="9" t="s">
        <v>324</v>
      </c>
      <c r="F109" s="9" t="s">
        <v>336</v>
      </c>
    </row>
    <row r="110" spans="1:6" x14ac:dyDescent="0.25">
      <c r="A110" s="9" t="s">
        <v>337</v>
      </c>
      <c r="B110" s="9" t="s">
        <v>38</v>
      </c>
      <c r="C110" s="9" t="s">
        <v>40</v>
      </c>
      <c r="D110" s="9" t="s">
        <v>34</v>
      </c>
      <c r="E110" s="9" t="s">
        <v>338</v>
      </c>
      <c r="F110" s="9" t="s">
        <v>336</v>
      </c>
    </row>
    <row r="111" spans="1:6" x14ac:dyDescent="0.25">
      <c r="A111" s="9" t="s">
        <v>339</v>
      </c>
      <c r="B111" s="9" t="s">
        <v>35</v>
      </c>
      <c r="C111" s="9" t="s">
        <v>35</v>
      </c>
      <c r="D111" s="9" t="s">
        <v>39</v>
      </c>
      <c r="E111" s="9" t="s">
        <v>340</v>
      </c>
      <c r="F111" s="9" t="s">
        <v>341</v>
      </c>
    </row>
    <row r="112" spans="1:6" x14ac:dyDescent="0.25">
      <c r="A112" s="9" t="s">
        <v>342</v>
      </c>
      <c r="B112" s="9" t="s">
        <v>59</v>
      </c>
      <c r="C112" s="9" t="s">
        <v>37</v>
      </c>
      <c r="D112" s="9" t="s">
        <v>39</v>
      </c>
      <c r="E112" s="9" t="s">
        <v>343</v>
      </c>
      <c r="F112" s="9" t="s">
        <v>344</v>
      </c>
    </row>
    <row r="113" spans="1:6" x14ac:dyDescent="0.25">
      <c r="A113" s="9" t="s">
        <v>345</v>
      </c>
      <c r="B113" s="9" t="s">
        <v>36</v>
      </c>
      <c r="C113" s="9" t="s">
        <v>35</v>
      </c>
      <c r="D113" s="9" t="s">
        <v>36</v>
      </c>
      <c r="E113" s="9" t="s">
        <v>346</v>
      </c>
      <c r="F113" s="9" t="s">
        <v>347</v>
      </c>
    </row>
    <row r="114" spans="1:6" x14ac:dyDescent="0.25">
      <c r="A114" s="9" t="s">
        <v>348</v>
      </c>
      <c r="B114" s="9" t="s">
        <v>37</v>
      </c>
      <c r="C114" s="9" t="s">
        <v>37</v>
      </c>
      <c r="D114" s="9" t="s">
        <v>35</v>
      </c>
      <c r="E114" s="9" t="s">
        <v>188</v>
      </c>
      <c r="F114" s="9" t="s">
        <v>349</v>
      </c>
    </row>
    <row r="115" spans="1:6" x14ac:dyDescent="0.25">
      <c r="A115" s="9" t="s">
        <v>350</v>
      </c>
      <c r="B115" s="9" t="s">
        <v>40</v>
      </c>
      <c r="C115" s="9" t="s">
        <v>40</v>
      </c>
      <c r="D115" s="9" t="s">
        <v>38</v>
      </c>
      <c r="E115" s="9" t="s">
        <v>351</v>
      </c>
      <c r="F115" s="9" t="s">
        <v>352</v>
      </c>
    </row>
    <row r="116" spans="1:6" x14ac:dyDescent="0.25">
      <c r="A116" s="9" t="s">
        <v>353</v>
      </c>
      <c r="B116" s="9" t="s">
        <v>39</v>
      </c>
      <c r="C116" s="9" t="s">
        <v>38</v>
      </c>
      <c r="D116" s="9" t="s">
        <v>34</v>
      </c>
      <c r="E116" s="9" t="s">
        <v>354</v>
      </c>
      <c r="F116" s="9" t="s">
        <v>352</v>
      </c>
    </row>
    <row r="117" spans="1:6" x14ac:dyDescent="0.25">
      <c r="A117" s="9" t="s">
        <v>355</v>
      </c>
      <c r="B117" s="9" t="s">
        <v>59</v>
      </c>
      <c r="C117" s="9" t="s">
        <v>34</v>
      </c>
      <c r="D117" s="9" t="s">
        <v>39</v>
      </c>
      <c r="E117" s="9" t="s">
        <v>107</v>
      </c>
      <c r="F117" s="9" t="s">
        <v>356</v>
      </c>
    </row>
    <row r="118" spans="1:6" x14ac:dyDescent="0.25">
      <c r="A118" s="9" t="s">
        <v>357</v>
      </c>
      <c r="B118" s="9" t="s">
        <v>34</v>
      </c>
      <c r="C118" s="9" t="s">
        <v>38</v>
      </c>
      <c r="D118" s="9" t="s">
        <v>34</v>
      </c>
      <c r="E118" s="9" t="s">
        <v>188</v>
      </c>
      <c r="F118" s="9" t="s">
        <v>356</v>
      </c>
    </row>
    <row r="119" spans="1:6" x14ac:dyDescent="0.25">
      <c r="A119" s="9" t="s">
        <v>358</v>
      </c>
      <c r="B119" s="9" t="s">
        <v>37</v>
      </c>
      <c r="C119" s="9" t="s">
        <v>36</v>
      </c>
      <c r="D119" s="9" t="s">
        <v>38</v>
      </c>
      <c r="E119" s="9" t="s">
        <v>280</v>
      </c>
      <c r="F119" s="9" t="s">
        <v>356</v>
      </c>
    </row>
    <row r="120" spans="1:6" x14ac:dyDescent="0.25">
      <c r="A120" s="9" t="s">
        <v>359</v>
      </c>
      <c r="B120" s="9" t="s">
        <v>35</v>
      </c>
      <c r="C120" s="9" t="s">
        <v>37</v>
      </c>
      <c r="D120" s="9" t="s">
        <v>39</v>
      </c>
      <c r="E120" s="9" t="s">
        <v>112</v>
      </c>
      <c r="F120" s="9" t="s">
        <v>360</v>
      </c>
    </row>
    <row r="121" spans="1:6" x14ac:dyDescent="0.25">
      <c r="A121" s="9" t="s">
        <v>361</v>
      </c>
      <c r="B121" s="9" t="s">
        <v>59</v>
      </c>
      <c r="C121" s="9" t="s">
        <v>34</v>
      </c>
      <c r="D121" s="9" t="s">
        <v>34</v>
      </c>
      <c r="E121" s="9" t="s">
        <v>95</v>
      </c>
      <c r="F121" s="9" t="s">
        <v>360</v>
      </c>
    </row>
    <row r="122" spans="1:6" x14ac:dyDescent="0.25">
      <c r="A122" s="9" t="s">
        <v>362</v>
      </c>
      <c r="B122" s="9" t="s">
        <v>39</v>
      </c>
      <c r="C122" s="9" t="s">
        <v>39</v>
      </c>
      <c r="D122" s="9" t="s">
        <v>36</v>
      </c>
      <c r="E122" s="9" t="s">
        <v>363</v>
      </c>
      <c r="F122" s="9" t="s">
        <v>360</v>
      </c>
    </row>
    <row r="123" spans="1:6" x14ac:dyDescent="0.25">
      <c r="A123" s="9" t="s">
        <v>364</v>
      </c>
      <c r="B123" s="9" t="s">
        <v>38</v>
      </c>
      <c r="C123" s="9" t="s">
        <v>39</v>
      </c>
      <c r="D123" s="9" t="s">
        <v>38</v>
      </c>
      <c r="E123" s="9" t="s">
        <v>365</v>
      </c>
      <c r="F123" s="9" t="s">
        <v>366</v>
      </c>
    </row>
    <row r="124" spans="1:6" x14ac:dyDescent="0.25">
      <c r="A124" s="9" t="s">
        <v>367</v>
      </c>
      <c r="B124" s="9" t="s">
        <v>37</v>
      </c>
      <c r="C124" s="9" t="s">
        <v>36</v>
      </c>
      <c r="D124" s="9" t="s">
        <v>39</v>
      </c>
      <c r="E124" s="9" t="s">
        <v>114</v>
      </c>
      <c r="F124" s="9" t="s">
        <v>368</v>
      </c>
    </row>
    <row r="125" spans="1:6" x14ac:dyDescent="0.25">
      <c r="A125" s="9" t="s">
        <v>369</v>
      </c>
      <c r="B125" s="9" t="s">
        <v>37</v>
      </c>
      <c r="C125" s="9" t="s">
        <v>34</v>
      </c>
      <c r="D125" s="9" t="s">
        <v>36</v>
      </c>
      <c r="E125" s="9" t="s">
        <v>333</v>
      </c>
      <c r="F125" s="9" t="s">
        <v>368</v>
      </c>
    </row>
    <row r="126" spans="1:6" x14ac:dyDescent="0.25">
      <c r="A126" s="9" t="s">
        <v>370</v>
      </c>
      <c r="B126" s="9" t="s">
        <v>56</v>
      </c>
      <c r="C126" s="9" t="s">
        <v>34</v>
      </c>
      <c r="D126" s="9" t="s">
        <v>38</v>
      </c>
      <c r="E126" s="9" t="s">
        <v>371</v>
      </c>
      <c r="F126" s="9" t="s">
        <v>372</v>
      </c>
    </row>
    <row r="127" spans="1:6" x14ac:dyDescent="0.25">
      <c r="A127" s="9" t="s">
        <v>373</v>
      </c>
      <c r="B127" s="9" t="s">
        <v>39</v>
      </c>
      <c r="C127" s="9" t="s">
        <v>35</v>
      </c>
      <c r="D127" s="9" t="s">
        <v>36</v>
      </c>
      <c r="E127" s="9" t="s">
        <v>374</v>
      </c>
      <c r="F127" s="9" t="s">
        <v>372</v>
      </c>
    </row>
    <row r="128" spans="1:6" x14ac:dyDescent="0.25">
      <c r="A128" s="9" t="s">
        <v>375</v>
      </c>
      <c r="B128" s="9" t="s">
        <v>39</v>
      </c>
      <c r="C128" s="9" t="s">
        <v>38</v>
      </c>
      <c r="D128" s="9" t="s">
        <v>37</v>
      </c>
      <c r="E128" s="9" t="s">
        <v>185</v>
      </c>
      <c r="F128" s="9" t="s">
        <v>376</v>
      </c>
    </row>
    <row r="129" spans="1:6" x14ac:dyDescent="0.25">
      <c r="A129" s="9" t="s">
        <v>377</v>
      </c>
      <c r="B129" s="9" t="s">
        <v>56</v>
      </c>
      <c r="C129" s="9" t="s">
        <v>37</v>
      </c>
      <c r="D129" s="9" t="s">
        <v>38</v>
      </c>
      <c r="E129" s="9" t="s">
        <v>378</v>
      </c>
      <c r="F129" s="9" t="s">
        <v>376</v>
      </c>
    </row>
    <row r="130" spans="1:6" x14ac:dyDescent="0.25">
      <c r="A130" s="9" t="s">
        <v>379</v>
      </c>
      <c r="B130" s="9" t="s">
        <v>39</v>
      </c>
      <c r="C130" s="9" t="s">
        <v>34</v>
      </c>
      <c r="D130" s="9" t="s">
        <v>35</v>
      </c>
      <c r="E130" s="9" t="s">
        <v>211</v>
      </c>
      <c r="F130" s="9" t="s">
        <v>380</v>
      </c>
    </row>
    <row r="131" spans="1:6" x14ac:dyDescent="0.25">
      <c r="A131" s="9" t="s">
        <v>381</v>
      </c>
      <c r="B131" s="9" t="s">
        <v>35</v>
      </c>
      <c r="C131" s="9" t="s">
        <v>35</v>
      </c>
      <c r="D131" s="9" t="s">
        <v>38</v>
      </c>
      <c r="E131" s="9" t="s">
        <v>382</v>
      </c>
      <c r="F131" s="9" t="s">
        <v>383</v>
      </c>
    </row>
    <row r="132" spans="1:6" x14ac:dyDescent="0.25">
      <c r="A132" s="9" t="s">
        <v>384</v>
      </c>
      <c r="B132" s="9" t="s">
        <v>39</v>
      </c>
      <c r="C132" s="9" t="s">
        <v>34</v>
      </c>
      <c r="D132" s="9" t="s">
        <v>34</v>
      </c>
      <c r="E132" s="9" t="s">
        <v>385</v>
      </c>
      <c r="F132" s="9" t="s">
        <v>383</v>
      </c>
    </row>
    <row r="133" spans="1:6" x14ac:dyDescent="0.25">
      <c r="A133" s="9" t="s">
        <v>386</v>
      </c>
      <c r="B133" s="9" t="s">
        <v>40</v>
      </c>
      <c r="C133" s="9" t="s">
        <v>39</v>
      </c>
      <c r="D133" s="9" t="s">
        <v>37</v>
      </c>
      <c r="E133" s="9" t="s">
        <v>387</v>
      </c>
      <c r="F133" s="9" t="s">
        <v>388</v>
      </c>
    </row>
    <row r="134" spans="1:6" x14ac:dyDescent="0.25">
      <c r="A134" s="9" t="s">
        <v>389</v>
      </c>
      <c r="B134" s="9" t="s">
        <v>39</v>
      </c>
      <c r="C134" s="9" t="s">
        <v>37</v>
      </c>
      <c r="D134" s="9" t="s">
        <v>34</v>
      </c>
      <c r="E134" s="9" t="s">
        <v>390</v>
      </c>
      <c r="F134" s="9" t="s">
        <v>388</v>
      </c>
    </row>
    <row r="135" spans="1:6" x14ac:dyDescent="0.25">
      <c r="A135" s="9" t="s">
        <v>391</v>
      </c>
      <c r="B135" s="9" t="s">
        <v>59</v>
      </c>
      <c r="C135" s="9" t="s">
        <v>35</v>
      </c>
      <c r="D135" s="9" t="s">
        <v>34</v>
      </c>
      <c r="E135" s="9" t="s">
        <v>328</v>
      </c>
      <c r="F135" s="9" t="s">
        <v>392</v>
      </c>
    </row>
    <row r="136" spans="1:6" x14ac:dyDescent="0.25">
      <c r="A136" s="9" t="s">
        <v>393</v>
      </c>
      <c r="B136" s="9" t="s">
        <v>59</v>
      </c>
      <c r="C136" s="9" t="s">
        <v>36</v>
      </c>
      <c r="D136" s="9" t="s">
        <v>38</v>
      </c>
      <c r="E136" s="9" t="s">
        <v>363</v>
      </c>
      <c r="F136" s="9" t="s">
        <v>392</v>
      </c>
    </row>
    <row r="137" spans="1:6" x14ac:dyDescent="0.25">
      <c r="A137" s="9" t="s">
        <v>394</v>
      </c>
      <c r="B137" s="9" t="s">
        <v>38</v>
      </c>
      <c r="C137" s="9" t="s">
        <v>34</v>
      </c>
      <c r="D137" s="9" t="s">
        <v>34</v>
      </c>
      <c r="E137" s="9" t="s">
        <v>88</v>
      </c>
      <c r="F137" s="9" t="s">
        <v>395</v>
      </c>
    </row>
    <row r="138" spans="1:6" x14ac:dyDescent="0.25">
      <c r="A138" s="9" t="s">
        <v>396</v>
      </c>
      <c r="B138" s="9" t="s">
        <v>36</v>
      </c>
      <c r="C138" s="9" t="s">
        <v>40</v>
      </c>
      <c r="D138" s="9" t="s">
        <v>34</v>
      </c>
      <c r="E138" s="9" t="s">
        <v>397</v>
      </c>
      <c r="F138" s="9" t="s">
        <v>398</v>
      </c>
    </row>
    <row r="139" spans="1:6" x14ac:dyDescent="0.25">
      <c r="A139" s="9" t="s">
        <v>399</v>
      </c>
      <c r="B139" s="9" t="s">
        <v>34</v>
      </c>
      <c r="C139" s="9" t="s">
        <v>37</v>
      </c>
      <c r="D139" s="9" t="s">
        <v>36</v>
      </c>
      <c r="E139" s="9" t="s">
        <v>400</v>
      </c>
      <c r="F139" s="9" t="s">
        <v>398</v>
      </c>
    </row>
    <row r="140" spans="1:6" x14ac:dyDescent="0.25">
      <c r="A140" s="9" t="s">
        <v>401</v>
      </c>
      <c r="B140" s="9" t="s">
        <v>40</v>
      </c>
      <c r="C140" s="9" t="s">
        <v>35</v>
      </c>
      <c r="D140" s="9" t="s">
        <v>34</v>
      </c>
      <c r="E140" s="9" t="s">
        <v>134</v>
      </c>
      <c r="F140" s="9" t="s">
        <v>402</v>
      </c>
    </row>
    <row r="141" spans="1:6" x14ac:dyDescent="0.25">
      <c r="A141" s="9" t="s">
        <v>403</v>
      </c>
      <c r="B141" s="9" t="s">
        <v>59</v>
      </c>
      <c r="C141" s="9" t="s">
        <v>35</v>
      </c>
      <c r="D141" s="9" t="s">
        <v>38</v>
      </c>
      <c r="E141" s="9" t="s">
        <v>286</v>
      </c>
      <c r="F141" s="9" t="s">
        <v>404</v>
      </c>
    </row>
    <row r="142" spans="1:6" x14ac:dyDescent="0.25">
      <c r="A142" s="9" t="s">
        <v>405</v>
      </c>
      <c r="B142" s="9" t="s">
        <v>35</v>
      </c>
      <c r="C142" s="9" t="s">
        <v>40</v>
      </c>
      <c r="D142" s="9" t="s">
        <v>35</v>
      </c>
      <c r="E142" s="9" t="s">
        <v>117</v>
      </c>
      <c r="F142" s="9" t="s">
        <v>404</v>
      </c>
    </row>
    <row r="143" spans="1:6" x14ac:dyDescent="0.25">
      <c r="A143" s="9" t="s">
        <v>406</v>
      </c>
      <c r="B143" s="9" t="s">
        <v>34</v>
      </c>
      <c r="C143" s="9" t="s">
        <v>35</v>
      </c>
      <c r="D143" s="9" t="s">
        <v>34</v>
      </c>
      <c r="E143" s="9" t="s">
        <v>160</v>
      </c>
      <c r="F143" s="9" t="s">
        <v>407</v>
      </c>
    </row>
    <row r="144" spans="1:6" x14ac:dyDescent="0.25">
      <c r="A144" s="9" t="s">
        <v>408</v>
      </c>
      <c r="B144" s="9" t="s">
        <v>39</v>
      </c>
      <c r="C144" s="9" t="s">
        <v>35</v>
      </c>
      <c r="D144" s="9" t="s">
        <v>35</v>
      </c>
      <c r="E144" s="9" t="s">
        <v>409</v>
      </c>
      <c r="F144" s="9" t="s">
        <v>407</v>
      </c>
    </row>
    <row r="145" spans="1:6" x14ac:dyDescent="0.25">
      <c r="A145" s="9" t="s">
        <v>410</v>
      </c>
      <c r="B145" s="9" t="s">
        <v>38</v>
      </c>
      <c r="C145" s="9" t="s">
        <v>35</v>
      </c>
      <c r="D145" s="9" t="s">
        <v>34</v>
      </c>
      <c r="E145" s="9" t="s">
        <v>411</v>
      </c>
      <c r="F145" s="9" t="s">
        <v>407</v>
      </c>
    </row>
    <row r="146" spans="1:6" x14ac:dyDescent="0.25">
      <c r="A146" s="9" t="s">
        <v>412</v>
      </c>
      <c r="B146" s="9" t="s">
        <v>36</v>
      </c>
      <c r="C146" s="9" t="s">
        <v>37</v>
      </c>
      <c r="D146" s="9" t="s">
        <v>38</v>
      </c>
      <c r="E146" s="9" t="s">
        <v>413</v>
      </c>
      <c r="F146" s="9" t="s">
        <v>414</v>
      </c>
    </row>
    <row r="147" spans="1:6" x14ac:dyDescent="0.25">
      <c r="A147" s="9" t="s">
        <v>415</v>
      </c>
      <c r="B147" s="9" t="s">
        <v>59</v>
      </c>
      <c r="C147" s="9" t="s">
        <v>39</v>
      </c>
      <c r="D147" s="9" t="s">
        <v>36</v>
      </c>
      <c r="E147" s="9" t="s">
        <v>222</v>
      </c>
      <c r="F147" s="9" t="s">
        <v>416</v>
      </c>
    </row>
    <row r="148" spans="1:6" x14ac:dyDescent="0.25">
      <c r="A148" s="9" t="s">
        <v>417</v>
      </c>
      <c r="B148" s="9" t="s">
        <v>39</v>
      </c>
      <c r="C148" s="9" t="s">
        <v>40</v>
      </c>
      <c r="D148" s="9" t="s">
        <v>37</v>
      </c>
      <c r="E148" s="9" t="s">
        <v>418</v>
      </c>
      <c r="F148" s="9" t="s">
        <v>419</v>
      </c>
    </row>
    <row r="149" spans="1:6" x14ac:dyDescent="0.25">
      <c r="A149" s="9" t="s">
        <v>420</v>
      </c>
      <c r="B149" s="9" t="s">
        <v>35</v>
      </c>
      <c r="C149" s="9" t="s">
        <v>34</v>
      </c>
      <c r="D149" s="9" t="s">
        <v>39</v>
      </c>
      <c r="E149" s="9" t="s">
        <v>421</v>
      </c>
      <c r="F149" s="9" t="s">
        <v>419</v>
      </c>
    </row>
    <row r="150" spans="1:6" x14ac:dyDescent="0.25">
      <c r="A150" s="9" t="s">
        <v>422</v>
      </c>
      <c r="B150" s="9" t="s">
        <v>39</v>
      </c>
      <c r="C150" s="9" t="s">
        <v>36</v>
      </c>
      <c r="D150" s="9" t="s">
        <v>35</v>
      </c>
      <c r="E150" s="9" t="s">
        <v>423</v>
      </c>
      <c r="F150" s="9" t="s">
        <v>424</v>
      </c>
    </row>
    <row r="151" spans="1:6" x14ac:dyDescent="0.25">
      <c r="A151" s="9" t="s">
        <v>425</v>
      </c>
      <c r="B151" s="9" t="s">
        <v>35</v>
      </c>
      <c r="C151" s="9" t="s">
        <v>36</v>
      </c>
      <c r="D151" s="9" t="s">
        <v>39</v>
      </c>
      <c r="E151" s="9" t="s">
        <v>109</v>
      </c>
      <c r="F151" s="9" t="s">
        <v>426</v>
      </c>
    </row>
    <row r="152" spans="1:6" x14ac:dyDescent="0.25">
      <c r="A152" s="9" t="s">
        <v>427</v>
      </c>
      <c r="B152" s="9" t="s">
        <v>38</v>
      </c>
      <c r="C152" s="9" t="s">
        <v>37</v>
      </c>
      <c r="D152" s="9" t="s">
        <v>34</v>
      </c>
      <c r="E152" s="9" t="s">
        <v>423</v>
      </c>
      <c r="F152" s="9" t="s">
        <v>426</v>
      </c>
    </row>
    <row r="153" spans="1:6" x14ac:dyDescent="0.25">
      <c r="A153" s="9" t="s">
        <v>428</v>
      </c>
      <c r="B153" s="9" t="s">
        <v>40</v>
      </c>
      <c r="C153" s="9" t="s">
        <v>38</v>
      </c>
      <c r="D153" s="9" t="s">
        <v>37</v>
      </c>
      <c r="E153" s="9" t="s">
        <v>236</v>
      </c>
      <c r="F153" s="9" t="s">
        <v>429</v>
      </c>
    </row>
    <row r="154" spans="1:6" x14ac:dyDescent="0.25">
      <c r="A154" s="9" t="s">
        <v>430</v>
      </c>
      <c r="B154" s="9" t="s">
        <v>34</v>
      </c>
      <c r="C154" s="9" t="s">
        <v>37</v>
      </c>
      <c r="D154" s="9" t="s">
        <v>38</v>
      </c>
      <c r="E154" s="9" t="s">
        <v>387</v>
      </c>
      <c r="F154" s="9" t="s">
        <v>429</v>
      </c>
    </row>
    <row r="155" spans="1:6" x14ac:dyDescent="0.25">
      <c r="A155" s="9" t="s">
        <v>431</v>
      </c>
      <c r="B155" s="9" t="s">
        <v>39</v>
      </c>
      <c r="C155" s="9" t="s">
        <v>35</v>
      </c>
      <c r="D155" s="9" t="s">
        <v>37</v>
      </c>
      <c r="E155" s="9" t="s">
        <v>134</v>
      </c>
      <c r="F155" s="9" t="s">
        <v>432</v>
      </c>
    </row>
    <row r="156" spans="1:6" x14ac:dyDescent="0.25">
      <c r="A156" s="9" t="s">
        <v>433</v>
      </c>
      <c r="B156" s="9" t="s">
        <v>34</v>
      </c>
      <c r="C156" s="9" t="s">
        <v>38</v>
      </c>
      <c r="D156" s="9" t="s">
        <v>35</v>
      </c>
      <c r="E156" s="9" t="s">
        <v>434</v>
      </c>
      <c r="F156" s="9" t="s">
        <v>435</v>
      </c>
    </row>
    <row r="157" spans="1:6" x14ac:dyDescent="0.25">
      <c r="A157" s="9" t="s">
        <v>436</v>
      </c>
      <c r="B157" s="9" t="s">
        <v>37</v>
      </c>
      <c r="C157" s="9" t="s">
        <v>34</v>
      </c>
      <c r="D157" s="9" t="s">
        <v>35</v>
      </c>
      <c r="E157" s="9" t="s">
        <v>145</v>
      </c>
      <c r="F157" s="9" t="s">
        <v>437</v>
      </c>
    </row>
    <row r="158" spans="1:6" x14ac:dyDescent="0.25">
      <c r="A158" s="9" t="s">
        <v>438</v>
      </c>
      <c r="B158" s="9" t="s">
        <v>37</v>
      </c>
      <c r="C158" s="9" t="s">
        <v>34</v>
      </c>
      <c r="D158" s="9" t="s">
        <v>37</v>
      </c>
      <c r="E158" s="9" t="s">
        <v>183</v>
      </c>
      <c r="F158" s="9" t="s">
        <v>439</v>
      </c>
    </row>
    <row r="159" spans="1:6" x14ac:dyDescent="0.25">
      <c r="A159" s="9" t="s">
        <v>440</v>
      </c>
      <c r="B159" s="9" t="s">
        <v>37</v>
      </c>
      <c r="C159" s="9" t="s">
        <v>38</v>
      </c>
      <c r="D159" s="9" t="s">
        <v>36</v>
      </c>
      <c r="E159" s="9" t="s">
        <v>183</v>
      </c>
      <c r="F159" s="9" t="s">
        <v>441</v>
      </c>
    </row>
    <row r="160" spans="1:6" x14ac:dyDescent="0.25">
      <c r="A160" s="9" t="s">
        <v>442</v>
      </c>
      <c r="B160" s="9" t="s">
        <v>36</v>
      </c>
      <c r="C160" s="9" t="s">
        <v>35</v>
      </c>
      <c r="D160" s="9" t="s">
        <v>38</v>
      </c>
      <c r="E160" s="9" t="s">
        <v>443</v>
      </c>
      <c r="F160" s="9" t="s">
        <v>444</v>
      </c>
    </row>
    <row r="161" spans="1:6" x14ac:dyDescent="0.25">
      <c r="A161" s="9" t="s">
        <v>445</v>
      </c>
      <c r="B161" s="9" t="s">
        <v>39</v>
      </c>
      <c r="C161" s="9" t="s">
        <v>37</v>
      </c>
      <c r="D161" s="9" t="s">
        <v>35</v>
      </c>
      <c r="E161" s="9" t="s">
        <v>446</v>
      </c>
      <c r="F161" s="9" t="s">
        <v>444</v>
      </c>
    </row>
    <row r="162" spans="1:6" x14ac:dyDescent="0.25">
      <c r="A162" s="9" t="s">
        <v>447</v>
      </c>
      <c r="B162" s="9" t="s">
        <v>39</v>
      </c>
      <c r="C162" s="9" t="s">
        <v>38</v>
      </c>
      <c r="D162" s="9" t="s">
        <v>35</v>
      </c>
      <c r="E162" s="9" t="s">
        <v>114</v>
      </c>
      <c r="F162" s="9" t="s">
        <v>444</v>
      </c>
    </row>
    <row r="163" spans="1:6" x14ac:dyDescent="0.25">
      <c r="A163" s="9" t="s">
        <v>448</v>
      </c>
      <c r="B163" s="9" t="s">
        <v>38</v>
      </c>
      <c r="C163" s="9" t="s">
        <v>40</v>
      </c>
      <c r="D163" s="9" t="s">
        <v>35</v>
      </c>
      <c r="E163" s="9" t="s">
        <v>233</v>
      </c>
      <c r="F163" s="9" t="s">
        <v>449</v>
      </c>
    </row>
    <row r="164" spans="1:6" x14ac:dyDescent="0.25">
      <c r="A164" s="9" t="s">
        <v>450</v>
      </c>
      <c r="B164" s="9" t="s">
        <v>37</v>
      </c>
      <c r="C164" s="9" t="s">
        <v>40</v>
      </c>
      <c r="D164" s="9" t="s">
        <v>35</v>
      </c>
      <c r="E164" s="9" t="s">
        <v>374</v>
      </c>
      <c r="F164" s="9" t="s">
        <v>451</v>
      </c>
    </row>
    <row r="165" spans="1:6" x14ac:dyDescent="0.25">
      <c r="A165" s="9" t="s">
        <v>452</v>
      </c>
      <c r="B165" s="9" t="s">
        <v>38</v>
      </c>
      <c r="C165" s="9" t="s">
        <v>34</v>
      </c>
      <c r="D165" s="9" t="s">
        <v>39</v>
      </c>
      <c r="E165" s="9" t="s">
        <v>453</v>
      </c>
      <c r="F165" s="9" t="s">
        <v>454</v>
      </c>
    </row>
    <row r="166" spans="1:6" x14ac:dyDescent="0.25">
      <c r="A166" s="9" t="s">
        <v>455</v>
      </c>
      <c r="B166" s="9" t="s">
        <v>34</v>
      </c>
      <c r="C166" s="9" t="s">
        <v>35</v>
      </c>
      <c r="D166" s="9" t="s">
        <v>36</v>
      </c>
      <c r="E166" s="9" t="s">
        <v>456</v>
      </c>
      <c r="F166" s="9" t="s">
        <v>454</v>
      </c>
    </row>
    <row r="167" spans="1:6" x14ac:dyDescent="0.25">
      <c r="A167" s="9" t="s">
        <v>457</v>
      </c>
      <c r="B167" s="9" t="s">
        <v>37</v>
      </c>
      <c r="C167" s="9" t="s">
        <v>40</v>
      </c>
      <c r="D167" s="9" t="s">
        <v>34</v>
      </c>
      <c r="E167" s="9" t="s">
        <v>264</v>
      </c>
      <c r="F167" s="9" t="s">
        <v>454</v>
      </c>
    </row>
    <row r="168" spans="1:6" x14ac:dyDescent="0.25">
      <c r="A168" s="9" t="s">
        <v>458</v>
      </c>
      <c r="B168" s="9" t="s">
        <v>36</v>
      </c>
      <c r="C168" s="9" t="s">
        <v>37</v>
      </c>
      <c r="D168" s="9" t="s">
        <v>36</v>
      </c>
      <c r="E168" s="9" t="s">
        <v>214</v>
      </c>
      <c r="F168" s="9" t="s">
        <v>459</v>
      </c>
    </row>
    <row r="169" spans="1:6" x14ac:dyDescent="0.25">
      <c r="A169" s="9" t="s">
        <v>460</v>
      </c>
      <c r="B169" s="9" t="s">
        <v>40</v>
      </c>
      <c r="C169" s="9" t="s">
        <v>37</v>
      </c>
      <c r="D169" s="9" t="s">
        <v>39</v>
      </c>
      <c r="E169" s="9" t="s">
        <v>387</v>
      </c>
      <c r="F169" s="9" t="s">
        <v>459</v>
      </c>
    </row>
    <row r="170" spans="1:6" x14ac:dyDescent="0.25">
      <c r="A170" s="9" t="s">
        <v>461</v>
      </c>
      <c r="B170" s="9" t="s">
        <v>59</v>
      </c>
      <c r="C170" s="9" t="s">
        <v>39</v>
      </c>
      <c r="D170" s="9" t="s">
        <v>35</v>
      </c>
      <c r="E170" s="9" t="s">
        <v>79</v>
      </c>
      <c r="F170" s="9" t="s">
        <v>462</v>
      </c>
    </row>
    <row r="171" spans="1:6" x14ac:dyDescent="0.25">
      <c r="A171" s="9" t="s">
        <v>463</v>
      </c>
      <c r="B171" s="9" t="s">
        <v>39</v>
      </c>
      <c r="C171" s="9" t="s">
        <v>40</v>
      </c>
      <c r="D171" s="9" t="s">
        <v>38</v>
      </c>
      <c r="E171" s="9" t="s">
        <v>119</v>
      </c>
      <c r="F171" s="9" t="s">
        <v>464</v>
      </c>
    </row>
    <row r="172" spans="1:6" x14ac:dyDescent="0.25">
      <c r="A172" s="9" t="s">
        <v>465</v>
      </c>
      <c r="B172" s="9" t="s">
        <v>36</v>
      </c>
      <c r="C172" s="9" t="s">
        <v>35</v>
      </c>
      <c r="D172" s="9" t="s">
        <v>34</v>
      </c>
      <c r="E172" s="9" t="s">
        <v>466</v>
      </c>
      <c r="F172" s="9" t="s">
        <v>464</v>
      </c>
    </row>
    <row r="173" spans="1:6" x14ac:dyDescent="0.25">
      <c r="A173" s="9" t="s">
        <v>467</v>
      </c>
      <c r="B173" s="9" t="s">
        <v>34</v>
      </c>
      <c r="C173" s="9" t="s">
        <v>39</v>
      </c>
      <c r="D173" s="9" t="s">
        <v>37</v>
      </c>
      <c r="E173" s="9" t="s">
        <v>145</v>
      </c>
      <c r="F173" s="9" t="s">
        <v>468</v>
      </c>
    </row>
    <row r="174" spans="1:6" x14ac:dyDescent="0.25">
      <c r="A174" s="9" t="s">
        <v>469</v>
      </c>
      <c r="B174" s="9" t="s">
        <v>36</v>
      </c>
      <c r="C174" s="9" t="s">
        <v>38</v>
      </c>
      <c r="D174" s="9" t="s">
        <v>35</v>
      </c>
      <c r="E174" s="9" t="s">
        <v>470</v>
      </c>
      <c r="F174" s="9" t="s">
        <v>471</v>
      </c>
    </row>
    <row r="175" spans="1:6" x14ac:dyDescent="0.25">
      <c r="A175" s="9" t="s">
        <v>472</v>
      </c>
      <c r="B175" s="9" t="s">
        <v>35</v>
      </c>
      <c r="C175" s="9" t="s">
        <v>37</v>
      </c>
      <c r="D175" s="9" t="s">
        <v>37</v>
      </c>
      <c r="E175" s="9" t="s">
        <v>338</v>
      </c>
      <c r="F175" s="9" t="s">
        <v>471</v>
      </c>
    </row>
    <row r="176" spans="1:6" x14ac:dyDescent="0.25">
      <c r="A176" s="9" t="s">
        <v>473</v>
      </c>
      <c r="B176" s="9" t="s">
        <v>34</v>
      </c>
      <c r="C176" s="9" t="s">
        <v>34</v>
      </c>
      <c r="D176" s="9" t="s">
        <v>39</v>
      </c>
      <c r="E176" s="9" t="s">
        <v>225</v>
      </c>
      <c r="F176" s="9" t="s">
        <v>474</v>
      </c>
    </row>
    <row r="177" spans="1:6" x14ac:dyDescent="0.25">
      <c r="A177" s="9" t="s">
        <v>475</v>
      </c>
      <c r="B177" s="9" t="s">
        <v>36</v>
      </c>
      <c r="C177" s="9" t="s">
        <v>34</v>
      </c>
      <c r="D177" s="9" t="s">
        <v>35</v>
      </c>
      <c r="E177" s="9" t="s">
        <v>233</v>
      </c>
      <c r="F177" s="9" t="s">
        <v>476</v>
      </c>
    </row>
    <row r="178" spans="1:6" x14ac:dyDescent="0.25">
      <c r="A178" s="9" t="s">
        <v>477</v>
      </c>
      <c r="B178" s="9" t="s">
        <v>59</v>
      </c>
      <c r="C178" s="9" t="s">
        <v>37</v>
      </c>
      <c r="D178" s="9" t="s">
        <v>38</v>
      </c>
      <c r="E178" s="9" t="s">
        <v>478</v>
      </c>
      <c r="F178" s="9" t="s">
        <v>479</v>
      </c>
    </row>
    <row r="179" spans="1:6" x14ac:dyDescent="0.25">
      <c r="A179" s="9" t="s">
        <v>480</v>
      </c>
      <c r="B179" s="9" t="s">
        <v>56</v>
      </c>
      <c r="C179" s="9" t="s">
        <v>37</v>
      </c>
      <c r="D179" s="9" t="s">
        <v>36</v>
      </c>
      <c r="E179" s="9" t="s">
        <v>481</v>
      </c>
      <c r="F179" s="9" t="s">
        <v>482</v>
      </c>
    </row>
    <row r="180" spans="1:6" x14ac:dyDescent="0.25">
      <c r="A180" s="9" t="s">
        <v>483</v>
      </c>
      <c r="B180" s="9" t="s">
        <v>40</v>
      </c>
      <c r="C180" s="9" t="s">
        <v>38</v>
      </c>
      <c r="D180" s="9" t="s">
        <v>39</v>
      </c>
      <c r="E180" s="9" t="s">
        <v>484</v>
      </c>
      <c r="F180" s="9" t="s">
        <v>482</v>
      </c>
    </row>
    <row r="181" spans="1:6" x14ac:dyDescent="0.25">
      <c r="A181" s="9" t="s">
        <v>485</v>
      </c>
      <c r="B181" s="9" t="s">
        <v>59</v>
      </c>
      <c r="C181" s="9" t="s">
        <v>40</v>
      </c>
      <c r="D181" s="9" t="s">
        <v>34</v>
      </c>
      <c r="E181" s="9" t="s">
        <v>423</v>
      </c>
      <c r="F181" s="9" t="s">
        <v>482</v>
      </c>
    </row>
    <row r="182" spans="1:6" x14ac:dyDescent="0.25">
      <c r="A182" s="9" t="s">
        <v>486</v>
      </c>
      <c r="B182" s="9" t="s">
        <v>40</v>
      </c>
      <c r="C182" s="9" t="s">
        <v>34</v>
      </c>
      <c r="D182" s="9" t="s">
        <v>36</v>
      </c>
      <c r="E182" s="9" t="s">
        <v>155</v>
      </c>
      <c r="F182" s="9" t="s">
        <v>482</v>
      </c>
    </row>
    <row r="183" spans="1:6" x14ac:dyDescent="0.25">
      <c r="A183" s="9" t="s">
        <v>487</v>
      </c>
      <c r="B183" s="9" t="s">
        <v>39</v>
      </c>
      <c r="C183" s="9" t="s">
        <v>37</v>
      </c>
      <c r="D183" s="9" t="s">
        <v>35</v>
      </c>
      <c r="E183" s="9" t="s">
        <v>81</v>
      </c>
      <c r="F183" s="9" t="s">
        <v>482</v>
      </c>
    </row>
    <row r="184" spans="1:6" x14ac:dyDescent="0.25">
      <c r="A184" s="9" t="s">
        <v>488</v>
      </c>
      <c r="B184" s="9" t="s">
        <v>37</v>
      </c>
      <c r="C184" s="9" t="s">
        <v>35</v>
      </c>
      <c r="D184" s="9" t="s">
        <v>34</v>
      </c>
      <c r="E184" s="9" t="s">
        <v>489</v>
      </c>
      <c r="F184" s="9" t="s">
        <v>490</v>
      </c>
    </row>
    <row r="185" spans="1:6" x14ac:dyDescent="0.25">
      <c r="A185" s="9" t="s">
        <v>491</v>
      </c>
      <c r="B185" s="9" t="s">
        <v>56</v>
      </c>
      <c r="C185" s="9" t="s">
        <v>37</v>
      </c>
      <c r="D185" s="9" t="s">
        <v>37</v>
      </c>
      <c r="E185" s="9" t="s">
        <v>492</v>
      </c>
      <c r="F185" s="9" t="s">
        <v>490</v>
      </c>
    </row>
    <row r="186" spans="1:6" x14ac:dyDescent="0.25">
      <c r="A186" s="9" t="s">
        <v>493</v>
      </c>
      <c r="B186" s="9" t="s">
        <v>35</v>
      </c>
      <c r="C186" s="9" t="s">
        <v>36</v>
      </c>
      <c r="D186" s="9" t="s">
        <v>36</v>
      </c>
      <c r="E186" s="9" t="s">
        <v>494</v>
      </c>
      <c r="F186" s="9" t="s">
        <v>495</v>
      </c>
    </row>
    <row r="187" spans="1:6" x14ac:dyDescent="0.25">
      <c r="A187" s="9" t="s">
        <v>496</v>
      </c>
      <c r="B187" s="9" t="s">
        <v>59</v>
      </c>
      <c r="C187" s="9" t="s">
        <v>40</v>
      </c>
      <c r="D187" s="9" t="s">
        <v>34</v>
      </c>
      <c r="E187" s="9" t="s">
        <v>497</v>
      </c>
      <c r="F187" s="9" t="s">
        <v>495</v>
      </c>
    </row>
    <row r="188" spans="1:6" x14ac:dyDescent="0.25">
      <c r="A188" s="9" t="s">
        <v>498</v>
      </c>
      <c r="B188" s="9" t="s">
        <v>56</v>
      </c>
      <c r="C188" s="9" t="s">
        <v>36</v>
      </c>
      <c r="D188" s="9" t="s">
        <v>38</v>
      </c>
      <c r="E188" s="9" t="s">
        <v>312</v>
      </c>
      <c r="F188" s="9" t="s">
        <v>499</v>
      </c>
    </row>
    <row r="189" spans="1:6" x14ac:dyDescent="0.25">
      <c r="A189" s="9" t="s">
        <v>500</v>
      </c>
      <c r="B189" s="9" t="s">
        <v>36</v>
      </c>
      <c r="C189" s="9" t="s">
        <v>38</v>
      </c>
      <c r="D189" s="9" t="s">
        <v>35</v>
      </c>
      <c r="E189" s="9" t="s">
        <v>501</v>
      </c>
      <c r="F189" s="9" t="s">
        <v>499</v>
      </c>
    </row>
    <row r="190" spans="1:6" x14ac:dyDescent="0.25">
      <c r="A190" s="9" t="s">
        <v>502</v>
      </c>
      <c r="B190" s="9" t="s">
        <v>39</v>
      </c>
      <c r="C190" s="9" t="s">
        <v>36</v>
      </c>
      <c r="D190" s="9" t="s">
        <v>39</v>
      </c>
      <c r="E190" s="9" t="s">
        <v>503</v>
      </c>
      <c r="F190" s="9" t="s">
        <v>504</v>
      </c>
    </row>
    <row r="191" spans="1:6" x14ac:dyDescent="0.25">
      <c r="A191" s="9" t="s">
        <v>505</v>
      </c>
      <c r="B191" s="9" t="s">
        <v>38</v>
      </c>
      <c r="C191" s="9" t="s">
        <v>35</v>
      </c>
      <c r="D191" s="9" t="s">
        <v>38</v>
      </c>
      <c r="E191" s="9" t="s">
        <v>82</v>
      </c>
      <c r="F191" s="9" t="s">
        <v>504</v>
      </c>
    </row>
    <row r="192" spans="1:6" x14ac:dyDescent="0.25">
      <c r="A192" s="9" t="s">
        <v>506</v>
      </c>
      <c r="B192" s="9" t="s">
        <v>35</v>
      </c>
      <c r="C192" s="9" t="s">
        <v>34</v>
      </c>
      <c r="D192" s="9" t="s">
        <v>35</v>
      </c>
      <c r="E192" s="9" t="s">
        <v>507</v>
      </c>
      <c r="F192" s="9" t="s">
        <v>508</v>
      </c>
    </row>
    <row r="193" spans="1:6" x14ac:dyDescent="0.25">
      <c r="A193" s="9" t="s">
        <v>509</v>
      </c>
      <c r="B193" s="9" t="s">
        <v>56</v>
      </c>
      <c r="C193" s="9" t="s">
        <v>34</v>
      </c>
      <c r="D193" s="9" t="s">
        <v>38</v>
      </c>
      <c r="E193" s="9" t="s">
        <v>242</v>
      </c>
      <c r="F193" s="9" t="s">
        <v>510</v>
      </c>
    </row>
    <row r="194" spans="1:6" x14ac:dyDescent="0.25">
      <c r="A194" s="9" t="s">
        <v>511</v>
      </c>
      <c r="B194" s="9" t="s">
        <v>35</v>
      </c>
      <c r="C194" s="9" t="s">
        <v>35</v>
      </c>
      <c r="D194" s="9" t="s">
        <v>34</v>
      </c>
      <c r="E194" s="9" t="s">
        <v>512</v>
      </c>
      <c r="F194" s="9" t="s">
        <v>513</v>
      </c>
    </row>
    <row r="195" spans="1:6" x14ac:dyDescent="0.25">
      <c r="A195" s="9" t="s">
        <v>514</v>
      </c>
      <c r="B195" s="9" t="s">
        <v>34</v>
      </c>
      <c r="C195" s="9" t="s">
        <v>38</v>
      </c>
      <c r="D195" s="9" t="s">
        <v>34</v>
      </c>
      <c r="E195" s="9" t="s">
        <v>515</v>
      </c>
      <c r="F195" s="9" t="s">
        <v>513</v>
      </c>
    </row>
    <row r="196" spans="1:6" x14ac:dyDescent="0.25">
      <c r="A196" s="9" t="s">
        <v>516</v>
      </c>
      <c r="B196" s="9" t="s">
        <v>59</v>
      </c>
      <c r="C196" s="9" t="s">
        <v>37</v>
      </c>
      <c r="D196" s="9" t="s">
        <v>37</v>
      </c>
      <c r="E196" s="9" t="s">
        <v>517</v>
      </c>
      <c r="F196" s="9" t="s">
        <v>518</v>
      </c>
    </row>
    <row r="197" spans="1:6" x14ac:dyDescent="0.25">
      <c r="A197" s="9" t="s">
        <v>519</v>
      </c>
      <c r="B197" s="9" t="s">
        <v>35</v>
      </c>
      <c r="C197" s="9" t="s">
        <v>37</v>
      </c>
      <c r="D197" s="9" t="s">
        <v>34</v>
      </c>
      <c r="E197" s="9" t="s">
        <v>124</v>
      </c>
      <c r="F197" s="9" t="s">
        <v>520</v>
      </c>
    </row>
    <row r="198" spans="1:6" x14ac:dyDescent="0.25">
      <c r="A198" s="9" t="s">
        <v>521</v>
      </c>
      <c r="B198" s="9" t="s">
        <v>39</v>
      </c>
      <c r="C198" s="9" t="s">
        <v>34</v>
      </c>
      <c r="D198" s="9" t="s">
        <v>34</v>
      </c>
      <c r="E198" s="9" t="s">
        <v>522</v>
      </c>
      <c r="F198" s="9" t="s">
        <v>523</v>
      </c>
    </row>
    <row r="199" spans="1:6" x14ac:dyDescent="0.25">
      <c r="A199" s="9" t="s">
        <v>524</v>
      </c>
      <c r="B199" s="9" t="s">
        <v>37</v>
      </c>
      <c r="C199" s="9" t="s">
        <v>40</v>
      </c>
      <c r="D199" s="9" t="s">
        <v>39</v>
      </c>
      <c r="E199" s="9" t="s">
        <v>446</v>
      </c>
      <c r="F199" s="9" t="s">
        <v>523</v>
      </c>
    </row>
    <row r="200" spans="1:6" x14ac:dyDescent="0.25">
      <c r="A200" s="9" t="s">
        <v>525</v>
      </c>
      <c r="B200" s="9" t="s">
        <v>38</v>
      </c>
      <c r="C200" s="9" t="s">
        <v>37</v>
      </c>
      <c r="D200" s="9" t="s">
        <v>38</v>
      </c>
      <c r="E200" s="9" t="s">
        <v>363</v>
      </c>
      <c r="F200" s="9" t="s">
        <v>526</v>
      </c>
    </row>
    <row r="201" spans="1:6" x14ac:dyDescent="0.25">
      <c r="A201" s="9" t="s">
        <v>527</v>
      </c>
      <c r="B201" s="9" t="s">
        <v>56</v>
      </c>
      <c r="C201" s="9" t="s">
        <v>35</v>
      </c>
      <c r="D201" s="9" t="s">
        <v>37</v>
      </c>
      <c r="E201" s="9" t="s">
        <v>371</v>
      </c>
      <c r="F201" s="9" t="s">
        <v>528</v>
      </c>
    </row>
    <row r="202" spans="1:6" x14ac:dyDescent="0.25">
      <c r="A202" s="9" t="s">
        <v>529</v>
      </c>
      <c r="B202" s="9" t="s">
        <v>39</v>
      </c>
      <c r="C202" s="9" t="s">
        <v>39</v>
      </c>
      <c r="D202" s="9" t="s">
        <v>39</v>
      </c>
      <c r="E202" s="9" t="s">
        <v>530</v>
      </c>
      <c r="F202" s="9" t="s">
        <v>528</v>
      </c>
    </row>
    <row r="203" spans="1:6" x14ac:dyDescent="0.25">
      <c r="A203" s="9" t="s">
        <v>531</v>
      </c>
      <c r="B203" s="9" t="s">
        <v>39</v>
      </c>
      <c r="C203" s="9" t="s">
        <v>36</v>
      </c>
      <c r="D203" s="9" t="s">
        <v>38</v>
      </c>
      <c r="E203" s="9" t="s">
        <v>497</v>
      </c>
      <c r="F203" s="9" t="s">
        <v>528</v>
      </c>
    </row>
    <row r="204" spans="1:6" x14ac:dyDescent="0.25">
      <c r="A204" s="9" t="s">
        <v>532</v>
      </c>
      <c r="B204" s="9" t="s">
        <v>40</v>
      </c>
      <c r="C204" s="9" t="s">
        <v>39</v>
      </c>
      <c r="D204" s="9" t="s">
        <v>35</v>
      </c>
      <c r="E204" s="9" t="s">
        <v>390</v>
      </c>
      <c r="F204" s="9" t="s">
        <v>533</v>
      </c>
    </row>
    <row r="205" spans="1:6" x14ac:dyDescent="0.25">
      <c r="A205" s="9" t="s">
        <v>534</v>
      </c>
      <c r="B205" s="9" t="s">
        <v>34</v>
      </c>
      <c r="C205" s="9" t="s">
        <v>37</v>
      </c>
      <c r="D205" s="9" t="s">
        <v>36</v>
      </c>
      <c r="E205" s="9" t="s">
        <v>535</v>
      </c>
      <c r="F205" s="9" t="s">
        <v>533</v>
      </c>
    </row>
    <row r="206" spans="1:6" x14ac:dyDescent="0.25">
      <c r="A206" s="9" t="s">
        <v>536</v>
      </c>
      <c r="B206" s="9" t="s">
        <v>39</v>
      </c>
      <c r="C206" s="9" t="s">
        <v>37</v>
      </c>
      <c r="D206" s="9" t="s">
        <v>38</v>
      </c>
      <c r="E206" s="9" t="s">
        <v>202</v>
      </c>
      <c r="F206" s="9" t="s">
        <v>537</v>
      </c>
    </row>
    <row r="207" spans="1:6" x14ac:dyDescent="0.25">
      <c r="A207" s="9" t="s">
        <v>538</v>
      </c>
      <c r="B207" s="9" t="s">
        <v>35</v>
      </c>
      <c r="C207" s="9" t="s">
        <v>38</v>
      </c>
      <c r="D207" s="9" t="s">
        <v>35</v>
      </c>
      <c r="E207" s="9" t="s">
        <v>539</v>
      </c>
      <c r="F207" s="9" t="s">
        <v>540</v>
      </c>
    </row>
    <row r="208" spans="1:6" x14ac:dyDescent="0.25">
      <c r="A208" s="9" t="s">
        <v>541</v>
      </c>
      <c r="B208" s="9" t="s">
        <v>37</v>
      </c>
      <c r="C208" s="9" t="s">
        <v>38</v>
      </c>
      <c r="D208" s="9" t="s">
        <v>36</v>
      </c>
      <c r="E208" s="9" t="s">
        <v>542</v>
      </c>
      <c r="F208" s="9" t="s">
        <v>543</v>
      </c>
    </row>
    <row r="209" spans="1:6" x14ac:dyDescent="0.25">
      <c r="A209" s="9" t="s">
        <v>544</v>
      </c>
      <c r="B209" s="9" t="s">
        <v>56</v>
      </c>
      <c r="C209" s="9" t="s">
        <v>34</v>
      </c>
      <c r="D209" s="9" t="s">
        <v>37</v>
      </c>
      <c r="E209" s="9" t="s">
        <v>545</v>
      </c>
      <c r="F209" s="9" t="s">
        <v>543</v>
      </c>
    </row>
    <row r="210" spans="1:6" x14ac:dyDescent="0.25">
      <c r="A210" s="9" t="s">
        <v>546</v>
      </c>
      <c r="B210" s="9" t="s">
        <v>38</v>
      </c>
      <c r="C210" s="9" t="s">
        <v>38</v>
      </c>
      <c r="D210" s="9" t="s">
        <v>37</v>
      </c>
      <c r="E210" s="9" t="s">
        <v>547</v>
      </c>
      <c r="F210" s="9" t="s">
        <v>548</v>
      </c>
    </row>
    <row r="211" spans="1:6" x14ac:dyDescent="0.25">
      <c r="A211" s="9" t="s">
        <v>549</v>
      </c>
      <c r="B211" s="9" t="s">
        <v>38</v>
      </c>
      <c r="C211" s="9" t="s">
        <v>35</v>
      </c>
      <c r="D211" s="9" t="s">
        <v>34</v>
      </c>
      <c r="E211" s="9" t="s">
        <v>75</v>
      </c>
      <c r="F211" s="9" t="s">
        <v>550</v>
      </c>
    </row>
    <row r="212" spans="1:6" x14ac:dyDescent="0.25">
      <c r="A212" s="9" t="s">
        <v>551</v>
      </c>
      <c r="B212" s="9" t="s">
        <v>59</v>
      </c>
      <c r="C212" s="9" t="s">
        <v>38</v>
      </c>
      <c r="D212" s="9" t="s">
        <v>35</v>
      </c>
      <c r="E212" s="9" t="s">
        <v>552</v>
      </c>
      <c r="F212" s="9" t="s">
        <v>553</v>
      </c>
    </row>
    <row r="213" spans="1:6" x14ac:dyDescent="0.25">
      <c r="A213" s="9" t="s">
        <v>554</v>
      </c>
      <c r="B213" s="9" t="s">
        <v>34</v>
      </c>
      <c r="C213" s="9" t="s">
        <v>36</v>
      </c>
      <c r="D213" s="9" t="s">
        <v>35</v>
      </c>
      <c r="E213" s="9" t="s">
        <v>145</v>
      </c>
      <c r="F213" s="9" t="s">
        <v>555</v>
      </c>
    </row>
    <row r="214" spans="1:6" x14ac:dyDescent="0.25">
      <c r="A214" s="9" t="s">
        <v>556</v>
      </c>
      <c r="B214" s="9" t="s">
        <v>35</v>
      </c>
      <c r="C214" s="9" t="s">
        <v>38</v>
      </c>
      <c r="D214" s="9" t="s">
        <v>37</v>
      </c>
      <c r="E214" s="9" t="s">
        <v>81</v>
      </c>
      <c r="F214" s="9" t="s">
        <v>557</v>
      </c>
    </row>
    <row r="215" spans="1:6" x14ac:dyDescent="0.25">
      <c r="A215" s="9" t="s">
        <v>558</v>
      </c>
      <c r="B215" s="9" t="s">
        <v>38</v>
      </c>
      <c r="C215" s="9" t="s">
        <v>37</v>
      </c>
      <c r="D215" s="9" t="s">
        <v>37</v>
      </c>
      <c r="E215" s="9" t="s">
        <v>559</v>
      </c>
      <c r="F215" s="9" t="s">
        <v>557</v>
      </c>
    </row>
    <row r="216" spans="1:6" x14ac:dyDescent="0.25">
      <c r="A216" s="9" t="s">
        <v>560</v>
      </c>
      <c r="B216" s="9" t="s">
        <v>40</v>
      </c>
      <c r="C216" s="9" t="s">
        <v>36</v>
      </c>
      <c r="D216" s="9" t="s">
        <v>38</v>
      </c>
      <c r="E216" s="9" t="s">
        <v>171</v>
      </c>
      <c r="F216" s="9" t="s">
        <v>557</v>
      </c>
    </row>
    <row r="217" spans="1:6" x14ac:dyDescent="0.25">
      <c r="A217" s="9" t="s">
        <v>561</v>
      </c>
      <c r="B217" s="9" t="s">
        <v>37</v>
      </c>
      <c r="C217" s="9" t="s">
        <v>34</v>
      </c>
      <c r="D217" s="9" t="s">
        <v>35</v>
      </c>
      <c r="E217" s="9" t="s">
        <v>409</v>
      </c>
      <c r="F217" s="9" t="s">
        <v>562</v>
      </c>
    </row>
    <row r="218" spans="1:6" x14ac:dyDescent="0.25">
      <c r="A218" s="9" t="s">
        <v>563</v>
      </c>
      <c r="B218" s="9" t="s">
        <v>40</v>
      </c>
      <c r="C218" s="9" t="s">
        <v>38</v>
      </c>
      <c r="D218" s="9" t="s">
        <v>34</v>
      </c>
      <c r="E218" s="9" t="s">
        <v>390</v>
      </c>
      <c r="F218" s="9" t="s">
        <v>562</v>
      </c>
    </row>
    <row r="219" spans="1:6" x14ac:dyDescent="0.25">
      <c r="A219" s="9" t="s">
        <v>564</v>
      </c>
      <c r="B219" s="9" t="s">
        <v>36</v>
      </c>
      <c r="C219" s="9" t="s">
        <v>40</v>
      </c>
      <c r="D219" s="9" t="s">
        <v>38</v>
      </c>
      <c r="E219" s="9" t="s">
        <v>565</v>
      </c>
      <c r="F219" s="9" t="s">
        <v>566</v>
      </c>
    </row>
    <row r="220" spans="1:6" x14ac:dyDescent="0.25">
      <c r="A220" s="9" t="s">
        <v>567</v>
      </c>
      <c r="B220" s="9" t="s">
        <v>59</v>
      </c>
      <c r="C220" s="9" t="s">
        <v>35</v>
      </c>
      <c r="D220" s="9" t="s">
        <v>39</v>
      </c>
      <c r="E220" s="9" t="s">
        <v>155</v>
      </c>
      <c r="F220" s="9" t="s">
        <v>568</v>
      </c>
    </row>
    <row r="221" spans="1:6" x14ac:dyDescent="0.25">
      <c r="A221" s="9" t="s">
        <v>569</v>
      </c>
      <c r="B221" s="9" t="s">
        <v>35</v>
      </c>
      <c r="C221" s="9" t="s">
        <v>37</v>
      </c>
      <c r="D221" s="9" t="s">
        <v>35</v>
      </c>
      <c r="E221" s="9" t="s">
        <v>494</v>
      </c>
      <c r="F221" s="9" t="s">
        <v>568</v>
      </c>
    </row>
    <row r="222" spans="1:6" x14ac:dyDescent="0.25">
      <c r="A222" s="9" t="s">
        <v>570</v>
      </c>
      <c r="B222" s="9" t="s">
        <v>56</v>
      </c>
      <c r="C222" s="9" t="s">
        <v>39</v>
      </c>
      <c r="D222" s="9" t="s">
        <v>35</v>
      </c>
      <c r="E222" s="9" t="s">
        <v>343</v>
      </c>
      <c r="F222" s="9" t="s">
        <v>571</v>
      </c>
    </row>
    <row r="223" spans="1:6" x14ac:dyDescent="0.25">
      <c r="A223" s="9" t="s">
        <v>572</v>
      </c>
      <c r="B223" s="9" t="s">
        <v>37</v>
      </c>
      <c r="C223" s="9" t="s">
        <v>38</v>
      </c>
      <c r="D223" s="9" t="s">
        <v>35</v>
      </c>
      <c r="E223" s="9" t="s">
        <v>191</v>
      </c>
      <c r="F223" s="9" t="s">
        <v>573</v>
      </c>
    </row>
    <row r="224" spans="1:6" x14ac:dyDescent="0.25">
      <c r="A224" s="9" t="s">
        <v>574</v>
      </c>
      <c r="B224" s="9" t="s">
        <v>56</v>
      </c>
      <c r="C224" s="9" t="s">
        <v>36</v>
      </c>
      <c r="D224" s="9" t="s">
        <v>38</v>
      </c>
      <c r="E224" s="9" t="s">
        <v>91</v>
      </c>
      <c r="F224" s="9" t="s">
        <v>573</v>
      </c>
    </row>
    <row r="225" spans="1:6" x14ac:dyDescent="0.25">
      <c r="A225" s="9" t="s">
        <v>575</v>
      </c>
      <c r="B225" s="9" t="s">
        <v>40</v>
      </c>
      <c r="C225" s="9" t="s">
        <v>37</v>
      </c>
      <c r="D225" s="9" t="s">
        <v>36</v>
      </c>
      <c r="E225" s="9" t="s">
        <v>163</v>
      </c>
      <c r="F225" s="9" t="s">
        <v>573</v>
      </c>
    </row>
    <row r="226" spans="1:6" x14ac:dyDescent="0.25">
      <c r="A226" s="9" t="s">
        <v>576</v>
      </c>
      <c r="B226" s="9" t="s">
        <v>36</v>
      </c>
      <c r="C226" s="9" t="s">
        <v>38</v>
      </c>
      <c r="D226" s="9" t="s">
        <v>38</v>
      </c>
      <c r="E226" s="9" t="s">
        <v>446</v>
      </c>
      <c r="F226" s="9" t="s">
        <v>577</v>
      </c>
    </row>
    <row r="227" spans="1:6" x14ac:dyDescent="0.25">
      <c r="A227" s="9" t="s">
        <v>578</v>
      </c>
      <c r="B227" s="9" t="s">
        <v>38</v>
      </c>
      <c r="C227" s="9" t="s">
        <v>38</v>
      </c>
      <c r="D227" s="9" t="s">
        <v>37</v>
      </c>
      <c r="E227" s="9" t="s">
        <v>222</v>
      </c>
      <c r="F227" s="9" t="s">
        <v>577</v>
      </c>
    </row>
    <row r="228" spans="1:6" x14ac:dyDescent="0.25">
      <c r="A228" s="9" t="s">
        <v>579</v>
      </c>
      <c r="B228" s="9" t="s">
        <v>34</v>
      </c>
      <c r="C228" s="9" t="s">
        <v>38</v>
      </c>
      <c r="D228" s="9" t="s">
        <v>37</v>
      </c>
      <c r="E228" s="9" t="s">
        <v>580</v>
      </c>
      <c r="F228" s="9" t="s">
        <v>581</v>
      </c>
    </row>
    <row r="229" spans="1:6" x14ac:dyDescent="0.25">
      <c r="A229" s="9" t="s">
        <v>582</v>
      </c>
      <c r="B229" s="9" t="s">
        <v>37</v>
      </c>
      <c r="C229" s="9" t="s">
        <v>36</v>
      </c>
      <c r="D229" s="9" t="s">
        <v>39</v>
      </c>
      <c r="E229" s="9" t="s">
        <v>77</v>
      </c>
      <c r="F229" s="9" t="s">
        <v>583</v>
      </c>
    </row>
    <row r="230" spans="1:6" x14ac:dyDescent="0.25">
      <c r="A230" s="9" t="s">
        <v>584</v>
      </c>
      <c r="B230" s="9" t="s">
        <v>59</v>
      </c>
      <c r="C230" s="9" t="s">
        <v>37</v>
      </c>
      <c r="D230" s="9" t="s">
        <v>39</v>
      </c>
      <c r="E230" s="9" t="s">
        <v>346</v>
      </c>
      <c r="F230" s="9" t="s">
        <v>583</v>
      </c>
    </row>
    <row r="231" spans="1:6" x14ac:dyDescent="0.25">
      <c r="A231" s="9" t="s">
        <v>585</v>
      </c>
      <c r="B231" s="9" t="s">
        <v>34</v>
      </c>
      <c r="C231" s="9" t="s">
        <v>38</v>
      </c>
      <c r="D231" s="9" t="s">
        <v>34</v>
      </c>
      <c r="E231" s="9" t="s">
        <v>466</v>
      </c>
      <c r="F231" s="9" t="s">
        <v>586</v>
      </c>
    </row>
    <row r="232" spans="1:6" x14ac:dyDescent="0.25">
      <c r="A232" s="9" t="s">
        <v>587</v>
      </c>
      <c r="B232" s="9" t="s">
        <v>39</v>
      </c>
      <c r="C232" s="9" t="s">
        <v>37</v>
      </c>
      <c r="D232" s="9" t="s">
        <v>35</v>
      </c>
      <c r="E232" s="9" t="s">
        <v>307</v>
      </c>
      <c r="F232" s="9" t="s">
        <v>586</v>
      </c>
    </row>
    <row r="233" spans="1:6" x14ac:dyDescent="0.25">
      <c r="A233" s="9" t="s">
        <v>588</v>
      </c>
      <c r="B233" s="9" t="s">
        <v>38</v>
      </c>
      <c r="C233" s="9" t="s">
        <v>37</v>
      </c>
      <c r="D233" s="9" t="s">
        <v>34</v>
      </c>
      <c r="E233" s="9" t="s">
        <v>589</v>
      </c>
      <c r="F233" s="9" t="s">
        <v>590</v>
      </c>
    </row>
    <row r="234" spans="1:6" x14ac:dyDescent="0.25">
      <c r="A234" s="9" t="s">
        <v>591</v>
      </c>
      <c r="B234" s="9" t="s">
        <v>40</v>
      </c>
      <c r="C234" s="9" t="s">
        <v>39</v>
      </c>
      <c r="D234" s="9" t="s">
        <v>38</v>
      </c>
      <c r="E234" s="9" t="s">
        <v>225</v>
      </c>
      <c r="F234" s="9" t="s">
        <v>592</v>
      </c>
    </row>
    <row r="235" spans="1:6" x14ac:dyDescent="0.25">
      <c r="A235" s="9" t="s">
        <v>593</v>
      </c>
      <c r="B235" s="9" t="s">
        <v>37</v>
      </c>
      <c r="C235" s="9" t="s">
        <v>38</v>
      </c>
      <c r="D235" s="9" t="s">
        <v>39</v>
      </c>
      <c r="E235" s="9" t="s">
        <v>594</v>
      </c>
      <c r="F235" s="9" t="s">
        <v>592</v>
      </c>
    </row>
    <row r="236" spans="1:6" x14ac:dyDescent="0.25">
      <c r="A236" s="9" t="s">
        <v>595</v>
      </c>
      <c r="B236" s="9" t="s">
        <v>35</v>
      </c>
      <c r="C236" s="9" t="s">
        <v>34</v>
      </c>
      <c r="D236" s="9" t="s">
        <v>34</v>
      </c>
      <c r="E236" s="9" t="s">
        <v>174</v>
      </c>
      <c r="F236" s="9" t="s">
        <v>596</v>
      </c>
    </row>
    <row r="237" spans="1:6" x14ac:dyDescent="0.25">
      <c r="A237" s="9" t="s">
        <v>597</v>
      </c>
      <c r="B237" s="9" t="s">
        <v>34</v>
      </c>
      <c r="C237" s="9" t="s">
        <v>34</v>
      </c>
      <c r="D237" s="9" t="s">
        <v>34</v>
      </c>
      <c r="E237" s="9" t="s">
        <v>312</v>
      </c>
      <c r="F237" s="9" t="s">
        <v>598</v>
      </c>
    </row>
    <row r="238" spans="1:6" x14ac:dyDescent="0.25">
      <c r="A238" s="9" t="s">
        <v>599</v>
      </c>
      <c r="B238" s="9" t="s">
        <v>34</v>
      </c>
      <c r="C238" s="9" t="s">
        <v>39</v>
      </c>
      <c r="D238" s="9" t="s">
        <v>36</v>
      </c>
      <c r="E238" s="9" t="s">
        <v>600</v>
      </c>
      <c r="F238" s="9" t="s">
        <v>601</v>
      </c>
    </row>
    <row r="239" spans="1:6" x14ac:dyDescent="0.25">
      <c r="A239" s="9" t="s">
        <v>602</v>
      </c>
      <c r="B239" s="9" t="s">
        <v>38</v>
      </c>
      <c r="C239" s="9" t="s">
        <v>40</v>
      </c>
      <c r="D239" s="9" t="s">
        <v>38</v>
      </c>
      <c r="E239" s="9" t="s">
        <v>603</v>
      </c>
      <c r="F239" s="9" t="s">
        <v>604</v>
      </c>
    </row>
    <row r="240" spans="1:6" x14ac:dyDescent="0.25">
      <c r="A240" s="9" t="s">
        <v>605</v>
      </c>
      <c r="B240" s="9" t="s">
        <v>56</v>
      </c>
      <c r="C240" s="9" t="s">
        <v>36</v>
      </c>
      <c r="D240" s="9" t="s">
        <v>37</v>
      </c>
      <c r="E240" s="9" t="s">
        <v>88</v>
      </c>
      <c r="F240" s="9" t="s">
        <v>606</v>
      </c>
    </row>
    <row r="241" spans="1:6" x14ac:dyDescent="0.25">
      <c r="A241" s="9" t="s">
        <v>607</v>
      </c>
      <c r="B241" s="9" t="s">
        <v>39</v>
      </c>
      <c r="C241" s="9" t="s">
        <v>37</v>
      </c>
      <c r="D241" s="9" t="s">
        <v>34</v>
      </c>
      <c r="E241" s="9" t="s">
        <v>286</v>
      </c>
      <c r="F241" s="9" t="s">
        <v>608</v>
      </c>
    </row>
    <row r="242" spans="1:6" x14ac:dyDescent="0.25">
      <c r="A242" s="9" t="s">
        <v>609</v>
      </c>
      <c r="B242" s="9" t="s">
        <v>38</v>
      </c>
      <c r="C242" s="9" t="s">
        <v>40</v>
      </c>
      <c r="D242" s="9" t="s">
        <v>34</v>
      </c>
      <c r="E242" s="9" t="s">
        <v>539</v>
      </c>
      <c r="F242" s="9" t="s">
        <v>608</v>
      </c>
    </row>
    <row r="243" spans="1:6" x14ac:dyDescent="0.25">
      <c r="A243" s="9" t="s">
        <v>610</v>
      </c>
      <c r="B243" s="9" t="s">
        <v>40</v>
      </c>
      <c r="C243" s="9" t="s">
        <v>36</v>
      </c>
      <c r="D243" s="9" t="s">
        <v>35</v>
      </c>
      <c r="E243" s="9" t="s">
        <v>611</v>
      </c>
      <c r="F243" s="9" t="s">
        <v>612</v>
      </c>
    </row>
    <row r="244" spans="1:6" x14ac:dyDescent="0.25">
      <c r="A244" s="9" t="s">
        <v>613</v>
      </c>
      <c r="B244" s="9" t="s">
        <v>38</v>
      </c>
      <c r="C244" s="9" t="s">
        <v>34</v>
      </c>
      <c r="D244" s="9" t="s">
        <v>35</v>
      </c>
      <c r="E244" s="9" t="s">
        <v>158</v>
      </c>
      <c r="F244" s="9" t="s">
        <v>612</v>
      </c>
    </row>
    <row r="245" spans="1:6" x14ac:dyDescent="0.25">
      <c r="A245" s="9" t="s">
        <v>614</v>
      </c>
      <c r="B245" s="9" t="s">
        <v>35</v>
      </c>
      <c r="C245" s="9" t="s">
        <v>39</v>
      </c>
      <c r="D245" s="9" t="s">
        <v>37</v>
      </c>
      <c r="E245" s="9" t="s">
        <v>303</v>
      </c>
      <c r="F245" s="9" t="s">
        <v>615</v>
      </c>
    </row>
    <row r="246" spans="1:6" x14ac:dyDescent="0.25">
      <c r="A246" s="9" t="s">
        <v>616</v>
      </c>
      <c r="B246" s="9" t="s">
        <v>40</v>
      </c>
      <c r="C246" s="9" t="s">
        <v>38</v>
      </c>
      <c r="D246" s="9" t="s">
        <v>39</v>
      </c>
      <c r="E246" s="9" t="s">
        <v>559</v>
      </c>
      <c r="F246" s="9" t="s">
        <v>615</v>
      </c>
    </row>
    <row r="247" spans="1:6" x14ac:dyDescent="0.25">
      <c r="A247" s="9" t="s">
        <v>617</v>
      </c>
      <c r="B247" s="9" t="s">
        <v>36</v>
      </c>
      <c r="C247" s="9" t="s">
        <v>39</v>
      </c>
      <c r="D247" s="9" t="s">
        <v>34</v>
      </c>
      <c r="E247" s="9" t="s">
        <v>117</v>
      </c>
      <c r="F247" s="9" t="s">
        <v>618</v>
      </c>
    </row>
    <row r="248" spans="1:6" x14ac:dyDescent="0.25">
      <c r="A248" s="9" t="s">
        <v>619</v>
      </c>
      <c r="B248" s="9" t="s">
        <v>37</v>
      </c>
      <c r="C248" s="9" t="s">
        <v>40</v>
      </c>
      <c r="D248" s="9" t="s">
        <v>35</v>
      </c>
      <c r="E248" s="9" t="s">
        <v>620</v>
      </c>
      <c r="F248" s="9" t="s">
        <v>618</v>
      </c>
    </row>
    <row r="249" spans="1:6" x14ac:dyDescent="0.25">
      <c r="A249" s="9" t="s">
        <v>621</v>
      </c>
      <c r="B249" s="9" t="s">
        <v>38</v>
      </c>
      <c r="C249" s="9" t="s">
        <v>37</v>
      </c>
      <c r="D249" s="9" t="s">
        <v>38</v>
      </c>
      <c r="E249" s="9" t="s">
        <v>501</v>
      </c>
      <c r="F249" s="9" t="s">
        <v>622</v>
      </c>
    </row>
    <row r="250" spans="1:6" x14ac:dyDescent="0.25">
      <c r="A250" s="9" t="s">
        <v>623</v>
      </c>
      <c r="B250" s="9" t="s">
        <v>59</v>
      </c>
      <c r="C250" s="9" t="s">
        <v>34</v>
      </c>
      <c r="D250" s="9" t="s">
        <v>39</v>
      </c>
      <c r="E250" s="9" t="s">
        <v>624</v>
      </c>
      <c r="F250" s="9" t="s">
        <v>622</v>
      </c>
    </row>
    <row r="251" spans="1:6" x14ac:dyDescent="0.25">
      <c r="A251" s="9" t="s">
        <v>625</v>
      </c>
      <c r="B251" s="9" t="s">
        <v>59</v>
      </c>
      <c r="C251" s="9" t="s">
        <v>36</v>
      </c>
      <c r="D251" s="9" t="s">
        <v>39</v>
      </c>
      <c r="E251" s="9" t="s">
        <v>484</v>
      </c>
      <c r="F251" s="9" t="s">
        <v>626</v>
      </c>
    </row>
    <row r="252" spans="1:6" x14ac:dyDescent="0.25">
      <c r="A252" s="9" t="s">
        <v>627</v>
      </c>
      <c r="B252" s="9" t="s">
        <v>34</v>
      </c>
      <c r="C252" s="9" t="s">
        <v>35</v>
      </c>
      <c r="D252" s="9" t="s">
        <v>36</v>
      </c>
      <c r="E252" s="9" t="s">
        <v>628</v>
      </c>
      <c r="F252" s="9" t="s">
        <v>629</v>
      </c>
    </row>
    <row r="253" spans="1:6" x14ac:dyDescent="0.25">
      <c r="A253" s="9" t="s">
        <v>630</v>
      </c>
      <c r="B253" s="9" t="s">
        <v>35</v>
      </c>
      <c r="C253" s="9" t="s">
        <v>37</v>
      </c>
      <c r="D253" s="9" t="s">
        <v>39</v>
      </c>
      <c r="E253" s="9" t="s">
        <v>466</v>
      </c>
      <c r="F253" s="9" t="s">
        <v>631</v>
      </c>
    </row>
    <row r="254" spans="1:6" x14ac:dyDescent="0.25">
      <c r="A254" s="9" t="s">
        <v>632</v>
      </c>
      <c r="B254" s="9" t="s">
        <v>36</v>
      </c>
      <c r="C254" s="9" t="s">
        <v>36</v>
      </c>
      <c r="D254" s="9" t="s">
        <v>38</v>
      </c>
      <c r="E254" s="9" t="s">
        <v>633</v>
      </c>
      <c r="F254" s="9" t="s">
        <v>634</v>
      </c>
    </row>
    <row r="255" spans="1:6" x14ac:dyDescent="0.25">
      <c r="A255" s="9" t="s">
        <v>635</v>
      </c>
      <c r="B255" s="9" t="s">
        <v>39</v>
      </c>
      <c r="C255" s="9" t="s">
        <v>37</v>
      </c>
      <c r="D255" s="9" t="s">
        <v>37</v>
      </c>
      <c r="E255" s="9" t="s">
        <v>636</v>
      </c>
      <c r="F255" s="9" t="s">
        <v>634</v>
      </c>
    </row>
    <row r="256" spans="1:6" x14ac:dyDescent="0.25">
      <c r="A256" s="9" t="s">
        <v>637</v>
      </c>
      <c r="B256" s="9" t="s">
        <v>36</v>
      </c>
      <c r="C256" s="9" t="s">
        <v>34</v>
      </c>
      <c r="D256" s="9" t="s">
        <v>38</v>
      </c>
      <c r="E256" s="9" t="s">
        <v>539</v>
      </c>
      <c r="F256" s="9" t="s">
        <v>634</v>
      </c>
    </row>
    <row r="257" spans="1:6" x14ac:dyDescent="0.25">
      <c r="A257" s="9" t="s">
        <v>638</v>
      </c>
      <c r="B257" s="9" t="s">
        <v>59</v>
      </c>
      <c r="C257" s="9" t="s">
        <v>36</v>
      </c>
      <c r="D257" s="9" t="s">
        <v>36</v>
      </c>
      <c r="E257" s="9" t="s">
        <v>639</v>
      </c>
      <c r="F257" s="9" t="s">
        <v>634</v>
      </c>
    </row>
    <row r="258" spans="1:6" x14ac:dyDescent="0.25">
      <c r="A258" s="9" t="s">
        <v>640</v>
      </c>
      <c r="B258" s="9" t="s">
        <v>56</v>
      </c>
      <c r="C258" s="9" t="s">
        <v>34</v>
      </c>
      <c r="D258" s="9" t="s">
        <v>34</v>
      </c>
      <c r="E258" s="9" t="s">
        <v>641</v>
      </c>
      <c r="F258" s="9" t="s">
        <v>642</v>
      </c>
    </row>
    <row r="259" spans="1:6" x14ac:dyDescent="0.25">
      <c r="A259" s="9" t="s">
        <v>643</v>
      </c>
      <c r="B259" s="9" t="s">
        <v>35</v>
      </c>
      <c r="C259" s="9" t="s">
        <v>38</v>
      </c>
      <c r="D259" s="9" t="s">
        <v>34</v>
      </c>
      <c r="E259" s="9" t="s">
        <v>644</v>
      </c>
      <c r="F259" s="9" t="s">
        <v>645</v>
      </c>
    </row>
    <row r="260" spans="1:6" x14ac:dyDescent="0.25">
      <c r="A260" s="9" t="s">
        <v>646</v>
      </c>
      <c r="B260" s="9" t="s">
        <v>37</v>
      </c>
      <c r="C260" s="9" t="s">
        <v>34</v>
      </c>
      <c r="D260" s="9" t="s">
        <v>36</v>
      </c>
      <c r="E260" s="9" t="s">
        <v>641</v>
      </c>
      <c r="F260" s="9" t="s">
        <v>647</v>
      </c>
    </row>
    <row r="261" spans="1:6" x14ac:dyDescent="0.25">
      <c r="A261" s="9" t="s">
        <v>648</v>
      </c>
      <c r="B261" s="9" t="s">
        <v>38</v>
      </c>
      <c r="C261" s="9" t="s">
        <v>39</v>
      </c>
      <c r="D261" s="9" t="s">
        <v>35</v>
      </c>
      <c r="E261" s="9" t="s">
        <v>649</v>
      </c>
      <c r="F261" s="9" t="s">
        <v>650</v>
      </c>
    </row>
    <row r="262" spans="1:6" x14ac:dyDescent="0.25">
      <c r="A262" s="9" t="s">
        <v>651</v>
      </c>
      <c r="B262" s="9" t="s">
        <v>38</v>
      </c>
      <c r="C262" s="9" t="s">
        <v>39</v>
      </c>
      <c r="D262" s="9" t="s">
        <v>37</v>
      </c>
      <c r="E262" s="9" t="s">
        <v>652</v>
      </c>
      <c r="F262" s="9" t="s">
        <v>653</v>
      </c>
    </row>
    <row r="263" spans="1:6" x14ac:dyDescent="0.25">
      <c r="A263" s="9" t="s">
        <v>654</v>
      </c>
      <c r="B263" s="9" t="s">
        <v>36</v>
      </c>
      <c r="C263" s="9" t="s">
        <v>38</v>
      </c>
      <c r="D263" s="9" t="s">
        <v>36</v>
      </c>
      <c r="E263" s="9" t="s">
        <v>300</v>
      </c>
      <c r="F263" s="9" t="s">
        <v>655</v>
      </c>
    </row>
    <row r="264" spans="1:6" x14ac:dyDescent="0.25">
      <c r="A264" s="9" t="s">
        <v>656</v>
      </c>
      <c r="B264" s="9" t="s">
        <v>56</v>
      </c>
      <c r="C264" s="9" t="s">
        <v>39</v>
      </c>
      <c r="D264" s="9" t="s">
        <v>37</v>
      </c>
      <c r="E264" s="9" t="s">
        <v>501</v>
      </c>
      <c r="F264" s="9" t="s">
        <v>657</v>
      </c>
    </row>
    <row r="265" spans="1:6" x14ac:dyDescent="0.25">
      <c r="A265" s="9" t="s">
        <v>658</v>
      </c>
      <c r="B265" s="9" t="s">
        <v>38</v>
      </c>
      <c r="C265" s="9" t="s">
        <v>34</v>
      </c>
      <c r="D265" s="9" t="s">
        <v>39</v>
      </c>
      <c r="E265" s="9" t="s">
        <v>291</v>
      </c>
      <c r="F265" s="9" t="s">
        <v>659</v>
      </c>
    </row>
    <row r="266" spans="1:6" x14ac:dyDescent="0.25">
      <c r="A266" s="9" t="s">
        <v>660</v>
      </c>
      <c r="B266" s="9" t="s">
        <v>56</v>
      </c>
      <c r="C266" s="9" t="s">
        <v>37</v>
      </c>
      <c r="D266" s="9" t="s">
        <v>34</v>
      </c>
      <c r="E266" s="9" t="s">
        <v>515</v>
      </c>
      <c r="F266" s="9" t="s">
        <v>659</v>
      </c>
    </row>
    <row r="267" spans="1:6" x14ac:dyDescent="0.25">
      <c r="A267" s="9" t="s">
        <v>661</v>
      </c>
      <c r="B267" s="9" t="s">
        <v>36</v>
      </c>
      <c r="C267" s="9" t="s">
        <v>36</v>
      </c>
      <c r="D267" s="9" t="s">
        <v>39</v>
      </c>
      <c r="E267" s="9" t="s">
        <v>662</v>
      </c>
      <c r="F267" s="9" t="s">
        <v>663</v>
      </c>
    </row>
    <row r="268" spans="1:6" x14ac:dyDescent="0.25">
      <c r="A268" s="9" t="s">
        <v>664</v>
      </c>
      <c r="B268" s="9" t="s">
        <v>56</v>
      </c>
      <c r="C268" s="9" t="s">
        <v>38</v>
      </c>
      <c r="D268" s="9" t="s">
        <v>34</v>
      </c>
      <c r="E268" s="9" t="s">
        <v>228</v>
      </c>
      <c r="F268" s="9" t="s">
        <v>665</v>
      </c>
    </row>
    <row r="269" spans="1:6" x14ac:dyDescent="0.25">
      <c r="A269" s="9" t="s">
        <v>666</v>
      </c>
      <c r="B269" s="9" t="s">
        <v>39</v>
      </c>
      <c r="C269" s="9" t="s">
        <v>40</v>
      </c>
      <c r="D269" s="9" t="s">
        <v>34</v>
      </c>
      <c r="E269" s="9" t="s">
        <v>103</v>
      </c>
      <c r="F269" s="9" t="s">
        <v>665</v>
      </c>
    </row>
    <row r="270" spans="1:6" x14ac:dyDescent="0.25">
      <c r="A270" s="9" t="s">
        <v>667</v>
      </c>
      <c r="B270" s="9" t="s">
        <v>37</v>
      </c>
      <c r="C270" s="9" t="s">
        <v>39</v>
      </c>
      <c r="D270" s="9" t="s">
        <v>37</v>
      </c>
      <c r="E270" s="9" t="s">
        <v>199</v>
      </c>
      <c r="F270" s="9" t="s">
        <v>668</v>
      </c>
    </row>
    <row r="271" spans="1:6" x14ac:dyDescent="0.25">
      <c r="A271" s="9" t="s">
        <v>669</v>
      </c>
      <c r="B271" s="9" t="s">
        <v>56</v>
      </c>
      <c r="C271" s="9" t="s">
        <v>38</v>
      </c>
      <c r="D271" s="9" t="s">
        <v>37</v>
      </c>
      <c r="E271" s="9" t="s">
        <v>670</v>
      </c>
      <c r="F271" s="9" t="s">
        <v>671</v>
      </c>
    </row>
    <row r="272" spans="1:6" x14ac:dyDescent="0.25">
      <c r="A272" s="9" t="s">
        <v>672</v>
      </c>
      <c r="B272" s="9" t="s">
        <v>39</v>
      </c>
      <c r="C272" s="9" t="s">
        <v>39</v>
      </c>
      <c r="D272" s="9" t="s">
        <v>35</v>
      </c>
      <c r="E272" s="9" t="s">
        <v>262</v>
      </c>
      <c r="F272" s="9" t="s">
        <v>671</v>
      </c>
    </row>
    <row r="273" spans="1:6" x14ac:dyDescent="0.25">
      <c r="A273" s="9" t="s">
        <v>673</v>
      </c>
      <c r="B273" s="9" t="s">
        <v>56</v>
      </c>
      <c r="C273" s="9" t="s">
        <v>39</v>
      </c>
      <c r="D273" s="9" t="s">
        <v>38</v>
      </c>
      <c r="E273" s="9" t="s">
        <v>517</v>
      </c>
      <c r="F273" s="9" t="s">
        <v>671</v>
      </c>
    </row>
    <row r="274" spans="1:6" x14ac:dyDescent="0.25">
      <c r="A274" s="9" t="s">
        <v>674</v>
      </c>
      <c r="B274" s="9" t="s">
        <v>39</v>
      </c>
      <c r="C274" s="9" t="s">
        <v>37</v>
      </c>
      <c r="D274" s="9" t="s">
        <v>38</v>
      </c>
      <c r="E274" s="9" t="s">
        <v>675</v>
      </c>
      <c r="F274" s="9" t="s">
        <v>676</v>
      </c>
    </row>
    <row r="275" spans="1:6" x14ac:dyDescent="0.25">
      <c r="A275" s="9" t="s">
        <v>677</v>
      </c>
      <c r="B275" s="9" t="s">
        <v>34</v>
      </c>
      <c r="C275" s="9" t="s">
        <v>37</v>
      </c>
      <c r="D275" s="9" t="s">
        <v>37</v>
      </c>
      <c r="E275" s="9" t="s">
        <v>678</v>
      </c>
      <c r="F275" s="9" t="s">
        <v>679</v>
      </c>
    </row>
    <row r="276" spans="1:6" x14ac:dyDescent="0.25">
      <c r="A276" s="9" t="s">
        <v>680</v>
      </c>
      <c r="B276" s="9" t="s">
        <v>56</v>
      </c>
      <c r="C276" s="9" t="s">
        <v>38</v>
      </c>
      <c r="D276" s="9" t="s">
        <v>36</v>
      </c>
      <c r="E276" s="9" t="s">
        <v>338</v>
      </c>
      <c r="F276" s="9" t="s">
        <v>681</v>
      </c>
    </row>
    <row r="277" spans="1:6" x14ac:dyDescent="0.25">
      <c r="A277" s="9" t="s">
        <v>682</v>
      </c>
      <c r="B277" s="9" t="s">
        <v>59</v>
      </c>
      <c r="C277" s="9" t="s">
        <v>38</v>
      </c>
      <c r="D277" s="9" t="s">
        <v>38</v>
      </c>
      <c r="E277" s="9" t="s">
        <v>683</v>
      </c>
      <c r="F277" s="9" t="s">
        <v>684</v>
      </c>
    </row>
    <row r="278" spans="1:6" x14ac:dyDescent="0.25">
      <c r="A278" s="9" t="s">
        <v>685</v>
      </c>
      <c r="B278" s="9" t="s">
        <v>59</v>
      </c>
      <c r="C278" s="9" t="s">
        <v>36</v>
      </c>
      <c r="D278" s="9" t="s">
        <v>39</v>
      </c>
      <c r="E278" s="9" t="s">
        <v>254</v>
      </c>
      <c r="F278" s="9" t="s">
        <v>686</v>
      </c>
    </row>
    <row r="279" spans="1:6" x14ac:dyDescent="0.25">
      <c r="A279" s="9" t="s">
        <v>687</v>
      </c>
      <c r="B279" s="9" t="s">
        <v>37</v>
      </c>
      <c r="C279" s="9" t="s">
        <v>35</v>
      </c>
      <c r="D279" s="9" t="s">
        <v>35</v>
      </c>
      <c r="E279" s="9" t="s">
        <v>688</v>
      </c>
      <c r="F279" s="9" t="s">
        <v>689</v>
      </c>
    </row>
    <row r="280" spans="1:6" x14ac:dyDescent="0.25">
      <c r="A280" s="9" t="s">
        <v>690</v>
      </c>
      <c r="B280" s="9" t="s">
        <v>38</v>
      </c>
      <c r="C280" s="9" t="s">
        <v>39</v>
      </c>
      <c r="D280" s="9" t="s">
        <v>34</v>
      </c>
      <c r="E280" s="9" t="s">
        <v>515</v>
      </c>
      <c r="F280" s="9" t="s">
        <v>689</v>
      </c>
    </row>
    <row r="281" spans="1:6" x14ac:dyDescent="0.25">
      <c r="A281" s="9" t="s">
        <v>691</v>
      </c>
      <c r="B281" s="9" t="s">
        <v>34</v>
      </c>
      <c r="C281" s="9" t="s">
        <v>36</v>
      </c>
      <c r="D281" s="9" t="s">
        <v>36</v>
      </c>
      <c r="E281" s="9" t="s">
        <v>382</v>
      </c>
      <c r="F281" s="9" t="s">
        <v>692</v>
      </c>
    </row>
    <row r="282" spans="1:6" x14ac:dyDescent="0.25">
      <c r="A282" s="9" t="s">
        <v>693</v>
      </c>
      <c r="B282" s="9" t="s">
        <v>40</v>
      </c>
      <c r="C282" s="9" t="s">
        <v>39</v>
      </c>
      <c r="D282" s="9" t="s">
        <v>34</v>
      </c>
      <c r="E282" s="9" t="s">
        <v>694</v>
      </c>
      <c r="F282" s="9" t="s">
        <v>695</v>
      </c>
    </row>
    <row r="283" spans="1:6" x14ac:dyDescent="0.25">
      <c r="A283" s="9" t="s">
        <v>696</v>
      </c>
      <c r="B283" s="9" t="s">
        <v>38</v>
      </c>
      <c r="C283" s="9" t="s">
        <v>38</v>
      </c>
      <c r="D283" s="9" t="s">
        <v>37</v>
      </c>
      <c r="E283" s="9" t="s">
        <v>697</v>
      </c>
      <c r="F283" s="9" t="s">
        <v>698</v>
      </c>
    </row>
    <row r="284" spans="1:6" x14ac:dyDescent="0.25">
      <c r="A284" s="9" t="s">
        <v>699</v>
      </c>
      <c r="B284" s="9" t="s">
        <v>34</v>
      </c>
      <c r="C284" s="9" t="s">
        <v>37</v>
      </c>
      <c r="D284" s="9" t="s">
        <v>39</v>
      </c>
      <c r="E284" s="9" t="s">
        <v>295</v>
      </c>
      <c r="F284" s="9" t="s">
        <v>700</v>
      </c>
    </row>
    <row r="285" spans="1:6" x14ac:dyDescent="0.25">
      <c r="A285" s="9" t="s">
        <v>701</v>
      </c>
      <c r="B285" s="9" t="s">
        <v>36</v>
      </c>
      <c r="C285" s="9" t="s">
        <v>36</v>
      </c>
      <c r="D285" s="9" t="s">
        <v>35</v>
      </c>
      <c r="E285" s="9" t="s">
        <v>124</v>
      </c>
      <c r="F285" s="9" t="s">
        <v>700</v>
      </c>
    </row>
    <row r="286" spans="1:6" x14ac:dyDescent="0.25">
      <c r="A286" s="9" t="s">
        <v>702</v>
      </c>
      <c r="B286" s="9" t="s">
        <v>39</v>
      </c>
      <c r="C286" s="9" t="s">
        <v>40</v>
      </c>
      <c r="D286" s="9" t="s">
        <v>36</v>
      </c>
      <c r="E286" s="9" t="s">
        <v>703</v>
      </c>
      <c r="F286" s="9" t="s">
        <v>700</v>
      </c>
    </row>
    <row r="287" spans="1:6" x14ac:dyDescent="0.25">
      <c r="A287" s="9" t="s">
        <v>704</v>
      </c>
      <c r="B287" s="9" t="s">
        <v>35</v>
      </c>
      <c r="C287" s="9" t="s">
        <v>34</v>
      </c>
      <c r="D287" s="9" t="s">
        <v>38</v>
      </c>
      <c r="E287" s="9" t="s">
        <v>705</v>
      </c>
      <c r="F287" s="9" t="s">
        <v>700</v>
      </c>
    </row>
    <row r="288" spans="1:6" x14ac:dyDescent="0.25">
      <c r="A288" s="9" t="s">
        <v>706</v>
      </c>
      <c r="B288" s="9" t="s">
        <v>39</v>
      </c>
      <c r="C288" s="9" t="s">
        <v>34</v>
      </c>
      <c r="D288" s="9" t="s">
        <v>36</v>
      </c>
      <c r="E288" s="9" t="s">
        <v>249</v>
      </c>
      <c r="F288" s="9" t="s">
        <v>707</v>
      </c>
    </row>
    <row r="289" spans="1:6" x14ac:dyDescent="0.25">
      <c r="A289" s="9" t="s">
        <v>708</v>
      </c>
      <c r="B289" s="9" t="s">
        <v>56</v>
      </c>
      <c r="C289" s="9" t="s">
        <v>40</v>
      </c>
      <c r="D289" s="9" t="s">
        <v>39</v>
      </c>
      <c r="E289" s="9" t="s">
        <v>105</v>
      </c>
      <c r="F289" s="9" t="s">
        <v>709</v>
      </c>
    </row>
    <row r="290" spans="1:6" x14ac:dyDescent="0.25">
      <c r="A290" s="9" t="s">
        <v>710</v>
      </c>
      <c r="B290" s="9" t="s">
        <v>40</v>
      </c>
      <c r="C290" s="9" t="s">
        <v>38</v>
      </c>
      <c r="D290" s="9" t="s">
        <v>36</v>
      </c>
      <c r="E290" s="9" t="s">
        <v>466</v>
      </c>
      <c r="F290" s="9" t="s">
        <v>711</v>
      </c>
    </row>
    <row r="291" spans="1:6" x14ac:dyDescent="0.25">
      <c r="A291" s="9" t="s">
        <v>712</v>
      </c>
      <c r="B291" s="9" t="s">
        <v>35</v>
      </c>
      <c r="C291" s="9" t="s">
        <v>39</v>
      </c>
      <c r="D291" s="9" t="s">
        <v>37</v>
      </c>
      <c r="E291" s="9" t="s">
        <v>79</v>
      </c>
      <c r="F291" s="9" t="s">
        <v>713</v>
      </c>
    </row>
    <row r="292" spans="1:6" x14ac:dyDescent="0.25">
      <c r="A292" s="9" t="s">
        <v>714</v>
      </c>
      <c r="B292" s="9" t="s">
        <v>36</v>
      </c>
      <c r="C292" s="9" t="s">
        <v>36</v>
      </c>
      <c r="D292" s="9" t="s">
        <v>37</v>
      </c>
      <c r="E292" s="9" t="s">
        <v>484</v>
      </c>
      <c r="F292" s="9" t="s">
        <v>713</v>
      </c>
    </row>
    <row r="293" spans="1:6" x14ac:dyDescent="0.25">
      <c r="A293" s="9" t="s">
        <v>715</v>
      </c>
      <c r="B293" s="9" t="s">
        <v>59</v>
      </c>
      <c r="C293" s="9" t="s">
        <v>34</v>
      </c>
      <c r="D293" s="9" t="s">
        <v>38</v>
      </c>
      <c r="E293" s="9" t="s">
        <v>145</v>
      </c>
      <c r="F293" s="9" t="s">
        <v>716</v>
      </c>
    </row>
    <row r="294" spans="1:6" x14ac:dyDescent="0.25">
      <c r="A294" s="9" t="s">
        <v>717</v>
      </c>
      <c r="B294" s="9" t="s">
        <v>39</v>
      </c>
      <c r="C294" s="9" t="s">
        <v>34</v>
      </c>
      <c r="D294" s="9" t="s">
        <v>36</v>
      </c>
      <c r="E294" s="9" t="s">
        <v>718</v>
      </c>
      <c r="F294" s="9" t="s">
        <v>719</v>
      </c>
    </row>
    <row r="295" spans="1:6" x14ac:dyDescent="0.25">
      <c r="A295" s="9" t="s">
        <v>720</v>
      </c>
      <c r="B295" s="9" t="s">
        <v>56</v>
      </c>
      <c r="C295" s="9" t="s">
        <v>36</v>
      </c>
      <c r="D295" s="9" t="s">
        <v>36</v>
      </c>
      <c r="E295" s="9" t="s">
        <v>165</v>
      </c>
      <c r="F295" s="9" t="s">
        <v>719</v>
      </c>
    </row>
    <row r="296" spans="1:6" x14ac:dyDescent="0.25">
      <c r="A296" s="9" t="s">
        <v>721</v>
      </c>
      <c r="B296" s="9" t="s">
        <v>35</v>
      </c>
      <c r="C296" s="9" t="s">
        <v>39</v>
      </c>
      <c r="D296" s="9" t="s">
        <v>39</v>
      </c>
      <c r="E296" s="9" t="s">
        <v>722</v>
      </c>
      <c r="F296" s="9" t="s">
        <v>723</v>
      </c>
    </row>
    <row r="297" spans="1:6" x14ac:dyDescent="0.25">
      <c r="A297" s="9" t="s">
        <v>724</v>
      </c>
      <c r="B297" s="9" t="s">
        <v>59</v>
      </c>
      <c r="C297" s="9" t="s">
        <v>38</v>
      </c>
      <c r="D297" s="9" t="s">
        <v>39</v>
      </c>
      <c r="E297" s="9" t="s">
        <v>725</v>
      </c>
      <c r="F297" s="9" t="s">
        <v>723</v>
      </c>
    </row>
    <row r="298" spans="1:6" x14ac:dyDescent="0.25">
      <c r="A298" s="9" t="s">
        <v>726</v>
      </c>
      <c r="B298" s="9" t="s">
        <v>34</v>
      </c>
      <c r="C298" s="9" t="s">
        <v>37</v>
      </c>
      <c r="D298" s="9" t="s">
        <v>39</v>
      </c>
      <c r="E298" s="9" t="s">
        <v>727</v>
      </c>
      <c r="F298" s="9" t="s">
        <v>728</v>
      </c>
    </row>
    <row r="299" spans="1:6" x14ac:dyDescent="0.25">
      <c r="A299" s="9" t="s">
        <v>729</v>
      </c>
      <c r="B299" s="9" t="s">
        <v>35</v>
      </c>
      <c r="C299" s="9" t="s">
        <v>36</v>
      </c>
      <c r="D299" s="9" t="s">
        <v>37</v>
      </c>
      <c r="E299" s="9" t="s">
        <v>730</v>
      </c>
      <c r="F299" s="9" t="s">
        <v>728</v>
      </c>
    </row>
    <row r="300" spans="1:6" x14ac:dyDescent="0.25">
      <c r="A300" s="9" t="s">
        <v>731</v>
      </c>
      <c r="B300" s="9" t="s">
        <v>36</v>
      </c>
      <c r="C300" s="9" t="s">
        <v>40</v>
      </c>
      <c r="D300" s="9" t="s">
        <v>38</v>
      </c>
      <c r="E300" s="9" t="s">
        <v>177</v>
      </c>
      <c r="F300" s="9" t="s">
        <v>732</v>
      </c>
    </row>
    <row r="301" spans="1:6" x14ac:dyDescent="0.25">
      <c r="A301" s="9" t="s">
        <v>733</v>
      </c>
      <c r="B301" s="9" t="s">
        <v>39</v>
      </c>
      <c r="C301" s="9" t="s">
        <v>36</v>
      </c>
      <c r="D301" s="9" t="s">
        <v>35</v>
      </c>
      <c r="E301" s="9" t="s">
        <v>703</v>
      </c>
      <c r="F301" s="9" t="s">
        <v>734</v>
      </c>
    </row>
    <row r="302" spans="1:6" x14ac:dyDescent="0.25">
      <c r="A302" s="9" t="s">
        <v>735</v>
      </c>
      <c r="B302" s="9" t="s">
        <v>40</v>
      </c>
      <c r="C302" s="9" t="s">
        <v>35</v>
      </c>
      <c r="D302" s="9" t="s">
        <v>36</v>
      </c>
      <c r="E302" s="9" t="s">
        <v>736</v>
      </c>
      <c r="F302" s="9" t="s">
        <v>734</v>
      </c>
    </row>
    <row r="303" spans="1:6" x14ac:dyDescent="0.25">
      <c r="A303" s="9" t="s">
        <v>737</v>
      </c>
      <c r="B303" s="9" t="s">
        <v>37</v>
      </c>
      <c r="C303" s="9" t="s">
        <v>40</v>
      </c>
      <c r="D303" s="9" t="s">
        <v>38</v>
      </c>
      <c r="E303" s="9" t="s">
        <v>628</v>
      </c>
      <c r="F303" s="9" t="s">
        <v>738</v>
      </c>
    </row>
    <row r="304" spans="1:6" x14ac:dyDescent="0.25">
      <c r="A304" s="9" t="s">
        <v>739</v>
      </c>
      <c r="B304" s="9" t="s">
        <v>37</v>
      </c>
      <c r="C304" s="9" t="s">
        <v>35</v>
      </c>
      <c r="D304" s="9" t="s">
        <v>35</v>
      </c>
      <c r="E304" s="9" t="s">
        <v>740</v>
      </c>
      <c r="F304" s="9" t="s">
        <v>738</v>
      </c>
    </row>
    <row r="305" spans="1:6" x14ac:dyDescent="0.25">
      <c r="A305" s="9" t="s">
        <v>741</v>
      </c>
      <c r="B305" s="9" t="s">
        <v>38</v>
      </c>
      <c r="C305" s="9" t="s">
        <v>34</v>
      </c>
      <c r="D305" s="9" t="s">
        <v>34</v>
      </c>
      <c r="E305" s="9" t="s">
        <v>740</v>
      </c>
      <c r="F305" s="9" t="s">
        <v>738</v>
      </c>
    </row>
    <row r="306" spans="1:6" x14ac:dyDescent="0.25">
      <c r="A306" s="9" t="s">
        <v>742</v>
      </c>
      <c r="B306" s="9" t="s">
        <v>40</v>
      </c>
      <c r="C306" s="9" t="s">
        <v>36</v>
      </c>
      <c r="D306" s="9" t="s">
        <v>39</v>
      </c>
      <c r="E306" s="9" t="s">
        <v>105</v>
      </c>
      <c r="F306" s="9" t="s">
        <v>743</v>
      </c>
    </row>
    <row r="307" spans="1:6" x14ac:dyDescent="0.25">
      <c r="A307" s="9" t="s">
        <v>744</v>
      </c>
      <c r="B307" s="9" t="s">
        <v>39</v>
      </c>
      <c r="C307" s="9" t="s">
        <v>37</v>
      </c>
      <c r="D307" s="9" t="s">
        <v>37</v>
      </c>
      <c r="E307" s="9" t="s">
        <v>174</v>
      </c>
      <c r="F307" s="9" t="s">
        <v>745</v>
      </c>
    </row>
    <row r="308" spans="1:6" x14ac:dyDescent="0.25">
      <c r="A308" s="9" t="s">
        <v>746</v>
      </c>
      <c r="B308" s="9" t="s">
        <v>59</v>
      </c>
      <c r="C308" s="9" t="s">
        <v>40</v>
      </c>
      <c r="D308" s="9" t="s">
        <v>34</v>
      </c>
      <c r="E308" s="9" t="s">
        <v>747</v>
      </c>
      <c r="F308" s="9" t="s">
        <v>748</v>
      </c>
    </row>
    <row r="309" spans="1:6" x14ac:dyDescent="0.25">
      <c r="A309" s="9" t="s">
        <v>749</v>
      </c>
      <c r="B309" s="9" t="s">
        <v>59</v>
      </c>
      <c r="C309" s="9" t="s">
        <v>36</v>
      </c>
      <c r="D309" s="9" t="s">
        <v>39</v>
      </c>
      <c r="E309" s="9" t="s">
        <v>594</v>
      </c>
      <c r="F309" s="9" t="s">
        <v>748</v>
      </c>
    </row>
    <row r="310" spans="1:6" x14ac:dyDescent="0.25">
      <c r="A310" s="9" t="s">
        <v>750</v>
      </c>
      <c r="B310" s="9" t="s">
        <v>59</v>
      </c>
      <c r="C310" s="9" t="s">
        <v>39</v>
      </c>
      <c r="D310" s="9" t="s">
        <v>39</v>
      </c>
      <c r="E310" s="9" t="s">
        <v>244</v>
      </c>
      <c r="F310" s="9" t="s">
        <v>748</v>
      </c>
    </row>
    <row r="311" spans="1:6" x14ac:dyDescent="0.25">
      <c r="A311" s="9" t="s">
        <v>751</v>
      </c>
      <c r="B311" s="9" t="s">
        <v>38</v>
      </c>
      <c r="C311" s="9" t="s">
        <v>38</v>
      </c>
      <c r="D311" s="9" t="s">
        <v>37</v>
      </c>
      <c r="E311" s="9" t="s">
        <v>752</v>
      </c>
      <c r="F311" s="9" t="s">
        <v>748</v>
      </c>
    </row>
    <row r="312" spans="1:6" x14ac:dyDescent="0.25">
      <c r="A312" s="9" t="s">
        <v>753</v>
      </c>
      <c r="B312" s="9" t="s">
        <v>39</v>
      </c>
      <c r="C312" s="9" t="s">
        <v>37</v>
      </c>
      <c r="D312" s="9" t="s">
        <v>37</v>
      </c>
      <c r="E312" s="9" t="s">
        <v>754</v>
      </c>
      <c r="F312" s="9" t="s">
        <v>755</v>
      </c>
    </row>
    <row r="313" spans="1:6" x14ac:dyDescent="0.25">
      <c r="A313" s="9" t="s">
        <v>756</v>
      </c>
      <c r="B313" s="9" t="s">
        <v>36</v>
      </c>
      <c r="C313" s="9" t="s">
        <v>34</v>
      </c>
      <c r="D313" s="9" t="s">
        <v>34</v>
      </c>
      <c r="E313" s="9" t="s">
        <v>757</v>
      </c>
      <c r="F313" s="9" t="s">
        <v>758</v>
      </c>
    </row>
    <row r="314" spans="1:6" x14ac:dyDescent="0.25">
      <c r="A314" s="9" t="s">
        <v>759</v>
      </c>
      <c r="B314" s="9" t="s">
        <v>59</v>
      </c>
      <c r="C314" s="9" t="s">
        <v>39</v>
      </c>
      <c r="D314" s="9" t="s">
        <v>36</v>
      </c>
      <c r="E314" s="9" t="s">
        <v>760</v>
      </c>
      <c r="F314" s="9" t="s">
        <v>761</v>
      </c>
    </row>
    <row r="315" spans="1:6" x14ac:dyDescent="0.25">
      <c r="A315" s="9" t="s">
        <v>762</v>
      </c>
      <c r="B315" s="9" t="s">
        <v>40</v>
      </c>
      <c r="C315" s="9" t="s">
        <v>35</v>
      </c>
      <c r="D315" s="9" t="s">
        <v>34</v>
      </c>
      <c r="E315" s="9" t="s">
        <v>100</v>
      </c>
      <c r="F315" s="9" t="s">
        <v>763</v>
      </c>
    </row>
    <row r="316" spans="1:6" x14ac:dyDescent="0.25">
      <c r="A316" s="9" t="s">
        <v>764</v>
      </c>
      <c r="B316" s="9" t="s">
        <v>38</v>
      </c>
      <c r="C316" s="9" t="s">
        <v>35</v>
      </c>
      <c r="D316" s="9" t="s">
        <v>38</v>
      </c>
      <c r="E316" s="9" t="s">
        <v>765</v>
      </c>
      <c r="F316" s="9" t="s">
        <v>766</v>
      </c>
    </row>
    <row r="317" spans="1:6" x14ac:dyDescent="0.25">
      <c r="A317" s="9" t="s">
        <v>767</v>
      </c>
      <c r="B317" s="9" t="s">
        <v>59</v>
      </c>
      <c r="C317" s="9" t="s">
        <v>38</v>
      </c>
      <c r="D317" s="9" t="s">
        <v>38</v>
      </c>
      <c r="E317" s="9" t="s">
        <v>374</v>
      </c>
      <c r="F317" s="9" t="s">
        <v>766</v>
      </c>
    </row>
    <row r="318" spans="1:6" x14ac:dyDescent="0.25">
      <c r="A318" s="9" t="s">
        <v>768</v>
      </c>
      <c r="B318" s="9" t="s">
        <v>59</v>
      </c>
      <c r="C318" s="9" t="s">
        <v>35</v>
      </c>
      <c r="D318" s="9" t="s">
        <v>38</v>
      </c>
      <c r="E318" s="9" t="s">
        <v>507</v>
      </c>
      <c r="F318" s="9" t="s">
        <v>769</v>
      </c>
    </row>
    <row r="319" spans="1:6" x14ac:dyDescent="0.25">
      <c r="A319" s="9" t="s">
        <v>770</v>
      </c>
      <c r="B319" s="9" t="s">
        <v>39</v>
      </c>
      <c r="C319" s="9" t="s">
        <v>40</v>
      </c>
      <c r="D319" s="9" t="s">
        <v>37</v>
      </c>
      <c r="E319" s="9" t="s">
        <v>199</v>
      </c>
      <c r="F319" s="9" t="s">
        <v>769</v>
      </c>
    </row>
    <row r="320" spans="1:6" x14ac:dyDescent="0.25">
      <c r="A320" s="9" t="s">
        <v>771</v>
      </c>
      <c r="B320" s="9" t="s">
        <v>35</v>
      </c>
      <c r="C320" s="9" t="s">
        <v>34</v>
      </c>
      <c r="D320" s="9" t="s">
        <v>39</v>
      </c>
      <c r="E320" s="9" t="s">
        <v>772</v>
      </c>
      <c r="F320" s="9" t="s">
        <v>773</v>
      </c>
    </row>
    <row r="321" spans="1:6" x14ac:dyDescent="0.25">
      <c r="A321" s="9" t="s">
        <v>774</v>
      </c>
      <c r="B321" s="9" t="s">
        <v>37</v>
      </c>
      <c r="C321" s="9" t="s">
        <v>34</v>
      </c>
      <c r="D321" s="9" t="s">
        <v>37</v>
      </c>
      <c r="E321" s="9" t="s">
        <v>760</v>
      </c>
      <c r="F321" s="9" t="s">
        <v>775</v>
      </c>
    </row>
    <row r="322" spans="1:6" x14ac:dyDescent="0.25">
      <c r="A322" s="9" t="s">
        <v>776</v>
      </c>
      <c r="B322" s="9" t="s">
        <v>36</v>
      </c>
      <c r="C322" s="9" t="s">
        <v>37</v>
      </c>
      <c r="D322" s="9" t="s">
        <v>35</v>
      </c>
      <c r="E322" s="9" t="s">
        <v>683</v>
      </c>
      <c r="F322" s="9" t="s">
        <v>777</v>
      </c>
    </row>
    <row r="323" spans="1:6" x14ac:dyDescent="0.25">
      <c r="A323" s="9" t="s">
        <v>778</v>
      </c>
      <c r="B323" s="9" t="s">
        <v>36</v>
      </c>
      <c r="C323" s="9" t="s">
        <v>37</v>
      </c>
      <c r="D323" s="9" t="s">
        <v>34</v>
      </c>
      <c r="E323" s="9" t="s">
        <v>779</v>
      </c>
      <c r="F323" s="9" t="s">
        <v>777</v>
      </c>
    </row>
    <row r="324" spans="1:6" x14ac:dyDescent="0.25">
      <c r="A324" s="9" t="s">
        <v>780</v>
      </c>
      <c r="B324" s="9" t="s">
        <v>56</v>
      </c>
      <c r="C324" s="9" t="s">
        <v>36</v>
      </c>
      <c r="D324" s="9" t="s">
        <v>37</v>
      </c>
      <c r="E324" s="9" t="s">
        <v>675</v>
      </c>
      <c r="F324" s="9" t="s">
        <v>781</v>
      </c>
    </row>
    <row r="325" spans="1:6" x14ac:dyDescent="0.25">
      <c r="A325" s="9" t="s">
        <v>782</v>
      </c>
      <c r="B325" s="9" t="s">
        <v>37</v>
      </c>
      <c r="C325" s="9" t="s">
        <v>39</v>
      </c>
      <c r="D325" s="9" t="s">
        <v>36</v>
      </c>
      <c r="E325" s="9" t="s">
        <v>783</v>
      </c>
      <c r="F325" s="9" t="s">
        <v>784</v>
      </c>
    </row>
    <row r="326" spans="1:6" x14ac:dyDescent="0.25">
      <c r="A326" s="9" t="s">
        <v>785</v>
      </c>
      <c r="B326" s="9" t="s">
        <v>40</v>
      </c>
      <c r="C326" s="9" t="s">
        <v>39</v>
      </c>
      <c r="D326" s="9" t="s">
        <v>39</v>
      </c>
      <c r="E326" s="9" t="s">
        <v>786</v>
      </c>
      <c r="F326" s="9" t="s">
        <v>787</v>
      </c>
    </row>
    <row r="327" spans="1:6" x14ac:dyDescent="0.25">
      <c r="A327" s="9" t="s">
        <v>788</v>
      </c>
      <c r="B327" s="9" t="s">
        <v>40</v>
      </c>
      <c r="C327" s="9" t="s">
        <v>37</v>
      </c>
      <c r="D327" s="9" t="s">
        <v>34</v>
      </c>
      <c r="E327" s="9" t="s">
        <v>789</v>
      </c>
      <c r="F327" s="9" t="s">
        <v>790</v>
      </c>
    </row>
    <row r="328" spans="1:6" x14ac:dyDescent="0.25">
      <c r="A328" s="9" t="s">
        <v>791</v>
      </c>
      <c r="B328" s="9" t="s">
        <v>40</v>
      </c>
      <c r="C328" s="9" t="s">
        <v>37</v>
      </c>
      <c r="D328" s="9" t="s">
        <v>37</v>
      </c>
      <c r="E328" s="9" t="s">
        <v>792</v>
      </c>
      <c r="F328" s="9" t="s">
        <v>793</v>
      </c>
    </row>
    <row r="329" spans="1:6" x14ac:dyDescent="0.25">
      <c r="A329" s="9" t="s">
        <v>794</v>
      </c>
      <c r="B329" s="9" t="s">
        <v>40</v>
      </c>
      <c r="C329" s="9" t="s">
        <v>34</v>
      </c>
      <c r="D329" s="9" t="s">
        <v>35</v>
      </c>
      <c r="E329" s="9" t="s">
        <v>152</v>
      </c>
      <c r="F329" s="9" t="s">
        <v>793</v>
      </c>
    </row>
    <row r="330" spans="1:6" x14ac:dyDescent="0.25">
      <c r="A330" s="9" t="s">
        <v>795</v>
      </c>
      <c r="B330" s="9" t="s">
        <v>34</v>
      </c>
      <c r="C330" s="9" t="s">
        <v>36</v>
      </c>
      <c r="D330" s="9" t="s">
        <v>35</v>
      </c>
      <c r="E330" s="9" t="s">
        <v>796</v>
      </c>
      <c r="F330" s="9" t="s">
        <v>797</v>
      </c>
    </row>
    <row r="331" spans="1:6" x14ac:dyDescent="0.25">
      <c r="A331" s="9" t="s">
        <v>798</v>
      </c>
      <c r="B331" s="9" t="s">
        <v>34</v>
      </c>
      <c r="C331" s="9" t="s">
        <v>39</v>
      </c>
      <c r="D331" s="9" t="s">
        <v>35</v>
      </c>
      <c r="E331" s="9" t="s">
        <v>603</v>
      </c>
      <c r="F331" s="9" t="s">
        <v>799</v>
      </c>
    </row>
    <row r="332" spans="1:6" x14ac:dyDescent="0.25">
      <c r="A332" s="9" t="s">
        <v>800</v>
      </c>
      <c r="B332" s="9" t="s">
        <v>38</v>
      </c>
      <c r="C332" s="9" t="s">
        <v>36</v>
      </c>
      <c r="D332" s="9" t="s">
        <v>38</v>
      </c>
      <c r="E332" s="9" t="s">
        <v>275</v>
      </c>
      <c r="F332" s="9" t="s">
        <v>801</v>
      </c>
    </row>
    <row r="333" spans="1:6" x14ac:dyDescent="0.25">
      <c r="A333" s="9" t="s">
        <v>802</v>
      </c>
      <c r="B333" s="9" t="s">
        <v>40</v>
      </c>
      <c r="C333" s="9" t="s">
        <v>37</v>
      </c>
      <c r="D333" s="9" t="s">
        <v>38</v>
      </c>
      <c r="E333" s="9" t="s">
        <v>160</v>
      </c>
      <c r="F333" s="9" t="s">
        <v>801</v>
      </c>
    </row>
    <row r="334" spans="1:6" x14ac:dyDescent="0.25">
      <c r="A334" s="9" t="s">
        <v>803</v>
      </c>
      <c r="B334" s="9" t="s">
        <v>37</v>
      </c>
      <c r="C334" s="9" t="s">
        <v>37</v>
      </c>
      <c r="D334" s="9" t="s">
        <v>39</v>
      </c>
      <c r="E334" s="9" t="s">
        <v>804</v>
      </c>
      <c r="F334" s="9" t="s">
        <v>801</v>
      </c>
    </row>
    <row r="335" spans="1:6" x14ac:dyDescent="0.25">
      <c r="A335" s="9" t="s">
        <v>805</v>
      </c>
      <c r="B335" s="9" t="s">
        <v>40</v>
      </c>
      <c r="C335" s="9" t="s">
        <v>37</v>
      </c>
      <c r="D335" s="9" t="s">
        <v>34</v>
      </c>
      <c r="E335" s="9" t="s">
        <v>806</v>
      </c>
      <c r="F335" s="9" t="s">
        <v>807</v>
      </c>
    </row>
    <row r="336" spans="1:6" x14ac:dyDescent="0.25">
      <c r="A336" s="9" t="s">
        <v>808</v>
      </c>
      <c r="B336" s="9" t="s">
        <v>34</v>
      </c>
      <c r="C336" s="9" t="s">
        <v>37</v>
      </c>
      <c r="D336" s="9" t="s">
        <v>39</v>
      </c>
      <c r="E336" s="9" t="s">
        <v>131</v>
      </c>
      <c r="F336" s="9" t="s">
        <v>807</v>
      </c>
    </row>
    <row r="337" spans="1:6" x14ac:dyDescent="0.25">
      <c r="A337" s="9" t="s">
        <v>809</v>
      </c>
      <c r="B337" s="9" t="s">
        <v>59</v>
      </c>
      <c r="C337" s="9" t="s">
        <v>38</v>
      </c>
      <c r="D337" s="9" t="s">
        <v>34</v>
      </c>
      <c r="E337" s="9" t="s">
        <v>810</v>
      </c>
      <c r="F337" s="9" t="s">
        <v>811</v>
      </c>
    </row>
    <row r="338" spans="1:6" x14ac:dyDescent="0.25">
      <c r="A338" s="9" t="s">
        <v>812</v>
      </c>
      <c r="B338" s="9" t="s">
        <v>36</v>
      </c>
      <c r="C338" s="9" t="s">
        <v>34</v>
      </c>
      <c r="D338" s="9" t="s">
        <v>34</v>
      </c>
      <c r="E338" s="9" t="s">
        <v>639</v>
      </c>
      <c r="F338" s="9" t="s">
        <v>813</v>
      </c>
    </row>
    <row r="339" spans="1:6" x14ac:dyDescent="0.25">
      <c r="A339" s="9" t="s">
        <v>814</v>
      </c>
      <c r="B339" s="9" t="s">
        <v>37</v>
      </c>
      <c r="C339" s="9" t="s">
        <v>38</v>
      </c>
      <c r="D339" s="9" t="s">
        <v>35</v>
      </c>
      <c r="E339" s="9" t="s">
        <v>815</v>
      </c>
      <c r="F339" s="9" t="s">
        <v>813</v>
      </c>
    </row>
    <row r="340" spans="1:6" x14ac:dyDescent="0.25">
      <c r="A340" s="9" t="s">
        <v>816</v>
      </c>
      <c r="B340" s="9" t="s">
        <v>37</v>
      </c>
      <c r="C340" s="9" t="s">
        <v>37</v>
      </c>
      <c r="D340" s="9" t="s">
        <v>34</v>
      </c>
      <c r="E340" s="9" t="s">
        <v>270</v>
      </c>
      <c r="F340" s="9" t="s">
        <v>817</v>
      </c>
    </row>
    <row r="341" spans="1:6" x14ac:dyDescent="0.25">
      <c r="A341" s="9" t="s">
        <v>818</v>
      </c>
      <c r="B341" s="9" t="s">
        <v>59</v>
      </c>
      <c r="C341" s="9" t="s">
        <v>40</v>
      </c>
      <c r="D341" s="9" t="s">
        <v>39</v>
      </c>
      <c r="E341" s="9" t="s">
        <v>765</v>
      </c>
      <c r="F341" s="9" t="s">
        <v>817</v>
      </c>
    </row>
    <row r="342" spans="1:6" x14ac:dyDescent="0.25">
      <c r="A342" s="9" t="s">
        <v>819</v>
      </c>
      <c r="B342" s="9" t="s">
        <v>36</v>
      </c>
      <c r="C342" s="9" t="s">
        <v>34</v>
      </c>
      <c r="D342" s="9" t="s">
        <v>37</v>
      </c>
      <c r="E342" s="9" t="s">
        <v>397</v>
      </c>
      <c r="F342" s="9" t="s">
        <v>820</v>
      </c>
    </row>
    <row r="343" spans="1:6" x14ac:dyDescent="0.25">
      <c r="A343" s="9" t="s">
        <v>821</v>
      </c>
      <c r="B343" s="9" t="s">
        <v>40</v>
      </c>
      <c r="C343" s="9" t="s">
        <v>36</v>
      </c>
      <c r="D343" s="9" t="s">
        <v>36</v>
      </c>
      <c r="E343" s="9" t="s">
        <v>683</v>
      </c>
      <c r="F343" s="9" t="s">
        <v>822</v>
      </c>
    </row>
    <row r="344" spans="1:6" x14ac:dyDescent="0.25">
      <c r="A344" s="9" t="s">
        <v>823</v>
      </c>
      <c r="B344" s="9" t="s">
        <v>35</v>
      </c>
      <c r="C344" s="9" t="s">
        <v>35</v>
      </c>
      <c r="D344" s="9" t="s">
        <v>36</v>
      </c>
      <c r="E344" s="9" t="s">
        <v>109</v>
      </c>
      <c r="F344" s="9" t="s">
        <v>822</v>
      </c>
    </row>
    <row r="345" spans="1:6" x14ac:dyDescent="0.25">
      <c r="A345" s="9" t="s">
        <v>824</v>
      </c>
      <c r="B345" s="9" t="s">
        <v>37</v>
      </c>
      <c r="C345" s="9" t="s">
        <v>34</v>
      </c>
      <c r="D345" s="9" t="s">
        <v>37</v>
      </c>
      <c r="E345" s="9" t="s">
        <v>825</v>
      </c>
      <c r="F345" s="9" t="s">
        <v>826</v>
      </c>
    </row>
    <row r="346" spans="1:6" x14ac:dyDescent="0.25">
      <c r="A346" s="9" t="s">
        <v>827</v>
      </c>
      <c r="B346" s="9" t="s">
        <v>40</v>
      </c>
      <c r="C346" s="9" t="s">
        <v>35</v>
      </c>
      <c r="D346" s="9" t="s">
        <v>39</v>
      </c>
      <c r="E346" s="9" t="s">
        <v>397</v>
      </c>
      <c r="F346" s="9" t="s">
        <v>826</v>
      </c>
    </row>
    <row r="347" spans="1:6" x14ac:dyDescent="0.25">
      <c r="A347" s="9" t="s">
        <v>828</v>
      </c>
      <c r="B347" s="9" t="s">
        <v>39</v>
      </c>
      <c r="C347" s="9" t="s">
        <v>35</v>
      </c>
      <c r="D347" s="9" t="s">
        <v>34</v>
      </c>
      <c r="E347" s="9" t="s">
        <v>829</v>
      </c>
      <c r="F347" s="9" t="s">
        <v>830</v>
      </c>
    </row>
    <row r="348" spans="1:6" x14ac:dyDescent="0.25">
      <c r="A348" s="9" t="s">
        <v>831</v>
      </c>
      <c r="B348" s="9" t="s">
        <v>34</v>
      </c>
      <c r="C348" s="9" t="s">
        <v>37</v>
      </c>
      <c r="D348" s="9" t="s">
        <v>37</v>
      </c>
      <c r="E348" s="9" t="s">
        <v>515</v>
      </c>
      <c r="F348" s="9" t="s">
        <v>830</v>
      </c>
    </row>
    <row r="349" spans="1:6" x14ac:dyDescent="0.25">
      <c r="A349" s="9" t="s">
        <v>832</v>
      </c>
      <c r="B349" s="9" t="s">
        <v>36</v>
      </c>
      <c r="C349" s="9" t="s">
        <v>36</v>
      </c>
      <c r="D349" s="9" t="s">
        <v>34</v>
      </c>
      <c r="E349" s="9" t="s">
        <v>624</v>
      </c>
      <c r="F349" s="9" t="s">
        <v>833</v>
      </c>
    </row>
    <row r="350" spans="1:6" x14ac:dyDescent="0.25">
      <c r="A350" s="9" t="s">
        <v>834</v>
      </c>
      <c r="B350" s="9" t="s">
        <v>34</v>
      </c>
      <c r="C350" s="9" t="s">
        <v>37</v>
      </c>
      <c r="D350" s="9" t="s">
        <v>39</v>
      </c>
      <c r="E350" s="9" t="s">
        <v>835</v>
      </c>
      <c r="F350" s="9" t="s">
        <v>836</v>
      </c>
    </row>
    <row r="351" spans="1:6" x14ac:dyDescent="0.25">
      <c r="A351" s="9" t="s">
        <v>837</v>
      </c>
      <c r="B351" s="9" t="s">
        <v>56</v>
      </c>
      <c r="C351" s="9" t="s">
        <v>37</v>
      </c>
      <c r="D351" s="9" t="s">
        <v>38</v>
      </c>
      <c r="E351" s="9" t="s">
        <v>145</v>
      </c>
      <c r="F351" s="9" t="s">
        <v>838</v>
      </c>
    </row>
    <row r="352" spans="1:6" x14ac:dyDescent="0.25">
      <c r="A352" s="9" t="s">
        <v>839</v>
      </c>
      <c r="B352" s="9" t="s">
        <v>34</v>
      </c>
      <c r="C352" s="9" t="s">
        <v>40</v>
      </c>
      <c r="D352" s="9" t="s">
        <v>35</v>
      </c>
      <c r="E352" s="9" t="s">
        <v>840</v>
      </c>
      <c r="F352" s="9" t="s">
        <v>841</v>
      </c>
    </row>
    <row r="353" spans="1:6" x14ac:dyDescent="0.25">
      <c r="A353" s="9" t="s">
        <v>842</v>
      </c>
      <c r="B353" s="9" t="s">
        <v>38</v>
      </c>
      <c r="C353" s="9" t="s">
        <v>38</v>
      </c>
      <c r="D353" s="9" t="s">
        <v>36</v>
      </c>
      <c r="E353" s="9" t="s">
        <v>636</v>
      </c>
      <c r="F353" s="9" t="s">
        <v>843</v>
      </c>
    </row>
    <row r="354" spans="1:6" x14ac:dyDescent="0.25">
      <c r="A354" s="9" t="s">
        <v>844</v>
      </c>
      <c r="B354" s="9" t="s">
        <v>38</v>
      </c>
      <c r="C354" s="9" t="s">
        <v>35</v>
      </c>
      <c r="D354" s="9" t="s">
        <v>38</v>
      </c>
      <c r="E354" s="9" t="s">
        <v>239</v>
      </c>
      <c r="F354" s="9" t="s">
        <v>843</v>
      </c>
    </row>
    <row r="355" spans="1:6" x14ac:dyDescent="0.25">
      <c r="A355" s="9" t="s">
        <v>845</v>
      </c>
      <c r="B355" s="9" t="s">
        <v>34</v>
      </c>
      <c r="C355" s="9" t="s">
        <v>38</v>
      </c>
      <c r="D355" s="9" t="s">
        <v>35</v>
      </c>
      <c r="E355" s="9" t="s">
        <v>333</v>
      </c>
      <c r="F355" s="9" t="s">
        <v>843</v>
      </c>
    </row>
    <row r="356" spans="1:6" x14ac:dyDescent="0.25">
      <c r="A356" s="9" t="s">
        <v>846</v>
      </c>
      <c r="B356" s="9" t="s">
        <v>37</v>
      </c>
      <c r="C356" s="9" t="s">
        <v>39</v>
      </c>
      <c r="D356" s="9" t="s">
        <v>34</v>
      </c>
      <c r="E356" s="9" t="s">
        <v>806</v>
      </c>
      <c r="F356" s="9" t="s">
        <v>847</v>
      </c>
    </row>
    <row r="357" spans="1:6" x14ac:dyDescent="0.25">
      <c r="A357" s="9" t="s">
        <v>848</v>
      </c>
      <c r="B357" s="9" t="s">
        <v>35</v>
      </c>
      <c r="C357" s="9" t="s">
        <v>39</v>
      </c>
      <c r="D357" s="9" t="s">
        <v>36</v>
      </c>
      <c r="E357" s="9" t="s">
        <v>79</v>
      </c>
      <c r="F357" s="9" t="s">
        <v>847</v>
      </c>
    </row>
    <row r="358" spans="1:6" x14ac:dyDescent="0.25">
      <c r="A358" s="9" t="s">
        <v>849</v>
      </c>
      <c r="B358" s="9" t="s">
        <v>40</v>
      </c>
      <c r="C358" s="9" t="s">
        <v>39</v>
      </c>
      <c r="D358" s="9" t="s">
        <v>35</v>
      </c>
      <c r="E358" s="9" t="s">
        <v>222</v>
      </c>
      <c r="F358" s="9" t="s">
        <v>850</v>
      </c>
    </row>
    <row r="359" spans="1:6" x14ac:dyDescent="0.25">
      <c r="A359" s="9" t="s">
        <v>851</v>
      </c>
      <c r="B359" s="9" t="s">
        <v>40</v>
      </c>
      <c r="C359" s="9" t="s">
        <v>39</v>
      </c>
      <c r="D359" s="9" t="s">
        <v>34</v>
      </c>
      <c r="E359" s="9" t="s">
        <v>688</v>
      </c>
      <c r="F359" s="9" t="s">
        <v>850</v>
      </c>
    </row>
    <row r="360" spans="1:6" x14ac:dyDescent="0.25">
      <c r="A360" s="9" t="s">
        <v>852</v>
      </c>
      <c r="B360" s="9" t="s">
        <v>40</v>
      </c>
      <c r="C360" s="9" t="s">
        <v>39</v>
      </c>
      <c r="D360" s="9" t="s">
        <v>39</v>
      </c>
      <c r="E360" s="9" t="s">
        <v>312</v>
      </c>
      <c r="F360" s="9" t="s">
        <v>853</v>
      </c>
    </row>
    <row r="361" spans="1:6" x14ac:dyDescent="0.25">
      <c r="A361" s="9" t="s">
        <v>854</v>
      </c>
      <c r="B361" s="9" t="s">
        <v>34</v>
      </c>
      <c r="C361" s="9" t="s">
        <v>38</v>
      </c>
      <c r="D361" s="9" t="s">
        <v>39</v>
      </c>
      <c r="E361" s="9" t="s">
        <v>855</v>
      </c>
      <c r="F361" s="9" t="s">
        <v>856</v>
      </c>
    </row>
    <row r="362" spans="1:6" x14ac:dyDescent="0.25">
      <c r="A362" s="9" t="s">
        <v>857</v>
      </c>
      <c r="B362" s="9" t="s">
        <v>56</v>
      </c>
      <c r="C362" s="9" t="s">
        <v>34</v>
      </c>
      <c r="D362" s="9" t="s">
        <v>34</v>
      </c>
      <c r="E362" s="9" t="s">
        <v>155</v>
      </c>
      <c r="F362" s="9" t="s">
        <v>858</v>
      </c>
    </row>
    <row r="363" spans="1:6" x14ac:dyDescent="0.25">
      <c r="A363" s="9" t="s">
        <v>859</v>
      </c>
      <c r="B363" s="9" t="s">
        <v>34</v>
      </c>
      <c r="C363" s="9" t="s">
        <v>38</v>
      </c>
      <c r="D363" s="9" t="s">
        <v>38</v>
      </c>
      <c r="E363" s="9" t="s">
        <v>371</v>
      </c>
      <c r="F363" s="9" t="s">
        <v>858</v>
      </c>
    </row>
    <row r="364" spans="1:6" x14ac:dyDescent="0.25">
      <c r="A364" s="9" t="s">
        <v>860</v>
      </c>
      <c r="B364" s="9" t="s">
        <v>37</v>
      </c>
      <c r="C364" s="9" t="s">
        <v>40</v>
      </c>
      <c r="D364" s="9" t="s">
        <v>35</v>
      </c>
      <c r="E364" s="9" t="s">
        <v>512</v>
      </c>
      <c r="F364" s="9" t="s">
        <v>861</v>
      </c>
    </row>
    <row r="365" spans="1:6" x14ac:dyDescent="0.25">
      <c r="A365" s="9" t="s">
        <v>862</v>
      </c>
      <c r="B365" s="9" t="s">
        <v>40</v>
      </c>
      <c r="C365" s="9" t="s">
        <v>34</v>
      </c>
      <c r="D365" s="9" t="s">
        <v>35</v>
      </c>
      <c r="E365" s="9" t="s">
        <v>338</v>
      </c>
      <c r="F365" s="9" t="s">
        <v>863</v>
      </c>
    </row>
    <row r="366" spans="1:6" x14ac:dyDescent="0.25">
      <c r="A366" s="9" t="s">
        <v>864</v>
      </c>
      <c r="B366" s="9" t="s">
        <v>40</v>
      </c>
      <c r="C366" s="9" t="s">
        <v>35</v>
      </c>
      <c r="D366" s="9" t="s">
        <v>35</v>
      </c>
      <c r="E366" s="9" t="s">
        <v>865</v>
      </c>
      <c r="F366" s="9" t="s">
        <v>866</v>
      </c>
    </row>
    <row r="367" spans="1:6" x14ac:dyDescent="0.25">
      <c r="A367" s="9" t="s">
        <v>867</v>
      </c>
      <c r="B367" s="9" t="s">
        <v>59</v>
      </c>
      <c r="C367" s="9" t="s">
        <v>35</v>
      </c>
      <c r="D367" s="9" t="s">
        <v>36</v>
      </c>
      <c r="E367" s="9" t="s">
        <v>868</v>
      </c>
      <c r="F367" s="9" t="s">
        <v>866</v>
      </c>
    </row>
    <row r="368" spans="1:6" x14ac:dyDescent="0.25">
      <c r="A368" s="9" t="s">
        <v>869</v>
      </c>
      <c r="B368" s="9" t="s">
        <v>39</v>
      </c>
      <c r="C368" s="9" t="s">
        <v>37</v>
      </c>
      <c r="D368" s="9" t="s">
        <v>38</v>
      </c>
      <c r="E368" s="9" t="s">
        <v>264</v>
      </c>
      <c r="F368" s="9" t="s">
        <v>870</v>
      </c>
    </row>
    <row r="369" spans="1:6" x14ac:dyDescent="0.25">
      <c r="A369" s="9" t="s">
        <v>871</v>
      </c>
      <c r="B369" s="9" t="s">
        <v>34</v>
      </c>
      <c r="C369" s="9" t="s">
        <v>37</v>
      </c>
      <c r="D369" s="9" t="s">
        <v>38</v>
      </c>
      <c r="E369" s="9" t="s">
        <v>236</v>
      </c>
      <c r="F369" s="9" t="s">
        <v>872</v>
      </c>
    </row>
    <row r="370" spans="1:6" x14ac:dyDescent="0.25">
      <c r="A370" s="9" t="s">
        <v>873</v>
      </c>
      <c r="B370" s="9" t="s">
        <v>35</v>
      </c>
      <c r="C370" s="9" t="s">
        <v>34</v>
      </c>
      <c r="D370" s="9" t="s">
        <v>39</v>
      </c>
      <c r="E370" s="9" t="s">
        <v>874</v>
      </c>
      <c r="F370" s="9" t="s">
        <v>875</v>
      </c>
    </row>
    <row r="371" spans="1:6" x14ac:dyDescent="0.25">
      <c r="A371" s="9" t="s">
        <v>876</v>
      </c>
      <c r="B371" s="9" t="s">
        <v>38</v>
      </c>
      <c r="C371" s="9" t="s">
        <v>39</v>
      </c>
      <c r="D371" s="9" t="s">
        <v>38</v>
      </c>
      <c r="E371" s="9" t="s">
        <v>559</v>
      </c>
      <c r="F371" s="9" t="s">
        <v>877</v>
      </c>
    </row>
    <row r="372" spans="1:6" x14ac:dyDescent="0.25">
      <c r="A372" s="9" t="s">
        <v>878</v>
      </c>
      <c r="B372" s="9" t="s">
        <v>40</v>
      </c>
      <c r="C372" s="9" t="s">
        <v>37</v>
      </c>
      <c r="D372" s="9" t="s">
        <v>38</v>
      </c>
      <c r="E372" s="9" t="s">
        <v>82</v>
      </c>
      <c r="F372" s="9" t="s">
        <v>877</v>
      </c>
    </row>
    <row r="373" spans="1:6" x14ac:dyDescent="0.25">
      <c r="A373" s="9" t="s">
        <v>879</v>
      </c>
      <c r="B373" s="9" t="s">
        <v>56</v>
      </c>
      <c r="C373" s="9" t="s">
        <v>39</v>
      </c>
      <c r="D373" s="9" t="s">
        <v>39</v>
      </c>
      <c r="E373" s="9" t="s">
        <v>171</v>
      </c>
      <c r="F373" s="9" t="s">
        <v>877</v>
      </c>
    </row>
    <row r="374" spans="1:6" x14ac:dyDescent="0.25">
      <c r="A374" s="9" t="s">
        <v>880</v>
      </c>
      <c r="B374" s="9" t="s">
        <v>56</v>
      </c>
      <c r="C374" s="9" t="s">
        <v>34</v>
      </c>
      <c r="D374" s="9" t="s">
        <v>34</v>
      </c>
      <c r="E374" s="9" t="s">
        <v>478</v>
      </c>
      <c r="F374" s="9" t="s">
        <v>881</v>
      </c>
    </row>
    <row r="375" spans="1:6" x14ac:dyDescent="0.25">
      <c r="A375" s="9" t="s">
        <v>882</v>
      </c>
      <c r="B375" s="9" t="s">
        <v>38</v>
      </c>
      <c r="C375" s="9" t="s">
        <v>37</v>
      </c>
      <c r="D375" s="9" t="s">
        <v>37</v>
      </c>
      <c r="E375" s="9" t="s">
        <v>137</v>
      </c>
      <c r="F375" s="9" t="s">
        <v>883</v>
      </c>
    </row>
    <row r="376" spans="1:6" x14ac:dyDescent="0.25">
      <c r="A376" s="9" t="s">
        <v>884</v>
      </c>
      <c r="B376" s="9" t="s">
        <v>37</v>
      </c>
      <c r="C376" s="9" t="s">
        <v>39</v>
      </c>
      <c r="D376" s="9" t="s">
        <v>36</v>
      </c>
      <c r="E376" s="9" t="s">
        <v>295</v>
      </c>
      <c r="F376" s="9" t="s">
        <v>885</v>
      </c>
    </row>
    <row r="377" spans="1:6" x14ac:dyDescent="0.25">
      <c r="A377" s="9" t="s">
        <v>886</v>
      </c>
      <c r="B377" s="9" t="s">
        <v>39</v>
      </c>
      <c r="C377" s="9" t="s">
        <v>34</v>
      </c>
      <c r="D377" s="9" t="s">
        <v>38</v>
      </c>
      <c r="E377" s="9" t="s">
        <v>239</v>
      </c>
      <c r="F377" s="9" t="s">
        <v>885</v>
      </c>
    </row>
    <row r="378" spans="1:6" x14ac:dyDescent="0.25">
      <c r="A378" s="9" t="s">
        <v>887</v>
      </c>
      <c r="B378" s="9" t="s">
        <v>56</v>
      </c>
      <c r="C378" s="9" t="s">
        <v>34</v>
      </c>
      <c r="D378" s="9" t="s">
        <v>39</v>
      </c>
      <c r="E378" s="9" t="s">
        <v>683</v>
      </c>
      <c r="F378" s="9" t="s">
        <v>888</v>
      </c>
    </row>
    <row r="379" spans="1:6" x14ac:dyDescent="0.25">
      <c r="A379" s="9" t="s">
        <v>889</v>
      </c>
      <c r="B379" s="9" t="s">
        <v>36</v>
      </c>
      <c r="C379" s="9" t="s">
        <v>37</v>
      </c>
      <c r="D379" s="9" t="s">
        <v>37</v>
      </c>
      <c r="E379" s="9" t="s">
        <v>346</v>
      </c>
      <c r="F379" s="9" t="s">
        <v>890</v>
      </c>
    </row>
    <row r="380" spans="1:6" x14ac:dyDescent="0.25">
      <c r="A380" s="9" t="s">
        <v>891</v>
      </c>
      <c r="B380" s="9" t="s">
        <v>37</v>
      </c>
      <c r="C380" s="9" t="s">
        <v>34</v>
      </c>
      <c r="D380" s="9" t="s">
        <v>38</v>
      </c>
      <c r="E380" s="9" t="s">
        <v>365</v>
      </c>
      <c r="F380" s="9" t="s">
        <v>892</v>
      </c>
    </row>
    <row r="381" spans="1:6" x14ac:dyDescent="0.25">
      <c r="A381" s="9" t="s">
        <v>893</v>
      </c>
      <c r="B381" s="9" t="s">
        <v>59</v>
      </c>
      <c r="C381" s="9" t="s">
        <v>37</v>
      </c>
      <c r="D381" s="9" t="s">
        <v>35</v>
      </c>
      <c r="E381" s="9" t="s">
        <v>644</v>
      </c>
      <c r="F381" s="9" t="s">
        <v>894</v>
      </c>
    </row>
    <row r="382" spans="1:6" x14ac:dyDescent="0.25">
      <c r="A382" s="9" t="s">
        <v>895</v>
      </c>
      <c r="B382" s="9" t="s">
        <v>38</v>
      </c>
      <c r="C382" s="9" t="s">
        <v>35</v>
      </c>
      <c r="D382" s="9" t="s">
        <v>38</v>
      </c>
      <c r="E382" s="9" t="s">
        <v>896</v>
      </c>
      <c r="F382" s="9" t="s">
        <v>894</v>
      </c>
    </row>
    <row r="383" spans="1:6" x14ac:dyDescent="0.25">
      <c r="A383" s="9" t="s">
        <v>897</v>
      </c>
      <c r="B383" s="9" t="s">
        <v>56</v>
      </c>
      <c r="C383" s="9" t="s">
        <v>35</v>
      </c>
      <c r="D383" s="9" t="s">
        <v>39</v>
      </c>
      <c r="E383" s="9" t="s">
        <v>594</v>
      </c>
      <c r="F383" s="9" t="s">
        <v>898</v>
      </c>
    </row>
    <row r="384" spans="1:6" x14ac:dyDescent="0.25">
      <c r="A384" s="9" t="s">
        <v>899</v>
      </c>
      <c r="B384" s="9" t="s">
        <v>35</v>
      </c>
      <c r="C384" s="9" t="s">
        <v>39</v>
      </c>
      <c r="D384" s="9" t="s">
        <v>34</v>
      </c>
      <c r="E384" s="9" t="s">
        <v>481</v>
      </c>
      <c r="F384" s="9" t="s">
        <v>898</v>
      </c>
    </row>
    <row r="385" spans="1:6" x14ac:dyDescent="0.25">
      <c r="A385" s="9" t="s">
        <v>900</v>
      </c>
      <c r="B385" s="9" t="s">
        <v>34</v>
      </c>
      <c r="C385" s="9" t="s">
        <v>38</v>
      </c>
      <c r="D385" s="9" t="s">
        <v>35</v>
      </c>
      <c r="E385" s="9" t="s">
        <v>547</v>
      </c>
      <c r="F385" s="9" t="s">
        <v>901</v>
      </c>
    </row>
    <row r="386" spans="1:6" x14ac:dyDescent="0.25">
      <c r="A386" s="9" t="s">
        <v>902</v>
      </c>
      <c r="B386" s="9" t="s">
        <v>40</v>
      </c>
      <c r="C386" s="9" t="s">
        <v>37</v>
      </c>
      <c r="D386" s="9" t="s">
        <v>38</v>
      </c>
      <c r="E386" s="9" t="s">
        <v>754</v>
      </c>
      <c r="F386" s="9" t="s">
        <v>901</v>
      </c>
    </row>
    <row r="387" spans="1:6" x14ac:dyDescent="0.25">
      <c r="A387" s="9" t="s">
        <v>903</v>
      </c>
      <c r="B387" s="9" t="s">
        <v>56</v>
      </c>
      <c r="C387" s="9" t="s">
        <v>39</v>
      </c>
      <c r="D387" s="9" t="s">
        <v>38</v>
      </c>
      <c r="E387" s="9" t="s">
        <v>267</v>
      </c>
      <c r="F387" s="9" t="s">
        <v>904</v>
      </c>
    </row>
    <row r="388" spans="1:6" x14ac:dyDescent="0.25">
      <c r="A388" s="9" t="s">
        <v>905</v>
      </c>
      <c r="B388" s="9" t="s">
        <v>37</v>
      </c>
      <c r="C388" s="9" t="s">
        <v>36</v>
      </c>
      <c r="D388" s="9" t="s">
        <v>39</v>
      </c>
      <c r="E388" s="9" t="s">
        <v>160</v>
      </c>
      <c r="F388" s="9" t="s">
        <v>906</v>
      </c>
    </row>
    <row r="389" spans="1:6" x14ac:dyDescent="0.25">
      <c r="A389" s="9" t="s">
        <v>907</v>
      </c>
      <c r="B389" s="9" t="s">
        <v>35</v>
      </c>
      <c r="C389" s="9" t="s">
        <v>40</v>
      </c>
      <c r="D389" s="9" t="s">
        <v>37</v>
      </c>
      <c r="E389" s="9" t="s">
        <v>254</v>
      </c>
      <c r="F389" s="9" t="s">
        <v>908</v>
      </c>
    </row>
    <row r="390" spans="1:6" x14ac:dyDescent="0.25">
      <c r="A390" s="9" t="s">
        <v>909</v>
      </c>
      <c r="B390" s="9" t="s">
        <v>59</v>
      </c>
      <c r="C390" s="9" t="s">
        <v>38</v>
      </c>
      <c r="D390" s="9" t="s">
        <v>35</v>
      </c>
      <c r="E390" s="9" t="s">
        <v>530</v>
      </c>
      <c r="F390" s="9" t="s">
        <v>910</v>
      </c>
    </row>
    <row r="391" spans="1:6" x14ac:dyDescent="0.25">
      <c r="A391" s="9" t="s">
        <v>911</v>
      </c>
      <c r="B391" s="9" t="s">
        <v>38</v>
      </c>
      <c r="C391" s="9" t="s">
        <v>37</v>
      </c>
      <c r="D391" s="9" t="s">
        <v>36</v>
      </c>
      <c r="E391" s="9" t="s">
        <v>470</v>
      </c>
      <c r="F391" s="9" t="s">
        <v>912</v>
      </c>
    </row>
    <row r="392" spans="1:6" x14ac:dyDescent="0.25">
      <c r="A392" s="9" t="s">
        <v>913</v>
      </c>
      <c r="B392" s="9" t="s">
        <v>36</v>
      </c>
      <c r="C392" s="9" t="s">
        <v>35</v>
      </c>
      <c r="D392" s="9" t="s">
        <v>34</v>
      </c>
      <c r="E392" s="9" t="s">
        <v>914</v>
      </c>
      <c r="F392" s="9" t="s">
        <v>915</v>
      </c>
    </row>
    <row r="393" spans="1:6" x14ac:dyDescent="0.25">
      <c r="A393" s="9" t="s">
        <v>916</v>
      </c>
      <c r="B393" s="9" t="s">
        <v>59</v>
      </c>
      <c r="C393" s="9" t="s">
        <v>36</v>
      </c>
      <c r="D393" s="9" t="s">
        <v>39</v>
      </c>
      <c r="E393" s="9" t="s">
        <v>214</v>
      </c>
      <c r="F393" s="9" t="s">
        <v>915</v>
      </c>
    </row>
    <row r="394" spans="1:6" x14ac:dyDescent="0.25">
      <c r="A394" s="9" t="s">
        <v>917</v>
      </c>
      <c r="B394" s="9" t="s">
        <v>35</v>
      </c>
      <c r="C394" s="9" t="s">
        <v>40</v>
      </c>
      <c r="D394" s="9" t="s">
        <v>38</v>
      </c>
      <c r="E394" s="9" t="s">
        <v>489</v>
      </c>
      <c r="F394" s="9" t="s">
        <v>918</v>
      </c>
    </row>
    <row r="395" spans="1:6" x14ac:dyDescent="0.25">
      <c r="A395" s="9" t="s">
        <v>919</v>
      </c>
      <c r="B395" s="9" t="s">
        <v>39</v>
      </c>
      <c r="C395" s="9" t="s">
        <v>39</v>
      </c>
      <c r="D395" s="9" t="s">
        <v>36</v>
      </c>
      <c r="E395" s="9" t="s">
        <v>920</v>
      </c>
      <c r="F395" s="9" t="s">
        <v>918</v>
      </c>
    </row>
    <row r="396" spans="1:6" x14ac:dyDescent="0.25">
      <c r="A396" s="9" t="s">
        <v>921</v>
      </c>
      <c r="B396" s="9" t="s">
        <v>36</v>
      </c>
      <c r="C396" s="9" t="s">
        <v>34</v>
      </c>
      <c r="D396" s="9" t="s">
        <v>34</v>
      </c>
      <c r="E396" s="9" t="s">
        <v>922</v>
      </c>
      <c r="F396" s="9" t="s">
        <v>923</v>
      </c>
    </row>
    <row r="397" spans="1:6" x14ac:dyDescent="0.25">
      <c r="A397" s="9" t="s">
        <v>924</v>
      </c>
      <c r="B397" s="9" t="s">
        <v>34</v>
      </c>
      <c r="C397" s="9" t="s">
        <v>40</v>
      </c>
      <c r="D397" s="9" t="s">
        <v>38</v>
      </c>
      <c r="E397" s="9" t="s">
        <v>925</v>
      </c>
      <c r="F397" s="9" t="s">
        <v>926</v>
      </c>
    </row>
    <row r="398" spans="1:6" x14ac:dyDescent="0.25">
      <c r="A398" s="9" t="s">
        <v>927</v>
      </c>
      <c r="B398" s="9" t="s">
        <v>38</v>
      </c>
      <c r="C398" s="9" t="s">
        <v>38</v>
      </c>
      <c r="D398" s="9" t="s">
        <v>35</v>
      </c>
      <c r="E398" s="9" t="s">
        <v>922</v>
      </c>
      <c r="F398" s="9" t="s">
        <v>926</v>
      </c>
    </row>
    <row r="399" spans="1:6" x14ac:dyDescent="0.25">
      <c r="A399" s="9" t="s">
        <v>928</v>
      </c>
      <c r="B399" s="9" t="s">
        <v>59</v>
      </c>
      <c r="C399" s="9" t="s">
        <v>37</v>
      </c>
      <c r="D399" s="9" t="s">
        <v>34</v>
      </c>
      <c r="E399" s="9" t="s">
        <v>740</v>
      </c>
      <c r="F399" s="9" t="s">
        <v>929</v>
      </c>
    </row>
    <row r="400" spans="1:6" x14ac:dyDescent="0.25">
      <c r="A400" s="9" t="s">
        <v>930</v>
      </c>
      <c r="B400" s="9" t="s">
        <v>56</v>
      </c>
      <c r="C400" s="9" t="s">
        <v>36</v>
      </c>
      <c r="D400" s="9" t="s">
        <v>36</v>
      </c>
      <c r="E400" s="9" t="s">
        <v>931</v>
      </c>
      <c r="F400" s="9" t="s">
        <v>932</v>
      </c>
    </row>
    <row r="401" spans="1:6" x14ac:dyDescent="0.25">
      <c r="A401" s="9" t="s">
        <v>933</v>
      </c>
      <c r="B401" s="9" t="s">
        <v>40</v>
      </c>
      <c r="C401" s="9" t="s">
        <v>38</v>
      </c>
      <c r="D401" s="9" t="s">
        <v>37</v>
      </c>
      <c r="E401" s="9" t="s">
        <v>539</v>
      </c>
      <c r="F401" s="9" t="s">
        <v>934</v>
      </c>
    </row>
    <row r="402" spans="1:6" x14ac:dyDescent="0.25">
      <c r="A402" s="9" t="s">
        <v>935</v>
      </c>
      <c r="B402" s="9" t="s">
        <v>56</v>
      </c>
      <c r="C402" s="9" t="s">
        <v>34</v>
      </c>
      <c r="D402" s="9" t="s">
        <v>39</v>
      </c>
      <c r="E402" s="9" t="s">
        <v>284</v>
      </c>
      <c r="F402" s="9" t="s">
        <v>936</v>
      </c>
    </row>
    <row r="403" spans="1:6" x14ac:dyDescent="0.25">
      <c r="A403" s="9" t="s">
        <v>937</v>
      </c>
      <c r="B403" s="9" t="s">
        <v>59</v>
      </c>
      <c r="C403" s="9" t="s">
        <v>34</v>
      </c>
      <c r="D403" s="9" t="s">
        <v>38</v>
      </c>
      <c r="E403" s="9" t="s">
        <v>649</v>
      </c>
      <c r="F403" s="9" t="s">
        <v>938</v>
      </c>
    </row>
    <row r="404" spans="1:6" x14ac:dyDescent="0.25">
      <c r="A404" s="9" t="s">
        <v>939</v>
      </c>
      <c r="B404" s="9" t="s">
        <v>56</v>
      </c>
      <c r="C404" s="9" t="s">
        <v>34</v>
      </c>
      <c r="D404" s="9" t="s">
        <v>39</v>
      </c>
      <c r="E404" s="9" t="s">
        <v>443</v>
      </c>
      <c r="F404" s="9" t="s">
        <v>940</v>
      </c>
    </row>
    <row r="405" spans="1:6" x14ac:dyDescent="0.25">
      <c r="A405" s="9" t="s">
        <v>941</v>
      </c>
      <c r="B405" s="9" t="s">
        <v>35</v>
      </c>
      <c r="C405" s="9" t="s">
        <v>37</v>
      </c>
      <c r="D405" s="9" t="s">
        <v>38</v>
      </c>
      <c r="E405" s="9" t="s">
        <v>481</v>
      </c>
      <c r="F405" s="9" t="s">
        <v>942</v>
      </c>
    </row>
    <row r="406" spans="1:6" x14ac:dyDescent="0.25">
      <c r="A406" s="9" t="s">
        <v>943</v>
      </c>
      <c r="B406" s="9" t="s">
        <v>37</v>
      </c>
      <c r="C406" s="9" t="s">
        <v>38</v>
      </c>
      <c r="D406" s="9" t="s">
        <v>38</v>
      </c>
      <c r="E406" s="9" t="s">
        <v>150</v>
      </c>
      <c r="F406" s="9" t="s">
        <v>942</v>
      </c>
    </row>
    <row r="407" spans="1:6" x14ac:dyDescent="0.25">
      <c r="A407" s="9" t="s">
        <v>944</v>
      </c>
      <c r="B407" s="9" t="s">
        <v>38</v>
      </c>
      <c r="C407" s="9" t="s">
        <v>40</v>
      </c>
      <c r="D407" s="9" t="s">
        <v>37</v>
      </c>
      <c r="E407" s="9" t="s">
        <v>100</v>
      </c>
      <c r="F407" s="9" t="s">
        <v>945</v>
      </c>
    </row>
    <row r="408" spans="1:6" x14ac:dyDescent="0.25">
      <c r="A408" s="9" t="s">
        <v>946</v>
      </c>
      <c r="B408" s="9" t="s">
        <v>37</v>
      </c>
      <c r="C408" s="9" t="s">
        <v>40</v>
      </c>
      <c r="D408" s="9" t="s">
        <v>37</v>
      </c>
      <c r="E408" s="9" t="s">
        <v>925</v>
      </c>
      <c r="F408" s="9" t="s">
        <v>947</v>
      </c>
    </row>
    <row r="409" spans="1:6" x14ac:dyDescent="0.25">
      <c r="A409" s="9" t="s">
        <v>948</v>
      </c>
      <c r="B409" s="9" t="s">
        <v>56</v>
      </c>
      <c r="C409" s="9" t="s">
        <v>36</v>
      </c>
      <c r="D409" s="9" t="s">
        <v>35</v>
      </c>
      <c r="E409" s="9" t="s">
        <v>142</v>
      </c>
      <c r="F409" s="9" t="s">
        <v>949</v>
      </c>
    </row>
    <row r="410" spans="1:6" x14ac:dyDescent="0.25">
      <c r="A410" s="9" t="s">
        <v>950</v>
      </c>
      <c r="B410" s="9" t="s">
        <v>39</v>
      </c>
      <c r="C410" s="9" t="s">
        <v>34</v>
      </c>
      <c r="D410" s="9" t="s">
        <v>34</v>
      </c>
      <c r="E410" s="9" t="s">
        <v>199</v>
      </c>
      <c r="F410" s="9" t="s">
        <v>951</v>
      </c>
    </row>
    <row r="411" spans="1:6" x14ac:dyDescent="0.25">
      <c r="A411" s="9" t="s">
        <v>952</v>
      </c>
      <c r="B411" s="9" t="s">
        <v>34</v>
      </c>
      <c r="C411" s="9" t="s">
        <v>34</v>
      </c>
      <c r="D411" s="9" t="s">
        <v>38</v>
      </c>
      <c r="E411" s="9" t="s">
        <v>494</v>
      </c>
      <c r="F411" s="9" t="s">
        <v>951</v>
      </c>
    </row>
    <row r="412" spans="1:6" x14ac:dyDescent="0.25">
      <c r="A412" s="9" t="s">
        <v>953</v>
      </c>
      <c r="B412" s="9" t="s">
        <v>34</v>
      </c>
      <c r="C412" s="9" t="s">
        <v>39</v>
      </c>
      <c r="D412" s="9" t="s">
        <v>36</v>
      </c>
      <c r="E412" s="9" t="s">
        <v>73</v>
      </c>
      <c r="F412" s="9" t="s">
        <v>951</v>
      </c>
    </row>
    <row r="413" spans="1:6" x14ac:dyDescent="0.25">
      <c r="A413" s="9" t="s">
        <v>954</v>
      </c>
      <c r="B413" s="9" t="s">
        <v>56</v>
      </c>
      <c r="C413" s="9" t="s">
        <v>40</v>
      </c>
      <c r="D413" s="9" t="s">
        <v>38</v>
      </c>
      <c r="E413" s="9" t="s">
        <v>155</v>
      </c>
      <c r="F413" s="9" t="s">
        <v>951</v>
      </c>
    </row>
    <row r="414" spans="1:6" x14ac:dyDescent="0.25">
      <c r="A414" s="9" t="s">
        <v>955</v>
      </c>
      <c r="B414" s="9" t="s">
        <v>36</v>
      </c>
      <c r="C414" s="9" t="s">
        <v>35</v>
      </c>
      <c r="D414" s="9" t="s">
        <v>39</v>
      </c>
      <c r="E414" s="9" t="s">
        <v>286</v>
      </c>
      <c r="F414" s="9" t="s">
        <v>956</v>
      </c>
    </row>
    <row r="415" spans="1:6" x14ac:dyDescent="0.25">
      <c r="A415" s="9" t="s">
        <v>957</v>
      </c>
      <c r="B415" s="9" t="s">
        <v>56</v>
      </c>
      <c r="C415" s="9" t="s">
        <v>40</v>
      </c>
      <c r="D415" s="9" t="s">
        <v>39</v>
      </c>
      <c r="E415" s="9" t="s">
        <v>958</v>
      </c>
      <c r="F415" s="9" t="s">
        <v>959</v>
      </c>
    </row>
    <row r="416" spans="1:6" x14ac:dyDescent="0.25">
      <c r="A416" s="9" t="s">
        <v>960</v>
      </c>
      <c r="B416" s="9" t="s">
        <v>35</v>
      </c>
      <c r="C416" s="9" t="s">
        <v>39</v>
      </c>
      <c r="D416" s="9" t="s">
        <v>35</v>
      </c>
      <c r="E416" s="9" t="s">
        <v>961</v>
      </c>
      <c r="F416" s="9" t="s">
        <v>962</v>
      </c>
    </row>
    <row r="417" spans="1:6" x14ac:dyDescent="0.25">
      <c r="A417" s="9" t="s">
        <v>963</v>
      </c>
      <c r="B417" s="9" t="s">
        <v>34</v>
      </c>
      <c r="C417" s="9" t="s">
        <v>35</v>
      </c>
      <c r="D417" s="9" t="s">
        <v>39</v>
      </c>
      <c r="E417" s="9" t="s">
        <v>964</v>
      </c>
      <c r="F417" s="9" t="s">
        <v>965</v>
      </c>
    </row>
    <row r="418" spans="1:6" x14ac:dyDescent="0.25">
      <c r="A418" s="9" t="s">
        <v>966</v>
      </c>
      <c r="B418" s="9" t="s">
        <v>34</v>
      </c>
      <c r="C418" s="9" t="s">
        <v>34</v>
      </c>
      <c r="D418" s="9" t="s">
        <v>39</v>
      </c>
      <c r="E418" s="9" t="s">
        <v>207</v>
      </c>
      <c r="F418" s="9" t="s">
        <v>967</v>
      </c>
    </row>
    <row r="419" spans="1:6" x14ac:dyDescent="0.25">
      <c r="A419" s="9" t="s">
        <v>968</v>
      </c>
      <c r="B419" s="9" t="s">
        <v>40</v>
      </c>
      <c r="C419" s="9" t="s">
        <v>36</v>
      </c>
      <c r="D419" s="9" t="s">
        <v>35</v>
      </c>
      <c r="E419" s="9" t="s">
        <v>82</v>
      </c>
      <c r="F419" s="9" t="s">
        <v>969</v>
      </c>
    </row>
    <row r="420" spans="1:6" x14ac:dyDescent="0.25">
      <c r="A420" s="9" t="s">
        <v>970</v>
      </c>
      <c r="B420" s="9" t="s">
        <v>35</v>
      </c>
      <c r="C420" s="9" t="s">
        <v>34</v>
      </c>
      <c r="D420" s="9" t="s">
        <v>37</v>
      </c>
      <c r="E420" s="9" t="s">
        <v>303</v>
      </c>
      <c r="F420" s="9" t="s">
        <v>971</v>
      </c>
    </row>
    <row r="421" spans="1:6" x14ac:dyDescent="0.25">
      <c r="A421" s="9" t="s">
        <v>972</v>
      </c>
      <c r="B421" s="9" t="s">
        <v>39</v>
      </c>
      <c r="C421" s="9" t="s">
        <v>34</v>
      </c>
      <c r="D421" s="9" t="s">
        <v>39</v>
      </c>
      <c r="E421" s="9" t="s">
        <v>145</v>
      </c>
      <c r="F421" s="9" t="s">
        <v>973</v>
      </c>
    </row>
    <row r="422" spans="1:6" x14ac:dyDescent="0.25">
      <c r="A422" s="9" t="s">
        <v>974</v>
      </c>
      <c r="B422" s="9" t="s">
        <v>35</v>
      </c>
      <c r="C422" s="9" t="s">
        <v>38</v>
      </c>
      <c r="D422" s="9" t="s">
        <v>38</v>
      </c>
      <c r="E422" s="9" t="s">
        <v>688</v>
      </c>
      <c r="F422" s="9" t="s">
        <v>975</v>
      </c>
    </row>
    <row r="423" spans="1:6" x14ac:dyDescent="0.25">
      <c r="A423" s="9" t="s">
        <v>976</v>
      </c>
      <c r="B423" s="9" t="s">
        <v>56</v>
      </c>
      <c r="C423" s="9" t="s">
        <v>40</v>
      </c>
      <c r="D423" s="9" t="s">
        <v>35</v>
      </c>
      <c r="E423" s="9" t="s">
        <v>289</v>
      </c>
      <c r="F423" s="9" t="s">
        <v>975</v>
      </c>
    </row>
    <row r="424" spans="1:6" x14ac:dyDescent="0.25">
      <c r="A424" s="9" t="s">
        <v>977</v>
      </c>
      <c r="B424" s="9" t="s">
        <v>59</v>
      </c>
      <c r="C424" s="9" t="s">
        <v>38</v>
      </c>
      <c r="D424" s="9" t="s">
        <v>38</v>
      </c>
      <c r="E424" s="9" t="s">
        <v>470</v>
      </c>
      <c r="F424" s="9" t="s">
        <v>975</v>
      </c>
    </row>
    <row r="425" spans="1:6" x14ac:dyDescent="0.25">
      <c r="A425" s="9" t="s">
        <v>978</v>
      </c>
      <c r="B425" s="9" t="s">
        <v>37</v>
      </c>
      <c r="C425" s="9" t="s">
        <v>36</v>
      </c>
      <c r="D425" s="9" t="s">
        <v>39</v>
      </c>
      <c r="E425" s="9" t="s">
        <v>979</v>
      </c>
      <c r="F425" s="9" t="s">
        <v>975</v>
      </c>
    </row>
    <row r="426" spans="1:6" x14ac:dyDescent="0.25">
      <c r="A426" s="9" t="s">
        <v>980</v>
      </c>
      <c r="B426" s="9" t="s">
        <v>34</v>
      </c>
      <c r="C426" s="9" t="s">
        <v>40</v>
      </c>
      <c r="D426" s="9" t="s">
        <v>38</v>
      </c>
      <c r="E426" s="9" t="s">
        <v>981</v>
      </c>
      <c r="F426" s="9" t="s">
        <v>982</v>
      </c>
    </row>
    <row r="427" spans="1:6" x14ac:dyDescent="0.25">
      <c r="A427" s="9" t="s">
        <v>983</v>
      </c>
      <c r="B427" s="9" t="s">
        <v>37</v>
      </c>
      <c r="C427" s="9" t="s">
        <v>36</v>
      </c>
      <c r="D427" s="9" t="s">
        <v>36</v>
      </c>
      <c r="E427" s="9" t="s">
        <v>382</v>
      </c>
      <c r="F427" s="9" t="s">
        <v>982</v>
      </c>
    </row>
    <row r="428" spans="1:6" x14ac:dyDescent="0.25">
      <c r="A428" s="9" t="s">
        <v>984</v>
      </c>
      <c r="B428" s="9" t="s">
        <v>39</v>
      </c>
      <c r="C428" s="9" t="s">
        <v>34</v>
      </c>
      <c r="D428" s="9" t="s">
        <v>38</v>
      </c>
      <c r="E428" s="9" t="s">
        <v>874</v>
      </c>
      <c r="F428" s="9" t="s">
        <v>982</v>
      </c>
    </row>
    <row r="429" spans="1:6" x14ac:dyDescent="0.25">
      <c r="A429" s="9" t="s">
        <v>985</v>
      </c>
      <c r="B429" s="9" t="s">
        <v>38</v>
      </c>
      <c r="C429" s="9" t="s">
        <v>35</v>
      </c>
      <c r="D429" s="9" t="s">
        <v>36</v>
      </c>
      <c r="E429" s="9" t="s">
        <v>986</v>
      </c>
      <c r="F429" s="9" t="s">
        <v>987</v>
      </c>
    </row>
    <row r="430" spans="1:6" x14ac:dyDescent="0.25">
      <c r="A430" s="9" t="s">
        <v>988</v>
      </c>
      <c r="B430" s="9" t="s">
        <v>56</v>
      </c>
      <c r="C430" s="9" t="s">
        <v>35</v>
      </c>
      <c r="D430" s="9" t="s">
        <v>34</v>
      </c>
      <c r="E430" s="9" t="s">
        <v>989</v>
      </c>
      <c r="F430" s="9" t="s">
        <v>990</v>
      </c>
    </row>
    <row r="431" spans="1:6" x14ac:dyDescent="0.25">
      <c r="A431" s="9" t="s">
        <v>991</v>
      </c>
      <c r="B431" s="9" t="s">
        <v>59</v>
      </c>
      <c r="C431" s="9" t="s">
        <v>37</v>
      </c>
      <c r="D431" s="9" t="s">
        <v>36</v>
      </c>
      <c r="E431" s="9" t="s">
        <v>730</v>
      </c>
      <c r="F431" s="9" t="s">
        <v>992</v>
      </c>
    </row>
    <row r="432" spans="1:6" x14ac:dyDescent="0.25">
      <c r="A432" s="9" t="s">
        <v>993</v>
      </c>
      <c r="B432" s="9" t="s">
        <v>56</v>
      </c>
      <c r="C432" s="9" t="s">
        <v>36</v>
      </c>
      <c r="D432" s="9" t="s">
        <v>36</v>
      </c>
      <c r="E432" s="9" t="s">
        <v>765</v>
      </c>
      <c r="F432" s="9" t="s">
        <v>994</v>
      </c>
    </row>
    <row r="433" spans="1:6" x14ac:dyDescent="0.25">
      <c r="A433" s="9" t="s">
        <v>995</v>
      </c>
      <c r="B433" s="9" t="s">
        <v>40</v>
      </c>
      <c r="C433" s="9" t="s">
        <v>38</v>
      </c>
      <c r="D433" s="9" t="s">
        <v>34</v>
      </c>
      <c r="E433" s="9" t="s">
        <v>79</v>
      </c>
      <c r="F433" s="9" t="s">
        <v>996</v>
      </c>
    </row>
    <row r="434" spans="1:6" x14ac:dyDescent="0.25">
      <c r="A434" s="9" t="s">
        <v>997</v>
      </c>
      <c r="B434" s="9" t="s">
        <v>59</v>
      </c>
      <c r="C434" s="9" t="s">
        <v>36</v>
      </c>
      <c r="D434" s="9" t="s">
        <v>39</v>
      </c>
      <c r="E434" s="9" t="s">
        <v>694</v>
      </c>
      <c r="F434" s="9" t="s">
        <v>998</v>
      </c>
    </row>
    <row r="435" spans="1:6" x14ac:dyDescent="0.25">
      <c r="A435" s="9" t="s">
        <v>999</v>
      </c>
      <c r="B435" s="9" t="s">
        <v>37</v>
      </c>
      <c r="C435" s="9" t="s">
        <v>35</v>
      </c>
      <c r="D435" s="9" t="s">
        <v>38</v>
      </c>
      <c r="E435" s="9" t="s">
        <v>88</v>
      </c>
      <c r="F435" s="9" t="s">
        <v>1000</v>
      </c>
    </row>
    <row r="436" spans="1:6" x14ac:dyDescent="0.25">
      <c r="A436" s="9" t="s">
        <v>1001</v>
      </c>
      <c r="B436" s="9" t="s">
        <v>40</v>
      </c>
      <c r="C436" s="9" t="s">
        <v>36</v>
      </c>
      <c r="D436" s="9" t="s">
        <v>39</v>
      </c>
      <c r="E436" s="9" t="s">
        <v>530</v>
      </c>
      <c r="F436" s="9" t="s">
        <v>1000</v>
      </c>
    </row>
    <row r="437" spans="1:6" x14ac:dyDescent="0.25">
      <c r="A437" s="9" t="s">
        <v>1002</v>
      </c>
      <c r="B437" s="9" t="s">
        <v>36</v>
      </c>
      <c r="C437" s="9" t="s">
        <v>35</v>
      </c>
      <c r="D437" s="9" t="s">
        <v>36</v>
      </c>
      <c r="E437" s="9" t="s">
        <v>84</v>
      </c>
      <c r="F437" s="9" t="s">
        <v>1000</v>
      </c>
    </row>
    <row r="438" spans="1:6" x14ac:dyDescent="0.25">
      <c r="A438" s="9" t="s">
        <v>1003</v>
      </c>
      <c r="B438" s="9" t="s">
        <v>38</v>
      </c>
      <c r="C438" s="9" t="s">
        <v>36</v>
      </c>
      <c r="D438" s="9" t="s">
        <v>38</v>
      </c>
      <c r="E438" s="9" t="s">
        <v>177</v>
      </c>
      <c r="F438" s="9" t="s">
        <v>1004</v>
      </c>
    </row>
    <row r="439" spans="1:6" x14ac:dyDescent="0.25">
      <c r="A439" s="9" t="s">
        <v>1005</v>
      </c>
      <c r="B439" s="9" t="s">
        <v>34</v>
      </c>
      <c r="C439" s="9" t="s">
        <v>35</v>
      </c>
      <c r="D439" s="9" t="s">
        <v>34</v>
      </c>
      <c r="E439" s="9" t="s">
        <v>275</v>
      </c>
      <c r="F439" s="9" t="s">
        <v>1006</v>
      </c>
    </row>
    <row r="440" spans="1:6" x14ac:dyDescent="0.25">
      <c r="A440" s="9" t="s">
        <v>1007</v>
      </c>
      <c r="B440" s="9" t="s">
        <v>59</v>
      </c>
      <c r="C440" s="9" t="s">
        <v>38</v>
      </c>
      <c r="D440" s="9" t="s">
        <v>37</v>
      </c>
      <c r="E440" s="9" t="s">
        <v>77</v>
      </c>
      <c r="F440" s="9" t="s">
        <v>1008</v>
      </c>
    </row>
    <row r="441" spans="1:6" x14ac:dyDescent="0.25">
      <c r="A441" s="9" t="s">
        <v>1009</v>
      </c>
      <c r="B441" s="9" t="s">
        <v>38</v>
      </c>
      <c r="C441" s="9" t="s">
        <v>36</v>
      </c>
      <c r="D441" s="9" t="s">
        <v>35</v>
      </c>
      <c r="E441" s="9" t="s">
        <v>589</v>
      </c>
      <c r="F441" s="9" t="s">
        <v>1008</v>
      </c>
    </row>
    <row r="442" spans="1:6" x14ac:dyDescent="0.25">
      <c r="A442" s="9" t="s">
        <v>1010</v>
      </c>
      <c r="B442" s="9" t="s">
        <v>38</v>
      </c>
      <c r="C442" s="9" t="s">
        <v>39</v>
      </c>
      <c r="D442" s="9" t="s">
        <v>35</v>
      </c>
      <c r="E442" s="9" t="s">
        <v>147</v>
      </c>
      <c r="F442" s="9" t="s">
        <v>1011</v>
      </c>
    </row>
    <row r="443" spans="1:6" x14ac:dyDescent="0.25">
      <c r="A443" s="9" t="s">
        <v>1012</v>
      </c>
      <c r="B443" s="9" t="s">
        <v>56</v>
      </c>
      <c r="C443" s="9" t="s">
        <v>38</v>
      </c>
      <c r="D443" s="9" t="s">
        <v>35</v>
      </c>
      <c r="E443" s="9" t="s">
        <v>351</v>
      </c>
      <c r="F443" s="9" t="s">
        <v>1011</v>
      </c>
    </row>
    <row r="444" spans="1:6" x14ac:dyDescent="0.25">
      <c r="A444" s="9" t="s">
        <v>1013</v>
      </c>
      <c r="B444" s="9" t="s">
        <v>39</v>
      </c>
      <c r="C444" s="9" t="s">
        <v>34</v>
      </c>
      <c r="D444" s="9" t="s">
        <v>37</v>
      </c>
      <c r="E444" s="9" t="s">
        <v>413</v>
      </c>
      <c r="F444" s="9" t="s">
        <v>1014</v>
      </c>
    </row>
    <row r="445" spans="1:6" x14ac:dyDescent="0.25">
      <c r="A445" s="9" t="s">
        <v>1015</v>
      </c>
      <c r="B445" s="9" t="s">
        <v>34</v>
      </c>
      <c r="C445" s="9" t="s">
        <v>36</v>
      </c>
      <c r="D445" s="9" t="s">
        <v>37</v>
      </c>
      <c r="E445" s="9" t="s">
        <v>443</v>
      </c>
      <c r="F445" s="9" t="s">
        <v>1016</v>
      </c>
    </row>
    <row r="446" spans="1:6" x14ac:dyDescent="0.25">
      <c r="A446" s="9" t="s">
        <v>1017</v>
      </c>
      <c r="B446" s="9" t="s">
        <v>35</v>
      </c>
      <c r="C446" s="9" t="s">
        <v>39</v>
      </c>
      <c r="D446" s="9" t="s">
        <v>35</v>
      </c>
      <c r="E446" s="9" t="s">
        <v>122</v>
      </c>
      <c r="F446" s="9" t="s">
        <v>1018</v>
      </c>
    </row>
    <row r="447" spans="1:6" x14ac:dyDescent="0.25">
      <c r="A447" s="9" t="s">
        <v>1019</v>
      </c>
      <c r="B447" s="9" t="s">
        <v>59</v>
      </c>
      <c r="C447" s="9" t="s">
        <v>36</v>
      </c>
      <c r="D447" s="9" t="s">
        <v>35</v>
      </c>
      <c r="E447" s="9" t="s">
        <v>307</v>
      </c>
      <c r="F447" s="9" t="s">
        <v>1020</v>
      </c>
    </row>
    <row r="448" spans="1:6" x14ac:dyDescent="0.25">
      <c r="A448" s="9" t="s">
        <v>1021</v>
      </c>
      <c r="B448" s="9" t="s">
        <v>34</v>
      </c>
      <c r="C448" s="9" t="s">
        <v>39</v>
      </c>
      <c r="D448" s="9" t="s">
        <v>37</v>
      </c>
      <c r="E448" s="9" t="s">
        <v>1022</v>
      </c>
      <c r="F448" s="9" t="s">
        <v>1023</v>
      </c>
    </row>
    <row r="449" spans="1:6" x14ac:dyDescent="0.25">
      <c r="A449" s="9" t="s">
        <v>1024</v>
      </c>
      <c r="B449" s="9" t="s">
        <v>40</v>
      </c>
      <c r="C449" s="9" t="s">
        <v>38</v>
      </c>
      <c r="D449" s="9" t="s">
        <v>37</v>
      </c>
      <c r="E449" s="9" t="s">
        <v>397</v>
      </c>
      <c r="F449" s="9" t="s">
        <v>1025</v>
      </c>
    </row>
    <row r="450" spans="1:6" x14ac:dyDescent="0.25">
      <c r="A450" s="9" t="s">
        <v>1026</v>
      </c>
      <c r="B450" s="9" t="s">
        <v>40</v>
      </c>
      <c r="C450" s="9" t="s">
        <v>36</v>
      </c>
      <c r="D450" s="9" t="s">
        <v>37</v>
      </c>
      <c r="E450" s="9" t="s">
        <v>1027</v>
      </c>
      <c r="F450" s="9" t="s">
        <v>1028</v>
      </c>
    </row>
    <row r="451" spans="1:6" x14ac:dyDescent="0.25">
      <c r="A451" s="9" t="s">
        <v>1029</v>
      </c>
      <c r="B451" s="9" t="s">
        <v>35</v>
      </c>
      <c r="C451" s="9" t="s">
        <v>36</v>
      </c>
      <c r="D451" s="9" t="s">
        <v>34</v>
      </c>
      <c r="E451" s="9" t="s">
        <v>122</v>
      </c>
      <c r="F451" s="9" t="s">
        <v>1030</v>
      </c>
    </row>
    <row r="452" spans="1:6" x14ac:dyDescent="0.25">
      <c r="A452" s="9" t="s">
        <v>1031</v>
      </c>
      <c r="B452" s="9" t="s">
        <v>37</v>
      </c>
      <c r="C452" s="9" t="s">
        <v>37</v>
      </c>
      <c r="D452" s="9" t="s">
        <v>39</v>
      </c>
      <c r="E452" s="9" t="s">
        <v>1032</v>
      </c>
      <c r="F452" s="9" t="s">
        <v>1030</v>
      </c>
    </row>
    <row r="453" spans="1:6" x14ac:dyDescent="0.25">
      <c r="A453" s="9" t="s">
        <v>1033</v>
      </c>
      <c r="B453" s="9" t="s">
        <v>39</v>
      </c>
      <c r="C453" s="9" t="s">
        <v>39</v>
      </c>
      <c r="D453" s="9" t="s">
        <v>34</v>
      </c>
      <c r="E453" s="9" t="s">
        <v>1034</v>
      </c>
      <c r="F453" s="9" t="s">
        <v>1035</v>
      </c>
    </row>
    <row r="454" spans="1:6" x14ac:dyDescent="0.25">
      <c r="A454" s="9" t="s">
        <v>1036</v>
      </c>
      <c r="B454" s="9" t="s">
        <v>56</v>
      </c>
      <c r="C454" s="9" t="s">
        <v>36</v>
      </c>
      <c r="D454" s="9" t="s">
        <v>37</v>
      </c>
      <c r="E454" s="9" t="s">
        <v>95</v>
      </c>
      <c r="F454" s="9" t="s">
        <v>1037</v>
      </c>
    </row>
    <row r="455" spans="1:6" x14ac:dyDescent="0.25">
      <c r="A455" s="9" t="s">
        <v>1038</v>
      </c>
      <c r="B455" s="9" t="s">
        <v>36</v>
      </c>
      <c r="C455" s="9" t="s">
        <v>35</v>
      </c>
      <c r="D455" s="9" t="s">
        <v>37</v>
      </c>
      <c r="E455" s="9" t="s">
        <v>789</v>
      </c>
      <c r="F455" s="9" t="s">
        <v>1037</v>
      </c>
    </row>
    <row r="456" spans="1:6" x14ac:dyDescent="0.25">
      <c r="A456" s="9" t="s">
        <v>1039</v>
      </c>
      <c r="B456" s="9" t="s">
        <v>40</v>
      </c>
      <c r="C456" s="9" t="s">
        <v>38</v>
      </c>
      <c r="D456" s="9" t="s">
        <v>39</v>
      </c>
      <c r="E456" s="9" t="s">
        <v>603</v>
      </c>
      <c r="F456" s="9" t="s">
        <v>1040</v>
      </c>
    </row>
    <row r="457" spans="1:6" x14ac:dyDescent="0.25">
      <c r="A457" s="9" t="s">
        <v>1041</v>
      </c>
      <c r="B457" s="9" t="s">
        <v>59</v>
      </c>
      <c r="C457" s="9" t="s">
        <v>39</v>
      </c>
      <c r="D457" s="9" t="s">
        <v>34</v>
      </c>
      <c r="E457" s="9" t="s">
        <v>328</v>
      </c>
      <c r="F457" s="9" t="s">
        <v>1042</v>
      </c>
    </row>
    <row r="458" spans="1:6" x14ac:dyDescent="0.25">
      <c r="A458" s="9" t="s">
        <v>1043</v>
      </c>
      <c r="B458" s="9" t="s">
        <v>34</v>
      </c>
      <c r="C458" s="9" t="s">
        <v>35</v>
      </c>
      <c r="D458" s="9" t="s">
        <v>35</v>
      </c>
      <c r="E458" s="9" t="s">
        <v>434</v>
      </c>
      <c r="F458" s="9" t="s">
        <v>1044</v>
      </c>
    </row>
    <row r="459" spans="1:6" x14ac:dyDescent="0.25">
      <c r="A459" s="9" t="s">
        <v>1045</v>
      </c>
      <c r="B459" s="9" t="s">
        <v>36</v>
      </c>
      <c r="C459" s="9" t="s">
        <v>36</v>
      </c>
      <c r="D459" s="9" t="s">
        <v>38</v>
      </c>
      <c r="E459" s="9" t="s">
        <v>694</v>
      </c>
      <c r="F459" s="9" t="s">
        <v>1046</v>
      </c>
    </row>
    <row r="460" spans="1:6" x14ac:dyDescent="0.25">
      <c r="A460" s="9" t="s">
        <v>1047</v>
      </c>
      <c r="B460" s="9" t="s">
        <v>56</v>
      </c>
      <c r="C460" s="9" t="s">
        <v>35</v>
      </c>
      <c r="D460" s="9" t="s">
        <v>35</v>
      </c>
      <c r="E460" s="9" t="s">
        <v>1048</v>
      </c>
      <c r="F460" s="9" t="s">
        <v>1049</v>
      </c>
    </row>
    <row r="461" spans="1:6" x14ac:dyDescent="0.25">
      <c r="A461" s="9" t="s">
        <v>1050</v>
      </c>
      <c r="B461" s="9" t="s">
        <v>37</v>
      </c>
      <c r="C461" s="9" t="s">
        <v>40</v>
      </c>
      <c r="D461" s="9" t="s">
        <v>39</v>
      </c>
      <c r="E461" s="9" t="s">
        <v>105</v>
      </c>
      <c r="F461" s="9" t="s">
        <v>1051</v>
      </c>
    </row>
    <row r="462" spans="1:6" x14ac:dyDescent="0.25">
      <c r="A462" s="9" t="s">
        <v>1052</v>
      </c>
      <c r="B462" s="9" t="s">
        <v>37</v>
      </c>
      <c r="C462" s="9" t="s">
        <v>35</v>
      </c>
      <c r="D462" s="9" t="s">
        <v>37</v>
      </c>
      <c r="E462" s="9" t="s">
        <v>1053</v>
      </c>
      <c r="F462" s="9" t="s">
        <v>1051</v>
      </c>
    </row>
    <row r="463" spans="1:6" x14ac:dyDescent="0.25">
      <c r="A463" s="9" t="s">
        <v>1054</v>
      </c>
      <c r="B463" s="9" t="s">
        <v>56</v>
      </c>
      <c r="C463" s="9" t="s">
        <v>39</v>
      </c>
      <c r="D463" s="9" t="s">
        <v>38</v>
      </c>
      <c r="E463" s="9" t="s">
        <v>1055</v>
      </c>
      <c r="F463" s="9" t="s">
        <v>1056</v>
      </c>
    </row>
    <row r="464" spans="1:6" x14ac:dyDescent="0.25">
      <c r="A464" s="9" t="s">
        <v>1057</v>
      </c>
      <c r="B464" s="9" t="s">
        <v>35</v>
      </c>
      <c r="C464" s="9" t="s">
        <v>36</v>
      </c>
      <c r="D464" s="9" t="s">
        <v>39</v>
      </c>
      <c r="E464" s="9" t="s">
        <v>1058</v>
      </c>
      <c r="F464" s="9" t="s">
        <v>1059</v>
      </c>
    </row>
    <row r="465" spans="1:6" x14ac:dyDescent="0.25">
      <c r="A465" s="9" t="s">
        <v>1060</v>
      </c>
      <c r="B465" s="9" t="s">
        <v>35</v>
      </c>
      <c r="C465" s="9" t="s">
        <v>35</v>
      </c>
      <c r="D465" s="9" t="s">
        <v>34</v>
      </c>
      <c r="E465" s="9" t="s">
        <v>675</v>
      </c>
      <c r="F465" s="9" t="s">
        <v>1061</v>
      </c>
    </row>
    <row r="466" spans="1:6" x14ac:dyDescent="0.25">
      <c r="A466" s="9" t="s">
        <v>1062</v>
      </c>
      <c r="B466" s="9" t="s">
        <v>36</v>
      </c>
      <c r="C466" s="9" t="s">
        <v>35</v>
      </c>
      <c r="D466" s="9" t="s">
        <v>39</v>
      </c>
      <c r="E466" s="9" t="s">
        <v>400</v>
      </c>
      <c r="F466" s="9" t="s">
        <v>1061</v>
      </c>
    </row>
    <row r="467" spans="1:6" x14ac:dyDescent="0.25">
      <c r="A467" s="9" t="s">
        <v>1063</v>
      </c>
      <c r="B467" s="9" t="s">
        <v>35</v>
      </c>
      <c r="C467" s="9" t="s">
        <v>40</v>
      </c>
      <c r="D467" s="9" t="s">
        <v>35</v>
      </c>
      <c r="E467" s="9" t="s">
        <v>378</v>
      </c>
      <c r="F467" s="9" t="s">
        <v>1061</v>
      </c>
    </row>
    <row r="468" spans="1:6" x14ac:dyDescent="0.25">
      <c r="A468" s="9" t="s">
        <v>1064</v>
      </c>
      <c r="B468" s="9" t="s">
        <v>59</v>
      </c>
      <c r="C468" s="9" t="s">
        <v>38</v>
      </c>
      <c r="D468" s="9" t="s">
        <v>35</v>
      </c>
      <c r="E468" s="9" t="s">
        <v>363</v>
      </c>
      <c r="F468" s="9" t="s">
        <v>1065</v>
      </c>
    </row>
    <row r="469" spans="1:6" x14ac:dyDescent="0.25">
      <c r="A469" s="9" t="s">
        <v>1066</v>
      </c>
      <c r="B469" s="9" t="s">
        <v>39</v>
      </c>
      <c r="C469" s="9" t="s">
        <v>38</v>
      </c>
      <c r="D469" s="9" t="s">
        <v>34</v>
      </c>
      <c r="E469" s="9" t="s">
        <v>815</v>
      </c>
      <c r="F469" s="9" t="s">
        <v>1067</v>
      </c>
    </row>
    <row r="470" spans="1:6" x14ac:dyDescent="0.25">
      <c r="A470" s="9" t="s">
        <v>1068</v>
      </c>
      <c r="B470" s="9" t="s">
        <v>39</v>
      </c>
      <c r="C470" s="9" t="s">
        <v>39</v>
      </c>
      <c r="D470" s="9" t="s">
        <v>38</v>
      </c>
      <c r="E470" s="9" t="s">
        <v>105</v>
      </c>
      <c r="F470" s="9" t="s">
        <v>1069</v>
      </c>
    </row>
    <row r="471" spans="1:6" x14ac:dyDescent="0.25">
      <c r="A471" s="9" t="s">
        <v>1070</v>
      </c>
      <c r="B471" s="9" t="s">
        <v>59</v>
      </c>
      <c r="C471" s="9" t="s">
        <v>37</v>
      </c>
      <c r="D471" s="9" t="s">
        <v>37</v>
      </c>
      <c r="E471" s="9" t="s">
        <v>340</v>
      </c>
      <c r="F471" s="9" t="s">
        <v>1071</v>
      </c>
    </row>
    <row r="472" spans="1:6" x14ac:dyDescent="0.25">
      <c r="A472" s="9" t="s">
        <v>1072</v>
      </c>
      <c r="B472" s="9" t="s">
        <v>37</v>
      </c>
      <c r="C472" s="9" t="s">
        <v>40</v>
      </c>
      <c r="D472" s="9" t="s">
        <v>34</v>
      </c>
      <c r="E472" s="9" t="s">
        <v>1073</v>
      </c>
      <c r="F472" s="9" t="s">
        <v>1071</v>
      </c>
    </row>
    <row r="473" spans="1:6" x14ac:dyDescent="0.25">
      <c r="A473" s="9" t="s">
        <v>1074</v>
      </c>
      <c r="B473" s="9" t="s">
        <v>35</v>
      </c>
      <c r="C473" s="9" t="s">
        <v>38</v>
      </c>
      <c r="D473" s="9" t="s">
        <v>37</v>
      </c>
      <c r="E473" s="9" t="s">
        <v>81</v>
      </c>
      <c r="F473" s="9" t="s">
        <v>1075</v>
      </c>
    </row>
    <row r="474" spans="1:6" x14ac:dyDescent="0.25">
      <c r="A474" s="9" t="s">
        <v>1076</v>
      </c>
      <c r="B474" s="9" t="s">
        <v>36</v>
      </c>
      <c r="C474" s="9" t="s">
        <v>37</v>
      </c>
      <c r="D474" s="9" t="s">
        <v>36</v>
      </c>
      <c r="E474" s="9" t="s">
        <v>1077</v>
      </c>
      <c r="F474" s="9" t="s">
        <v>1075</v>
      </c>
    </row>
    <row r="475" spans="1:6" x14ac:dyDescent="0.25">
      <c r="A475" s="9" t="s">
        <v>1078</v>
      </c>
      <c r="B475" s="9" t="s">
        <v>39</v>
      </c>
      <c r="C475" s="9" t="s">
        <v>35</v>
      </c>
      <c r="D475" s="9" t="s">
        <v>35</v>
      </c>
      <c r="E475" s="9" t="s">
        <v>806</v>
      </c>
      <c r="F475" s="9" t="s">
        <v>1079</v>
      </c>
    </row>
    <row r="476" spans="1:6" x14ac:dyDescent="0.25">
      <c r="A476" s="9" t="s">
        <v>1080</v>
      </c>
      <c r="B476" s="9" t="s">
        <v>34</v>
      </c>
      <c r="C476" s="9" t="s">
        <v>36</v>
      </c>
      <c r="D476" s="9" t="s">
        <v>36</v>
      </c>
      <c r="E476" s="9" t="s">
        <v>86</v>
      </c>
      <c r="F476" s="9" t="s">
        <v>1079</v>
      </c>
    </row>
    <row r="477" spans="1:6" x14ac:dyDescent="0.25">
      <c r="A477" s="9" t="s">
        <v>1081</v>
      </c>
      <c r="B477" s="9" t="s">
        <v>38</v>
      </c>
      <c r="C477" s="9" t="s">
        <v>37</v>
      </c>
      <c r="D477" s="9" t="s">
        <v>38</v>
      </c>
      <c r="E477" s="9" t="s">
        <v>722</v>
      </c>
      <c r="F477" s="9" t="s">
        <v>1079</v>
      </c>
    </row>
    <row r="478" spans="1:6" x14ac:dyDescent="0.25">
      <c r="A478" s="9" t="s">
        <v>1082</v>
      </c>
      <c r="B478" s="9" t="s">
        <v>37</v>
      </c>
      <c r="C478" s="9" t="s">
        <v>37</v>
      </c>
      <c r="D478" s="9" t="s">
        <v>37</v>
      </c>
      <c r="E478" s="9" t="s">
        <v>1083</v>
      </c>
      <c r="F478" s="9" t="s">
        <v>1084</v>
      </c>
    </row>
    <row r="479" spans="1:6" x14ac:dyDescent="0.25">
      <c r="A479" s="9" t="s">
        <v>1085</v>
      </c>
      <c r="B479" s="9" t="s">
        <v>40</v>
      </c>
      <c r="C479" s="9" t="s">
        <v>37</v>
      </c>
      <c r="D479" s="9" t="s">
        <v>35</v>
      </c>
      <c r="E479" s="9" t="s">
        <v>131</v>
      </c>
      <c r="F479" s="9" t="s">
        <v>1086</v>
      </c>
    </row>
    <row r="480" spans="1:6" x14ac:dyDescent="0.25">
      <c r="A480" s="9" t="s">
        <v>1087</v>
      </c>
      <c r="B480" s="9" t="s">
        <v>36</v>
      </c>
      <c r="C480" s="9" t="s">
        <v>37</v>
      </c>
      <c r="D480" s="9" t="s">
        <v>36</v>
      </c>
      <c r="E480" s="9" t="s">
        <v>835</v>
      </c>
      <c r="F480" s="9" t="s">
        <v>1088</v>
      </c>
    </row>
    <row r="481" spans="1:6" x14ac:dyDescent="0.25">
      <c r="A481" s="9" t="s">
        <v>1089</v>
      </c>
      <c r="B481" s="9" t="s">
        <v>59</v>
      </c>
      <c r="C481" s="9" t="s">
        <v>36</v>
      </c>
      <c r="D481" s="9" t="s">
        <v>38</v>
      </c>
      <c r="E481" s="9" t="s">
        <v>1090</v>
      </c>
      <c r="F481" s="9" t="s">
        <v>1091</v>
      </c>
    </row>
    <row r="482" spans="1:6" x14ac:dyDescent="0.25">
      <c r="A482" s="9" t="s">
        <v>1092</v>
      </c>
      <c r="B482" s="9" t="s">
        <v>56</v>
      </c>
      <c r="C482" s="9" t="s">
        <v>35</v>
      </c>
      <c r="D482" s="9" t="s">
        <v>35</v>
      </c>
      <c r="E482" s="9" t="s">
        <v>874</v>
      </c>
      <c r="F482" s="9" t="s">
        <v>1091</v>
      </c>
    </row>
    <row r="483" spans="1:6" x14ac:dyDescent="0.25">
      <c r="A483" s="9" t="s">
        <v>1093</v>
      </c>
      <c r="B483" s="9" t="s">
        <v>40</v>
      </c>
      <c r="C483" s="9" t="s">
        <v>39</v>
      </c>
      <c r="D483" s="9" t="s">
        <v>36</v>
      </c>
      <c r="E483" s="9" t="s">
        <v>456</v>
      </c>
      <c r="F483" s="9" t="s">
        <v>1094</v>
      </c>
    </row>
    <row r="484" spans="1:6" x14ac:dyDescent="0.25">
      <c r="A484" s="9" t="s">
        <v>1095</v>
      </c>
      <c r="B484" s="9" t="s">
        <v>36</v>
      </c>
      <c r="C484" s="9" t="s">
        <v>40</v>
      </c>
      <c r="D484" s="9" t="s">
        <v>39</v>
      </c>
      <c r="E484" s="9" t="s">
        <v>697</v>
      </c>
      <c r="F484" s="9" t="s">
        <v>1094</v>
      </c>
    </row>
    <row r="485" spans="1:6" x14ac:dyDescent="0.25">
      <c r="A485" s="9" t="s">
        <v>1096</v>
      </c>
      <c r="B485" s="9" t="s">
        <v>34</v>
      </c>
      <c r="C485" s="9" t="s">
        <v>34</v>
      </c>
      <c r="D485" s="9" t="s">
        <v>37</v>
      </c>
      <c r="E485" s="9" t="s">
        <v>1058</v>
      </c>
      <c r="F485" s="9" t="s">
        <v>1097</v>
      </c>
    </row>
    <row r="486" spans="1:6" x14ac:dyDescent="0.25">
      <c r="A486" s="9" t="s">
        <v>1098</v>
      </c>
      <c r="B486" s="9" t="s">
        <v>59</v>
      </c>
      <c r="C486" s="9" t="s">
        <v>35</v>
      </c>
      <c r="D486" s="9" t="s">
        <v>39</v>
      </c>
      <c r="E486" s="9" t="s">
        <v>418</v>
      </c>
      <c r="F486" s="9" t="s">
        <v>1099</v>
      </c>
    </row>
    <row r="487" spans="1:6" x14ac:dyDescent="0.25">
      <c r="A487" s="9" t="s">
        <v>1100</v>
      </c>
      <c r="B487" s="9" t="s">
        <v>34</v>
      </c>
      <c r="C487" s="9" t="s">
        <v>34</v>
      </c>
      <c r="D487" s="9" t="s">
        <v>35</v>
      </c>
      <c r="E487" s="9" t="s">
        <v>507</v>
      </c>
      <c r="F487" s="9" t="s">
        <v>1101</v>
      </c>
    </row>
    <row r="488" spans="1:6" x14ac:dyDescent="0.25">
      <c r="A488" s="9" t="s">
        <v>1102</v>
      </c>
      <c r="B488" s="9" t="s">
        <v>40</v>
      </c>
      <c r="C488" s="9" t="s">
        <v>35</v>
      </c>
      <c r="D488" s="9" t="s">
        <v>37</v>
      </c>
      <c r="E488" s="9" t="s">
        <v>725</v>
      </c>
      <c r="F488" s="9" t="s">
        <v>1103</v>
      </c>
    </row>
    <row r="489" spans="1:6" x14ac:dyDescent="0.25">
      <c r="A489" s="9" t="s">
        <v>1104</v>
      </c>
      <c r="B489" s="9" t="s">
        <v>56</v>
      </c>
      <c r="C489" s="9" t="s">
        <v>34</v>
      </c>
      <c r="D489" s="9" t="s">
        <v>34</v>
      </c>
      <c r="E489" s="9" t="s">
        <v>244</v>
      </c>
      <c r="F489" s="9" t="s">
        <v>1105</v>
      </c>
    </row>
    <row r="490" spans="1:6" x14ac:dyDescent="0.25">
      <c r="A490" s="9" t="s">
        <v>1106</v>
      </c>
      <c r="B490" s="9" t="s">
        <v>40</v>
      </c>
      <c r="C490" s="9" t="s">
        <v>40</v>
      </c>
      <c r="D490" s="9" t="s">
        <v>34</v>
      </c>
      <c r="E490" s="9" t="s">
        <v>1107</v>
      </c>
      <c r="F490" s="9" t="s">
        <v>1108</v>
      </c>
    </row>
    <row r="491" spans="1:6" x14ac:dyDescent="0.25">
      <c r="A491" s="9" t="s">
        <v>1109</v>
      </c>
      <c r="B491" s="9" t="s">
        <v>36</v>
      </c>
      <c r="C491" s="9" t="s">
        <v>40</v>
      </c>
      <c r="D491" s="9" t="s">
        <v>37</v>
      </c>
      <c r="E491" s="9" t="s">
        <v>922</v>
      </c>
      <c r="F491" s="9" t="s">
        <v>1110</v>
      </c>
    </row>
    <row r="492" spans="1:6" x14ac:dyDescent="0.25">
      <c r="A492" s="9" t="s">
        <v>1111</v>
      </c>
      <c r="B492" s="9" t="s">
        <v>39</v>
      </c>
      <c r="C492" s="9" t="s">
        <v>40</v>
      </c>
      <c r="D492" s="9" t="s">
        <v>37</v>
      </c>
      <c r="E492" s="9" t="s">
        <v>244</v>
      </c>
      <c r="F492" s="9" t="s">
        <v>1112</v>
      </c>
    </row>
    <row r="493" spans="1:6" x14ac:dyDescent="0.25">
      <c r="A493" s="9" t="s">
        <v>1113</v>
      </c>
      <c r="B493" s="9" t="s">
        <v>36</v>
      </c>
      <c r="C493" s="9" t="s">
        <v>35</v>
      </c>
      <c r="D493" s="9" t="s">
        <v>34</v>
      </c>
      <c r="E493" s="9" t="s">
        <v>202</v>
      </c>
      <c r="F493" s="9" t="s">
        <v>1114</v>
      </c>
    </row>
    <row r="494" spans="1:6" x14ac:dyDescent="0.25">
      <c r="A494" s="9" t="s">
        <v>1115</v>
      </c>
      <c r="B494" s="9" t="s">
        <v>37</v>
      </c>
      <c r="C494" s="9" t="s">
        <v>38</v>
      </c>
      <c r="D494" s="9" t="s">
        <v>37</v>
      </c>
      <c r="E494" s="9" t="s">
        <v>409</v>
      </c>
      <c r="F494" s="9" t="s">
        <v>1116</v>
      </c>
    </row>
    <row r="495" spans="1:6" x14ac:dyDescent="0.25">
      <c r="A495" s="9" t="s">
        <v>1117</v>
      </c>
      <c r="B495" s="9" t="s">
        <v>35</v>
      </c>
      <c r="C495" s="9" t="s">
        <v>40</v>
      </c>
      <c r="D495" s="9" t="s">
        <v>36</v>
      </c>
      <c r="E495" s="9" t="s">
        <v>264</v>
      </c>
      <c r="F495" s="9" t="s">
        <v>1116</v>
      </c>
    </row>
    <row r="496" spans="1:6" x14ac:dyDescent="0.25">
      <c r="A496" s="9" t="s">
        <v>1118</v>
      </c>
      <c r="B496" s="9" t="s">
        <v>38</v>
      </c>
      <c r="C496" s="9" t="s">
        <v>37</v>
      </c>
      <c r="D496" s="9" t="s">
        <v>37</v>
      </c>
      <c r="E496" s="9" t="s">
        <v>1055</v>
      </c>
      <c r="F496" s="9" t="s">
        <v>1119</v>
      </c>
    </row>
    <row r="497" spans="1:6" x14ac:dyDescent="0.25">
      <c r="A497" s="9" t="s">
        <v>1120</v>
      </c>
      <c r="B497" s="9" t="s">
        <v>38</v>
      </c>
      <c r="C497" s="9" t="s">
        <v>34</v>
      </c>
      <c r="D497" s="9" t="s">
        <v>34</v>
      </c>
      <c r="E497" s="9" t="s">
        <v>865</v>
      </c>
      <c r="F497" s="9" t="s">
        <v>1121</v>
      </c>
    </row>
    <row r="498" spans="1:6" x14ac:dyDescent="0.25">
      <c r="A498" s="9" t="s">
        <v>1122</v>
      </c>
      <c r="B498" s="9" t="s">
        <v>39</v>
      </c>
      <c r="C498" s="9" t="s">
        <v>34</v>
      </c>
      <c r="D498" s="9" t="s">
        <v>34</v>
      </c>
      <c r="E498" s="9" t="s">
        <v>103</v>
      </c>
      <c r="F498" s="9" t="s">
        <v>1123</v>
      </c>
    </row>
    <row r="499" spans="1:6" x14ac:dyDescent="0.25">
      <c r="A499" s="9" t="s">
        <v>1124</v>
      </c>
      <c r="B499" s="9" t="s">
        <v>36</v>
      </c>
      <c r="C499" s="9" t="s">
        <v>39</v>
      </c>
      <c r="D499" s="9" t="s">
        <v>38</v>
      </c>
      <c r="E499" s="9" t="s">
        <v>1125</v>
      </c>
      <c r="F499" s="9" t="s">
        <v>1126</v>
      </c>
    </row>
    <row r="500" spans="1:6" x14ac:dyDescent="0.25">
      <c r="A500" s="9" t="s">
        <v>1127</v>
      </c>
      <c r="B500" s="9" t="s">
        <v>36</v>
      </c>
      <c r="C500" s="9" t="s">
        <v>37</v>
      </c>
      <c r="D500" s="9" t="s">
        <v>38</v>
      </c>
      <c r="E500" s="9" t="s">
        <v>1128</v>
      </c>
      <c r="F500" s="9" t="s">
        <v>1129</v>
      </c>
    </row>
    <row r="501" spans="1:6" x14ac:dyDescent="0.25">
      <c r="A501" s="9" t="s">
        <v>1130</v>
      </c>
      <c r="B501" s="9" t="s">
        <v>38</v>
      </c>
      <c r="C501" s="9" t="s">
        <v>35</v>
      </c>
      <c r="D501" s="9" t="s">
        <v>39</v>
      </c>
      <c r="E501" s="9" t="s">
        <v>103</v>
      </c>
      <c r="F501" s="9" t="s">
        <v>1129</v>
      </c>
    </row>
    <row r="502" spans="1:6" x14ac:dyDescent="0.25">
      <c r="A502" s="9" t="s">
        <v>1131</v>
      </c>
      <c r="B502" s="9" t="s">
        <v>59</v>
      </c>
      <c r="C502" s="9" t="s">
        <v>40</v>
      </c>
      <c r="D502" s="9" t="s">
        <v>39</v>
      </c>
      <c r="E502" s="9" t="s">
        <v>1073</v>
      </c>
      <c r="F502" s="9" t="s">
        <v>1132</v>
      </c>
    </row>
    <row r="503" spans="1:6" x14ac:dyDescent="0.25">
      <c r="A503" s="9" t="s">
        <v>1133</v>
      </c>
      <c r="B503" s="9" t="s">
        <v>37</v>
      </c>
      <c r="C503" s="9" t="s">
        <v>34</v>
      </c>
      <c r="D503" s="9" t="s">
        <v>34</v>
      </c>
      <c r="E503" s="9" t="s">
        <v>390</v>
      </c>
      <c r="F503" s="9" t="s">
        <v>1132</v>
      </c>
    </row>
    <row r="504" spans="1:6" x14ac:dyDescent="0.25">
      <c r="A504" s="9" t="s">
        <v>1134</v>
      </c>
      <c r="B504" s="9" t="s">
        <v>38</v>
      </c>
      <c r="C504" s="9" t="s">
        <v>37</v>
      </c>
      <c r="D504" s="9" t="s">
        <v>38</v>
      </c>
      <c r="E504" s="9" t="s">
        <v>228</v>
      </c>
      <c r="F504" s="9" t="s">
        <v>1132</v>
      </c>
    </row>
    <row r="505" spans="1:6" x14ac:dyDescent="0.25">
      <c r="A505" s="9" t="s">
        <v>1135</v>
      </c>
      <c r="B505" s="9" t="s">
        <v>39</v>
      </c>
      <c r="C505" s="9" t="s">
        <v>39</v>
      </c>
      <c r="D505" s="9" t="s">
        <v>39</v>
      </c>
      <c r="E505" s="9" t="s">
        <v>874</v>
      </c>
      <c r="F505" s="9" t="s">
        <v>1132</v>
      </c>
    </row>
    <row r="506" spans="1:6" x14ac:dyDescent="0.25">
      <c r="A506" s="9" t="s">
        <v>1136</v>
      </c>
      <c r="B506" s="9" t="s">
        <v>38</v>
      </c>
      <c r="C506" s="9" t="s">
        <v>39</v>
      </c>
      <c r="D506" s="9" t="s">
        <v>37</v>
      </c>
      <c r="E506" s="9" t="s">
        <v>177</v>
      </c>
      <c r="F506" s="9" t="s">
        <v>1137</v>
      </c>
    </row>
    <row r="507" spans="1:6" x14ac:dyDescent="0.25">
      <c r="A507" s="9" t="s">
        <v>1138</v>
      </c>
      <c r="B507" s="9" t="s">
        <v>38</v>
      </c>
      <c r="C507" s="9" t="s">
        <v>40</v>
      </c>
      <c r="D507" s="9" t="s">
        <v>39</v>
      </c>
      <c r="E507" s="9" t="s">
        <v>177</v>
      </c>
      <c r="F507" s="9" t="s">
        <v>1139</v>
      </c>
    </row>
    <row r="508" spans="1:6" x14ac:dyDescent="0.25">
      <c r="A508" s="9" t="s">
        <v>1140</v>
      </c>
      <c r="B508" s="9" t="s">
        <v>39</v>
      </c>
      <c r="C508" s="9" t="s">
        <v>37</v>
      </c>
      <c r="D508" s="9" t="s">
        <v>35</v>
      </c>
      <c r="E508" s="9" t="s">
        <v>79</v>
      </c>
      <c r="F508" s="9" t="s">
        <v>1141</v>
      </c>
    </row>
    <row r="509" spans="1:6" x14ac:dyDescent="0.25">
      <c r="A509" s="9" t="s">
        <v>1142</v>
      </c>
      <c r="B509" s="9" t="s">
        <v>56</v>
      </c>
      <c r="C509" s="9" t="s">
        <v>38</v>
      </c>
      <c r="D509" s="9" t="s">
        <v>37</v>
      </c>
      <c r="E509" s="9" t="s">
        <v>580</v>
      </c>
      <c r="F509" s="9" t="s">
        <v>1143</v>
      </c>
    </row>
    <row r="510" spans="1:6" x14ac:dyDescent="0.25">
      <c r="A510" s="9" t="s">
        <v>1144</v>
      </c>
      <c r="B510" s="9" t="s">
        <v>37</v>
      </c>
      <c r="C510" s="9" t="s">
        <v>37</v>
      </c>
      <c r="D510" s="9" t="s">
        <v>38</v>
      </c>
      <c r="E510" s="9" t="s">
        <v>624</v>
      </c>
      <c r="F510" s="9" t="s">
        <v>1145</v>
      </c>
    </row>
    <row r="511" spans="1:6" x14ac:dyDescent="0.25">
      <c r="A511" s="9" t="s">
        <v>1146</v>
      </c>
      <c r="B511" s="9" t="s">
        <v>37</v>
      </c>
      <c r="C511" s="9" t="s">
        <v>35</v>
      </c>
      <c r="D511" s="9" t="s">
        <v>34</v>
      </c>
      <c r="E511" s="9" t="s">
        <v>1147</v>
      </c>
      <c r="F511" s="9" t="s">
        <v>1148</v>
      </c>
    </row>
    <row r="512" spans="1:6" x14ac:dyDescent="0.25">
      <c r="A512" s="9" t="s">
        <v>1149</v>
      </c>
      <c r="B512" s="9" t="s">
        <v>59</v>
      </c>
      <c r="C512" s="9" t="s">
        <v>39</v>
      </c>
      <c r="D512" s="9" t="s">
        <v>34</v>
      </c>
      <c r="E512" s="9" t="s">
        <v>165</v>
      </c>
      <c r="F512" s="9" t="s">
        <v>1148</v>
      </c>
    </row>
    <row r="513" spans="1:6" x14ac:dyDescent="0.25">
      <c r="A513" s="9" t="s">
        <v>1150</v>
      </c>
      <c r="B513" s="9" t="s">
        <v>38</v>
      </c>
      <c r="C513" s="9" t="s">
        <v>36</v>
      </c>
      <c r="D513" s="9" t="s">
        <v>35</v>
      </c>
      <c r="E513" s="9" t="s">
        <v>1151</v>
      </c>
      <c r="F513" s="9" t="s">
        <v>1148</v>
      </c>
    </row>
    <row r="514" spans="1:6" x14ac:dyDescent="0.25">
      <c r="A514" s="9" t="s">
        <v>1152</v>
      </c>
      <c r="B514" s="9" t="s">
        <v>37</v>
      </c>
      <c r="C514" s="9" t="s">
        <v>34</v>
      </c>
      <c r="D514" s="9" t="s">
        <v>34</v>
      </c>
      <c r="E514" s="9" t="s">
        <v>1153</v>
      </c>
      <c r="F514" s="9" t="s">
        <v>1154</v>
      </c>
    </row>
    <row r="515" spans="1:6" x14ac:dyDescent="0.25">
      <c r="A515" s="9" t="s">
        <v>1155</v>
      </c>
      <c r="B515" s="9" t="s">
        <v>38</v>
      </c>
      <c r="C515" s="9" t="s">
        <v>37</v>
      </c>
      <c r="D515" s="9" t="s">
        <v>39</v>
      </c>
      <c r="E515" s="9" t="s">
        <v>177</v>
      </c>
      <c r="F515" s="9" t="s">
        <v>1156</v>
      </c>
    </row>
    <row r="516" spans="1:6" x14ac:dyDescent="0.25">
      <c r="A516" s="9" t="s">
        <v>1157</v>
      </c>
      <c r="B516" s="9" t="s">
        <v>35</v>
      </c>
      <c r="C516" s="9" t="s">
        <v>39</v>
      </c>
      <c r="D516" s="9" t="s">
        <v>34</v>
      </c>
      <c r="E516" s="9" t="s">
        <v>1107</v>
      </c>
      <c r="F516" s="9" t="s">
        <v>1158</v>
      </c>
    </row>
    <row r="517" spans="1:6" x14ac:dyDescent="0.25">
      <c r="A517" s="9" t="s">
        <v>1159</v>
      </c>
      <c r="B517" s="9" t="s">
        <v>36</v>
      </c>
      <c r="C517" s="9" t="s">
        <v>34</v>
      </c>
      <c r="D517" s="9" t="s">
        <v>38</v>
      </c>
      <c r="E517" s="9" t="s">
        <v>931</v>
      </c>
      <c r="F517" s="9" t="s">
        <v>1160</v>
      </c>
    </row>
    <row r="518" spans="1:6" x14ac:dyDescent="0.25">
      <c r="A518" s="9" t="s">
        <v>1161</v>
      </c>
      <c r="B518" s="9" t="s">
        <v>38</v>
      </c>
      <c r="C518" s="9" t="s">
        <v>34</v>
      </c>
      <c r="D518" s="9" t="s">
        <v>39</v>
      </c>
      <c r="E518" s="9" t="s">
        <v>517</v>
      </c>
      <c r="F518" s="9" t="s">
        <v>1162</v>
      </c>
    </row>
    <row r="519" spans="1:6" x14ac:dyDescent="0.25">
      <c r="A519" s="9" t="s">
        <v>1163</v>
      </c>
      <c r="B519" s="9" t="s">
        <v>40</v>
      </c>
      <c r="C519" s="9" t="s">
        <v>37</v>
      </c>
      <c r="D519" s="9" t="s">
        <v>38</v>
      </c>
      <c r="E519" s="9" t="s">
        <v>922</v>
      </c>
      <c r="F519" s="9" t="s">
        <v>1164</v>
      </c>
    </row>
    <row r="520" spans="1:6" x14ac:dyDescent="0.25">
      <c r="A520" s="9" t="s">
        <v>1165</v>
      </c>
      <c r="B520" s="9" t="s">
        <v>56</v>
      </c>
      <c r="C520" s="9" t="s">
        <v>37</v>
      </c>
      <c r="D520" s="9" t="s">
        <v>34</v>
      </c>
      <c r="E520" s="9" t="s">
        <v>705</v>
      </c>
      <c r="F520" s="9" t="s">
        <v>1166</v>
      </c>
    </row>
    <row r="521" spans="1:6" x14ac:dyDescent="0.25">
      <c r="A521" s="9" t="s">
        <v>1167</v>
      </c>
      <c r="B521" s="9" t="s">
        <v>39</v>
      </c>
      <c r="C521" s="9" t="s">
        <v>40</v>
      </c>
      <c r="D521" s="9" t="s">
        <v>34</v>
      </c>
      <c r="E521" s="9" t="s">
        <v>522</v>
      </c>
      <c r="F521" s="9" t="s">
        <v>1168</v>
      </c>
    </row>
    <row r="522" spans="1:6" x14ac:dyDescent="0.25">
      <c r="A522" s="9" t="s">
        <v>1169</v>
      </c>
      <c r="B522" s="9" t="s">
        <v>35</v>
      </c>
      <c r="C522" s="9" t="s">
        <v>37</v>
      </c>
      <c r="D522" s="9" t="s">
        <v>38</v>
      </c>
      <c r="E522" s="9" t="s">
        <v>147</v>
      </c>
      <c r="F522" s="9" t="s">
        <v>1168</v>
      </c>
    </row>
    <row r="523" spans="1:6" x14ac:dyDescent="0.25">
      <c r="A523" s="9" t="s">
        <v>1170</v>
      </c>
      <c r="B523" s="9" t="s">
        <v>36</v>
      </c>
      <c r="C523" s="9" t="s">
        <v>36</v>
      </c>
      <c r="D523" s="9" t="s">
        <v>34</v>
      </c>
      <c r="E523" s="9" t="s">
        <v>868</v>
      </c>
      <c r="F523" s="9" t="s">
        <v>1171</v>
      </c>
    </row>
    <row r="524" spans="1:6" x14ac:dyDescent="0.25">
      <c r="A524" s="9" t="s">
        <v>1172</v>
      </c>
      <c r="B524" s="9" t="s">
        <v>34</v>
      </c>
      <c r="C524" s="9" t="s">
        <v>39</v>
      </c>
      <c r="D524" s="9" t="s">
        <v>39</v>
      </c>
      <c r="E524" s="9" t="s">
        <v>1073</v>
      </c>
      <c r="F524" s="9" t="s">
        <v>1173</v>
      </c>
    </row>
    <row r="525" spans="1:6" x14ac:dyDescent="0.25">
      <c r="A525" s="9" t="s">
        <v>1174</v>
      </c>
      <c r="B525" s="9" t="s">
        <v>38</v>
      </c>
      <c r="C525" s="9" t="s">
        <v>39</v>
      </c>
      <c r="D525" s="9" t="s">
        <v>36</v>
      </c>
      <c r="E525" s="9" t="s">
        <v>340</v>
      </c>
      <c r="F525" s="9" t="s">
        <v>1173</v>
      </c>
    </row>
    <row r="526" spans="1:6" x14ac:dyDescent="0.25">
      <c r="A526" s="9" t="s">
        <v>1175</v>
      </c>
      <c r="B526" s="9" t="s">
        <v>36</v>
      </c>
      <c r="C526" s="9" t="s">
        <v>36</v>
      </c>
      <c r="D526" s="9" t="s">
        <v>35</v>
      </c>
      <c r="E526" s="9" t="s">
        <v>979</v>
      </c>
      <c r="F526" s="9" t="s">
        <v>1176</v>
      </c>
    </row>
    <row r="527" spans="1:6" x14ac:dyDescent="0.25">
      <c r="A527" s="9" t="s">
        <v>1177</v>
      </c>
      <c r="B527" s="9" t="s">
        <v>37</v>
      </c>
      <c r="C527" s="9" t="s">
        <v>40</v>
      </c>
      <c r="D527" s="9" t="s">
        <v>38</v>
      </c>
      <c r="E527" s="9" t="s">
        <v>242</v>
      </c>
      <c r="F527" s="9" t="s">
        <v>1178</v>
      </c>
    </row>
    <row r="528" spans="1:6" x14ac:dyDescent="0.25">
      <c r="A528" s="9" t="s">
        <v>1179</v>
      </c>
      <c r="B528" s="9" t="s">
        <v>38</v>
      </c>
      <c r="C528" s="9" t="s">
        <v>35</v>
      </c>
      <c r="D528" s="9" t="s">
        <v>39</v>
      </c>
      <c r="E528" s="9" t="s">
        <v>507</v>
      </c>
      <c r="F528" s="9" t="s">
        <v>1178</v>
      </c>
    </row>
    <row r="529" spans="1:6" x14ac:dyDescent="0.25">
      <c r="A529" s="9" t="s">
        <v>1180</v>
      </c>
      <c r="B529" s="9" t="s">
        <v>56</v>
      </c>
      <c r="C529" s="9" t="s">
        <v>39</v>
      </c>
      <c r="D529" s="9" t="s">
        <v>37</v>
      </c>
      <c r="E529" s="9" t="s">
        <v>390</v>
      </c>
      <c r="F529" s="9" t="s">
        <v>1181</v>
      </c>
    </row>
    <row r="530" spans="1:6" x14ac:dyDescent="0.25">
      <c r="A530" s="9" t="s">
        <v>1182</v>
      </c>
      <c r="B530" s="9" t="s">
        <v>40</v>
      </c>
      <c r="C530" s="9" t="s">
        <v>36</v>
      </c>
      <c r="D530" s="9" t="s">
        <v>34</v>
      </c>
      <c r="E530" s="9" t="s">
        <v>1183</v>
      </c>
      <c r="F530" s="9" t="s">
        <v>1181</v>
      </c>
    </row>
    <row r="531" spans="1:6" x14ac:dyDescent="0.25">
      <c r="A531" s="9" t="s">
        <v>1184</v>
      </c>
      <c r="B531" s="9" t="s">
        <v>37</v>
      </c>
      <c r="C531" s="9" t="s">
        <v>34</v>
      </c>
      <c r="D531" s="9" t="s">
        <v>34</v>
      </c>
      <c r="E531" s="9" t="s">
        <v>730</v>
      </c>
      <c r="F531" s="9" t="s">
        <v>1185</v>
      </c>
    </row>
    <row r="532" spans="1:6" x14ac:dyDescent="0.25">
      <c r="A532" s="9" t="s">
        <v>1186</v>
      </c>
      <c r="B532" s="9" t="s">
        <v>37</v>
      </c>
      <c r="C532" s="9" t="s">
        <v>38</v>
      </c>
      <c r="D532" s="9" t="s">
        <v>36</v>
      </c>
      <c r="E532" s="9" t="s">
        <v>1073</v>
      </c>
      <c r="F532" s="9" t="s">
        <v>1185</v>
      </c>
    </row>
    <row r="533" spans="1:6" x14ac:dyDescent="0.25">
      <c r="A533" s="9" t="s">
        <v>1187</v>
      </c>
      <c r="B533" s="9" t="s">
        <v>56</v>
      </c>
      <c r="C533" s="9" t="s">
        <v>34</v>
      </c>
      <c r="D533" s="9" t="s">
        <v>34</v>
      </c>
      <c r="E533" s="9" t="s">
        <v>1183</v>
      </c>
      <c r="F533" s="9" t="s">
        <v>1188</v>
      </c>
    </row>
    <row r="534" spans="1:6" x14ac:dyDescent="0.25">
      <c r="A534" s="9" t="s">
        <v>1189</v>
      </c>
      <c r="B534" s="9" t="s">
        <v>40</v>
      </c>
      <c r="C534" s="9" t="s">
        <v>40</v>
      </c>
      <c r="D534" s="9" t="s">
        <v>35</v>
      </c>
      <c r="E534" s="9" t="s">
        <v>222</v>
      </c>
      <c r="F534" s="9" t="s">
        <v>1188</v>
      </c>
    </row>
    <row r="535" spans="1:6" x14ac:dyDescent="0.25">
      <c r="A535" s="9" t="s">
        <v>1190</v>
      </c>
      <c r="B535" s="9" t="s">
        <v>38</v>
      </c>
      <c r="C535" s="9" t="s">
        <v>38</v>
      </c>
      <c r="D535" s="9" t="s">
        <v>35</v>
      </c>
      <c r="E535" s="9" t="s">
        <v>100</v>
      </c>
      <c r="F535" s="9" t="s">
        <v>1188</v>
      </c>
    </row>
    <row r="536" spans="1:6" x14ac:dyDescent="0.25">
      <c r="A536" s="9" t="s">
        <v>1191</v>
      </c>
      <c r="B536" s="9" t="s">
        <v>37</v>
      </c>
      <c r="C536" s="9" t="s">
        <v>40</v>
      </c>
      <c r="D536" s="9" t="s">
        <v>35</v>
      </c>
      <c r="E536" s="9" t="s">
        <v>103</v>
      </c>
      <c r="F536" s="9" t="s">
        <v>1192</v>
      </c>
    </row>
    <row r="537" spans="1:6" x14ac:dyDescent="0.25">
      <c r="A537" s="9" t="s">
        <v>1193</v>
      </c>
      <c r="B537" s="9" t="s">
        <v>38</v>
      </c>
      <c r="C537" s="9" t="s">
        <v>36</v>
      </c>
      <c r="D537" s="9" t="s">
        <v>34</v>
      </c>
      <c r="E537" s="9" t="s">
        <v>636</v>
      </c>
      <c r="F537" s="9" t="s">
        <v>1192</v>
      </c>
    </row>
    <row r="538" spans="1:6" x14ac:dyDescent="0.25">
      <c r="A538" s="9" t="s">
        <v>1194</v>
      </c>
      <c r="B538" s="9" t="s">
        <v>36</v>
      </c>
      <c r="C538" s="9" t="s">
        <v>35</v>
      </c>
      <c r="D538" s="9" t="s">
        <v>37</v>
      </c>
      <c r="E538" s="9" t="s">
        <v>1090</v>
      </c>
      <c r="F538" s="9" t="s">
        <v>1195</v>
      </c>
    </row>
    <row r="539" spans="1:6" x14ac:dyDescent="0.25">
      <c r="A539" s="9" t="s">
        <v>1196</v>
      </c>
      <c r="B539" s="9" t="s">
        <v>39</v>
      </c>
      <c r="C539" s="9" t="s">
        <v>38</v>
      </c>
      <c r="D539" s="9" t="s">
        <v>34</v>
      </c>
      <c r="E539" s="9" t="s">
        <v>722</v>
      </c>
      <c r="F539" s="9" t="s">
        <v>1197</v>
      </c>
    </row>
    <row r="540" spans="1:6" x14ac:dyDescent="0.25">
      <c r="A540" s="9" t="s">
        <v>1198</v>
      </c>
      <c r="B540" s="9" t="s">
        <v>38</v>
      </c>
      <c r="C540" s="9" t="s">
        <v>40</v>
      </c>
      <c r="D540" s="9" t="s">
        <v>39</v>
      </c>
      <c r="E540" s="9" t="s">
        <v>727</v>
      </c>
      <c r="F540" s="9" t="s">
        <v>1197</v>
      </c>
    </row>
    <row r="541" spans="1:6" x14ac:dyDescent="0.25">
      <c r="A541" s="9" t="s">
        <v>1199</v>
      </c>
      <c r="B541" s="9" t="s">
        <v>35</v>
      </c>
      <c r="C541" s="9" t="s">
        <v>37</v>
      </c>
      <c r="D541" s="9" t="s">
        <v>36</v>
      </c>
      <c r="E541" s="9" t="s">
        <v>1058</v>
      </c>
      <c r="F541" s="9" t="s">
        <v>1197</v>
      </c>
    </row>
    <row r="542" spans="1:6" x14ac:dyDescent="0.25">
      <c r="A542" s="9" t="s">
        <v>1200</v>
      </c>
      <c r="B542" s="9" t="s">
        <v>36</v>
      </c>
      <c r="C542" s="9" t="s">
        <v>34</v>
      </c>
      <c r="D542" s="9" t="s">
        <v>34</v>
      </c>
      <c r="E542" s="9" t="s">
        <v>93</v>
      </c>
      <c r="F542" s="9" t="s">
        <v>1201</v>
      </c>
    </row>
    <row r="543" spans="1:6" x14ac:dyDescent="0.25">
      <c r="A543" s="9" t="s">
        <v>1202</v>
      </c>
      <c r="B543" s="9" t="s">
        <v>37</v>
      </c>
      <c r="C543" s="9" t="s">
        <v>39</v>
      </c>
      <c r="D543" s="9" t="s">
        <v>37</v>
      </c>
      <c r="E543" s="9" t="s">
        <v>989</v>
      </c>
      <c r="F543" s="9" t="s">
        <v>1203</v>
      </c>
    </row>
    <row r="544" spans="1:6" x14ac:dyDescent="0.25">
      <c r="A544" s="9" t="s">
        <v>1204</v>
      </c>
      <c r="B544" s="9" t="s">
        <v>37</v>
      </c>
      <c r="C544" s="9" t="s">
        <v>37</v>
      </c>
      <c r="D544" s="9" t="s">
        <v>38</v>
      </c>
      <c r="E544" s="9" t="s">
        <v>202</v>
      </c>
      <c r="F544" s="9" t="s">
        <v>1205</v>
      </c>
    </row>
    <row r="545" spans="1:6" x14ac:dyDescent="0.25">
      <c r="A545" s="9" t="s">
        <v>1206</v>
      </c>
      <c r="B545" s="9" t="s">
        <v>56</v>
      </c>
      <c r="C545" s="9" t="s">
        <v>39</v>
      </c>
      <c r="D545" s="9" t="s">
        <v>37</v>
      </c>
      <c r="E545" s="9" t="s">
        <v>340</v>
      </c>
      <c r="F545" s="9" t="s">
        <v>1205</v>
      </c>
    </row>
    <row r="546" spans="1:6" x14ac:dyDescent="0.25">
      <c r="A546" s="9" t="s">
        <v>1207</v>
      </c>
      <c r="B546" s="9" t="s">
        <v>38</v>
      </c>
      <c r="C546" s="9" t="s">
        <v>36</v>
      </c>
      <c r="D546" s="9" t="s">
        <v>35</v>
      </c>
      <c r="E546" s="9" t="s">
        <v>503</v>
      </c>
      <c r="F546" s="9" t="s">
        <v>1208</v>
      </c>
    </row>
    <row r="547" spans="1:6" x14ac:dyDescent="0.25">
      <c r="A547" s="9" t="s">
        <v>1209</v>
      </c>
      <c r="B547" s="9" t="s">
        <v>40</v>
      </c>
      <c r="C547" s="9" t="s">
        <v>36</v>
      </c>
      <c r="D547" s="9" t="s">
        <v>37</v>
      </c>
      <c r="E547" s="9" t="s">
        <v>641</v>
      </c>
      <c r="F547" s="9" t="s">
        <v>1210</v>
      </c>
    </row>
    <row r="548" spans="1:6" x14ac:dyDescent="0.25">
      <c r="A548" s="9" t="s">
        <v>1211</v>
      </c>
      <c r="B548" s="9" t="s">
        <v>37</v>
      </c>
      <c r="C548" s="9" t="s">
        <v>34</v>
      </c>
      <c r="D548" s="9" t="s">
        <v>35</v>
      </c>
      <c r="E548" s="9" t="s">
        <v>641</v>
      </c>
      <c r="F548" s="9" t="s">
        <v>1210</v>
      </c>
    </row>
    <row r="549" spans="1:6" x14ac:dyDescent="0.25">
      <c r="A549" s="9" t="s">
        <v>1212</v>
      </c>
      <c r="B549" s="9" t="s">
        <v>35</v>
      </c>
      <c r="C549" s="9" t="s">
        <v>36</v>
      </c>
      <c r="D549" s="9" t="s">
        <v>37</v>
      </c>
      <c r="E549" s="9" t="s">
        <v>385</v>
      </c>
      <c r="F549" s="9" t="s">
        <v>1210</v>
      </c>
    </row>
    <row r="550" spans="1:6" x14ac:dyDescent="0.25">
      <c r="A550" s="9" t="s">
        <v>1213</v>
      </c>
      <c r="B550" s="9" t="s">
        <v>35</v>
      </c>
      <c r="C550" s="9" t="s">
        <v>37</v>
      </c>
      <c r="D550" s="9" t="s">
        <v>35</v>
      </c>
      <c r="E550" s="9" t="s">
        <v>675</v>
      </c>
      <c r="F550" s="9" t="s">
        <v>1214</v>
      </c>
    </row>
    <row r="551" spans="1:6" x14ac:dyDescent="0.25">
      <c r="A551" s="9" t="s">
        <v>1215</v>
      </c>
      <c r="B551" s="9" t="s">
        <v>34</v>
      </c>
      <c r="C551" s="9" t="s">
        <v>35</v>
      </c>
      <c r="D551" s="9" t="s">
        <v>37</v>
      </c>
      <c r="E551" s="9" t="s">
        <v>328</v>
      </c>
      <c r="F551" s="9" t="s">
        <v>1214</v>
      </c>
    </row>
    <row r="552" spans="1:6" x14ac:dyDescent="0.25">
      <c r="A552" s="9" t="s">
        <v>1216</v>
      </c>
      <c r="B552" s="9" t="s">
        <v>38</v>
      </c>
      <c r="C552" s="9" t="s">
        <v>35</v>
      </c>
      <c r="D552" s="9" t="s">
        <v>36</v>
      </c>
      <c r="E552" s="9" t="s">
        <v>365</v>
      </c>
      <c r="F552" s="9" t="s">
        <v>1217</v>
      </c>
    </row>
    <row r="553" spans="1:6" x14ac:dyDescent="0.25">
      <c r="A553" s="9" t="s">
        <v>1218</v>
      </c>
      <c r="B553" s="9" t="s">
        <v>36</v>
      </c>
      <c r="C553" s="9" t="s">
        <v>35</v>
      </c>
      <c r="D553" s="9" t="s">
        <v>34</v>
      </c>
      <c r="E553" s="9" t="s">
        <v>239</v>
      </c>
      <c r="F553" s="9" t="s">
        <v>1219</v>
      </c>
    </row>
    <row r="554" spans="1:6" x14ac:dyDescent="0.25">
      <c r="A554" s="9" t="s">
        <v>1220</v>
      </c>
      <c r="B554" s="9" t="s">
        <v>39</v>
      </c>
      <c r="C554" s="9" t="s">
        <v>36</v>
      </c>
      <c r="D554" s="9" t="s">
        <v>39</v>
      </c>
      <c r="E554" s="9" t="s">
        <v>922</v>
      </c>
      <c r="F554" s="9" t="s">
        <v>1221</v>
      </c>
    </row>
    <row r="555" spans="1:6" x14ac:dyDescent="0.25">
      <c r="A555" s="9" t="s">
        <v>1222</v>
      </c>
      <c r="B555" s="9" t="s">
        <v>37</v>
      </c>
      <c r="C555" s="9" t="s">
        <v>35</v>
      </c>
      <c r="D555" s="9" t="s">
        <v>36</v>
      </c>
      <c r="E555" s="9" t="s">
        <v>374</v>
      </c>
      <c r="F555" s="9" t="s">
        <v>1221</v>
      </c>
    </row>
    <row r="556" spans="1:6" x14ac:dyDescent="0.25">
      <c r="A556" s="9" t="s">
        <v>1223</v>
      </c>
      <c r="B556" s="9" t="s">
        <v>38</v>
      </c>
      <c r="C556" s="9" t="s">
        <v>34</v>
      </c>
      <c r="D556" s="9" t="s">
        <v>36</v>
      </c>
      <c r="E556" s="9" t="s">
        <v>594</v>
      </c>
      <c r="F556" s="9" t="s">
        <v>1224</v>
      </c>
    </row>
    <row r="557" spans="1:6" x14ac:dyDescent="0.25">
      <c r="A557" s="9" t="s">
        <v>1225</v>
      </c>
      <c r="B557" s="9" t="s">
        <v>56</v>
      </c>
      <c r="C557" s="9" t="s">
        <v>37</v>
      </c>
      <c r="D557" s="9" t="s">
        <v>39</v>
      </c>
      <c r="E557" s="9" t="s">
        <v>382</v>
      </c>
      <c r="F557" s="9" t="s">
        <v>1226</v>
      </c>
    </row>
    <row r="558" spans="1:6" x14ac:dyDescent="0.25">
      <c r="A558" s="9" t="s">
        <v>1227</v>
      </c>
      <c r="B558" s="9" t="s">
        <v>38</v>
      </c>
      <c r="C558" s="9" t="s">
        <v>39</v>
      </c>
      <c r="D558" s="9" t="s">
        <v>37</v>
      </c>
      <c r="E558" s="9" t="s">
        <v>82</v>
      </c>
      <c r="F558" s="9" t="s">
        <v>1226</v>
      </c>
    </row>
    <row r="559" spans="1:6" x14ac:dyDescent="0.25">
      <c r="A559" s="9" t="s">
        <v>1228</v>
      </c>
      <c r="B559" s="9" t="s">
        <v>38</v>
      </c>
      <c r="C559" s="9" t="s">
        <v>37</v>
      </c>
      <c r="D559" s="9" t="s">
        <v>36</v>
      </c>
      <c r="E559" s="9" t="s">
        <v>1229</v>
      </c>
      <c r="F559" s="9" t="s">
        <v>1226</v>
      </c>
    </row>
    <row r="560" spans="1:6" x14ac:dyDescent="0.25">
      <c r="A560" s="9" t="s">
        <v>1230</v>
      </c>
      <c r="B560" s="9" t="s">
        <v>34</v>
      </c>
      <c r="C560" s="9" t="s">
        <v>38</v>
      </c>
      <c r="D560" s="9" t="s">
        <v>39</v>
      </c>
      <c r="E560" s="9" t="s">
        <v>783</v>
      </c>
      <c r="F560" s="9" t="s">
        <v>1231</v>
      </c>
    </row>
    <row r="561" spans="1:6" x14ac:dyDescent="0.25">
      <c r="A561" s="9" t="s">
        <v>1232</v>
      </c>
      <c r="B561" s="9" t="s">
        <v>36</v>
      </c>
      <c r="C561" s="9" t="s">
        <v>34</v>
      </c>
      <c r="D561" s="9" t="s">
        <v>37</v>
      </c>
      <c r="E561" s="9" t="s">
        <v>363</v>
      </c>
      <c r="F561" s="9" t="s">
        <v>1231</v>
      </c>
    </row>
    <row r="562" spans="1:6" x14ac:dyDescent="0.25">
      <c r="A562" s="9" t="s">
        <v>1233</v>
      </c>
      <c r="B562" s="9" t="s">
        <v>35</v>
      </c>
      <c r="C562" s="9" t="s">
        <v>38</v>
      </c>
      <c r="D562" s="9" t="s">
        <v>37</v>
      </c>
      <c r="E562" s="9" t="s">
        <v>280</v>
      </c>
      <c r="F562" s="9" t="s">
        <v>1234</v>
      </c>
    </row>
    <row r="563" spans="1:6" x14ac:dyDescent="0.25">
      <c r="A563" s="9" t="s">
        <v>1235</v>
      </c>
      <c r="B563" s="9" t="s">
        <v>36</v>
      </c>
      <c r="C563" s="9" t="s">
        <v>40</v>
      </c>
      <c r="D563" s="9" t="s">
        <v>35</v>
      </c>
      <c r="E563" s="9" t="s">
        <v>295</v>
      </c>
      <c r="F563" s="9" t="s">
        <v>1236</v>
      </c>
    </row>
    <row r="564" spans="1:6" x14ac:dyDescent="0.25">
      <c r="A564" s="9" t="s">
        <v>1237</v>
      </c>
      <c r="B564" s="9" t="s">
        <v>37</v>
      </c>
      <c r="C564" s="9" t="s">
        <v>36</v>
      </c>
      <c r="D564" s="9" t="s">
        <v>36</v>
      </c>
      <c r="E564" s="9" t="s">
        <v>207</v>
      </c>
      <c r="F564" s="9" t="s">
        <v>1236</v>
      </c>
    </row>
    <row r="565" spans="1:6" x14ac:dyDescent="0.25">
      <c r="A565" s="9" t="s">
        <v>1238</v>
      </c>
      <c r="B565" s="9" t="s">
        <v>35</v>
      </c>
      <c r="C565" s="9" t="s">
        <v>36</v>
      </c>
      <c r="D565" s="9" t="s">
        <v>36</v>
      </c>
      <c r="E565" s="9" t="s">
        <v>400</v>
      </c>
      <c r="F565" s="9" t="s">
        <v>1236</v>
      </c>
    </row>
    <row r="566" spans="1:6" x14ac:dyDescent="0.25">
      <c r="A566" s="9" t="s">
        <v>1239</v>
      </c>
      <c r="B566" s="9" t="s">
        <v>40</v>
      </c>
      <c r="C566" s="9" t="s">
        <v>36</v>
      </c>
      <c r="D566" s="9" t="s">
        <v>36</v>
      </c>
      <c r="E566" s="9" t="s">
        <v>103</v>
      </c>
      <c r="F566" s="9" t="s">
        <v>1240</v>
      </c>
    </row>
    <row r="567" spans="1:6" x14ac:dyDescent="0.25">
      <c r="A567" s="9" t="s">
        <v>1241</v>
      </c>
      <c r="B567" s="9" t="s">
        <v>34</v>
      </c>
      <c r="C567" s="9" t="s">
        <v>37</v>
      </c>
      <c r="D567" s="9" t="s">
        <v>39</v>
      </c>
      <c r="E567" s="9" t="s">
        <v>453</v>
      </c>
      <c r="F567" s="9" t="s">
        <v>1240</v>
      </c>
    </row>
    <row r="568" spans="1:6" x14ac:dyDescent="0.25">
      <c r="A568" s="9" t="s">
        <v>1242</v>
      </c>
      <c r="B568" s="9" t="s">
        <v>56</v>
      </c>
      <c r="C568" s="9" t="s">
        <v>39</v>
      </c>
      <c r="D568" s="9" t="s">
        <v>34</v>
      </c>
      <c r="E568" s="9" t="s">
        <v>535</v>
      </c>
      <c r="F568" s="9" t="s">
        <v>1243</v>
      </c>
    </row>
    <row r="569" spans="1:6" x14ac:dyDescent="0.25">
      <c r="A569" s="9" t="s">
        <v>1244</v>
      </c>
      <c r="B569" s="9" t="s">
        <v>36</v>
      </c>
      <c r="C569" s="9" t="s">
        <v>34</v>
      </c>
      <c r="D569" s="9" t="s">
        <v>36</v>
      </c>
      <c r="E569" s="9" t="s">
        <v>1153</v>
      </c>
      <c r="F569" s="9" t="s">
        <v>1243</v>
      </c>
    </row>
    <row r="570" spans="1:6" x14ac:dyDescent="0.25">
      <c r="A570" s="9" t="s">
        <v>1245</v>
      </c>
      <c r="B570" s="9" t="s">
        <v>35</v>
      </c>
      <c r="C570" s="9" t="s">
        <v>36</v>
      </c>
      <c r="D570" s="9" t="s">
        <v>38</v>
      </c>
      <c r="E570" s="9" t="s">
        <v>1107</v>
      </c>
      <c r="F570" s="9" t="s">
        <v>1246</v>
      </c>
    </row>
    <row r="571" spans="1:6" x14ac:dyDescent="0.25">
      <c r="A571" s="9" t="s">
        <v>1247</v>
      </c>
      <c r="B571" s="9" t="s">
        <v>37</v>
      </c>
      <c r="C571" s="9" t="s">
        <v>37</v>
      </c>
      <c r="D571" s="9" t="s">
        <v>38</v>
      </c>
      <c r="E571" s="9" t="s">
        <v>423</v>
      </c>
      <c r="F571" s="9" t="s">
        <v>1248</v>
      </c>
    </row>
    <row r="572" spans="1:6" x14ac:dyDescent="0.25">
      <c r="A572" s="9" t="s">
        <v>1249</v>
      </c>
      <c r="B572" s="9" t="s">
        <v>39</v>
      </c>
      <c r="C572" s="9" t="s">
        <v>34</v>
      </c>
      <c r="D572" s="9" t="s">
        <v>38</v>
      </c>
      <c r="E572" s="9" t="s">
        <v>1034</v>
      </c>
      <c r="F572" s="9" t="s">
        <v>1250</v>
      </c>
    </row>
    <row r="573" spans="1:6" x14ac:dyDescent="0.25">
      <c r="A573" s="9" t="s">
        <v>1251</v>
      </c>
      <c r="B573" s="9" t="s">
        <v>56</v>
      </c>
      <c r="C573" s="9" t="s">
        <v>40</v>
      </c>
      <c r="D573" s="9" t="s">
        <v>35</v>
      </c>
      <c r="E573" s="9" t="s">
        <v>688</v>
      </c>
      <c r="F573" s="9" t="s">
        <v>1252</v>
      </c>
    </row>
    <row r="574" spans="1:6" x14ac:dyDescent="0.25">
      <c r="A574" s="9" t="s">
        <v>1253</v>
      </c>
      <c r="B574" s="9" t="s">
        <v>34</v>
      </c>
      <c r="C574" s="9" t="s">
        <v>40</v>
      </c>
      <c r="D574" s="9" t="s">
        <v>37</v>
      </c>
      <c r="E574" s="9" t="s">
        <v>1090</v>
      </c>
      <c r="F574" s="9" t="s">
        <v>1254</v>
      </c>
    </row>
    <row r="575" spans="1:6" x14ac:dyDescent="0.25">
      <c r="A575" s="9" t="s">
        <v>1255</v>
      </c>
      <c r="B575" s="9" t="s">
        <v>36</v>
      </c>
      <c r="C575" s="9" t="s">
        <v>40</v>
      </c>
      <c r="D575" s="9" t="s">
        <v>36</v>
      </c>
      <c r="E575" s="9" t="s">
        <v>286</v>
      </c>
      <c r="F575" s="9" t="s">
        <v>1256</v>
      </c>
    </row>
    <row r="576" spans="1:6" x14ac:dyDescent="0.25">
      <c r="A576" s="9" t="s">
        <v>1257</v>
      </c>
      <c r="B576" s="9" t="s">
        <v>34</v>
      </c>
      <c r="C576" s="9" t="s">
        <v>35</v>
      </c>
      <c r="D576" s="9" t="s">
        <v>39</v>
      </c>
      <c r="E576" s="9" t="s">
        <v>86</v>
      </c>
      <c r="F576" s="9" t="s">
        <v>1258</v>
      </c>
    </row>
    <row r="577" spans="1:6" x14ac:dyDescent="0.25">
      <c r="A577" s="9" t="s">
        <v>1259</v>
      </c>
      <c r="B577" s="9" t="s">
        <v>56</v>
      </c>
      <c r="C577" s="9" t="s">
        <v>39</v>
      </c>
      <c r="D577" s="9" t="s">
        <v>34</v>
      </c>
      <c r="E577" s="9" t="s">
        <v>806</v>
      </c>
      <c r="F577" s="9" t="s">
        <v>1260</v>
      </c>
    </row>
    <row r="578" spans="1:6" x14ac:dyDescent="0.25">
      <c r="A578" s="9" t="s">
        <v>1261</v>
      </c>
      <c r="B578" s="9" t="s">
        <v>40</v>
      </c>
      <c r="C578" s="9" t="s">
        <v>40</v>
      </c>
      <c r="D578" s="9" t="s">
        <v>36</v>
      </c>
      <c r="E578" s="9" t="s">
        <v>254</v>
      </c>
      <c r="F578" s="9" t="s">
        <v>1262</v>
      </c>
    </row>
    <row r="579" spans="1:6" x14ac:dyDescent="0.25">
      <c r="A579" s="9" t="s">
        <v>1263</v>
      </c>
      <c r="B579" s="9" t="s">
        <v>38</v>
      </c>
      <c r="C579" s="9" t="s">
        <v>35</v>
      </c>
      <c r="D579" s="9" t="s">
        <v>37</v>
      </c>
      <c r="E579" s="9" t="s">
        <v>835</v>
      </c>
      <c r="F579" s="9" t="s">
        <v>1264</v>
      </c>
    </row>
    <row r="580" spans="1:6" x14ac:dyDescent="0.25">
      <c r="A580" s="9" t="s">
        <v>1265</v>
      </c>
      <c r="B580" s="9" t="s">
        <v>36</v>
      </c>
      <c r="C580" s="9" t="s">
        <v>40</v>
      </c>
      <c r="D580" s="9" t="s">
        <v>37</v>
      </c>
      <c r="E580" s="9" t="s">
        <v>400</v>
      </c>
      <c r="F580" s="9" t="s">
        <v>1264</v>
      </c>
    </row>
    <row r="581" spans="1:6" x14ac:dyDescent="0.25">
      <c r="A581" s="9" t="s">
        <v>1266</v>
      </c>
      <c r="B581" s="9" t="s">
        <v>36</v>
      </c>
      <c r="C581" s="9" t="s">
        <v>35</v>
      </c>
      <c r="D581" s="9" t="s">
        <v>34</v>
      </c>
      <c r="E581" s="9" t="s">
        <v>1048</v>
      </c>
      <c r="F581" s="9" t="s">
        <v>1267</v>
      </c>
    </row>
    <row r="582" spans="1:6" x14ac:dyDescent="0.25">
      <c r="A582" s="9" t="s">
        <v>1268</v>
      </c>
      <c r="B582" s="9" t="s">
        <v>36</v>
      </c>
      <c r="C582" s="9" t="s">
        <v>35</v>
      </c>
      <c r="D582" s="9" t="s">
        <v>36</v>
      </c>
      <c r="E582" s="9" t="s">
        <v>920</v>
      </c>
      <c r="F582" s="9" t="s">
        <v>1267</v>
      </c>
    </row>
    <row r="583" spans="1:6" x14ac:dyDescent="0.25">
      <c r="A583" s="9" t="s">
        <v>1269</v>
      </c>
      <c r="B583" s="9" t="s">
        <v>39</v>
      </c>
      <c r="C583" s="9" t="s">
        <v>37</v>
      </c>
      <c r="D583" s="9" t="s">
        <v>34</v>
      </c>
      <c r="E583" s="9" t="s">
        <v>79</v>
      </c>
      <c r="F583" s="9" t="s">
        <v>1270</v>
      </c>
    </row>
    <row r="584" spans="1:6" x14ac:dyDescent="0.25">
      <c r="A584" s="9" t="s">
        <v>1271</v>
      </c>
      <c r="B584" s="9" t="s">
        <v>56</v>
      </c>
      <c r="C584" s="9" t="s">
        <v>34</v>
      </c>
      <c r="D584" s="9" t="s">
        <v>35</v>
      </c>
      <c r="E584" s="9" t="s">
        <v>1183</v>
      </c>
      <c r="F584" s="9" t="s">
        <v>1270</v>
      </c>
    </row>
    <row r="585" spans="1:6" x14ac:dyDescent="0.25">
      <c r="A585" s="9" t="s">
        <v>1272</v>
      </c>
      <c r="B585" s="9" t="s">
        <v>35</v>
      </c>
      <c r="C585" s="9" t="s">
        <v>38</v>
      </c>
      <c r="D585" s="9" t="s">
        <v>35</v>
      </c>
      <c r="E585" s="9" t="s">
        <v>1273</v>
      </c>
      <c r="F585" s="9" t="s">
        <v>1274</v>
      </c>
    </row>
    <row r="586" spans="1:6" x14ac:dyDescent="0.25">
      <c r="A586" s="9" t="s">
        <v>1275</v>
      </c>
      <c r="B586" s="9" t="s">
        <v>39</v>
      </c>
      <c r="C586" s="9" t="s">
        <v>38</v>
      </c>
      <c r="D586" s="9" t="s">
        <v>39</v>
      </c>
      <c r="E586" s="9" t="s">
        <v>278</v>
      </c>
      <c r="F586" s="9" t="s">
        <v>1276</v>
      </c>
    </row>
    <row r="587" spans="1:6" x14ac:dyDescent="0.25">
      <c r="A587" s="9" t="s">
        <v>1277</v>
      </c>
      <c r="B587" s="9" t="s">
        <v>38</v>
      </c>
      <c r="C587" s="9" t="s">
        <v>37</v>
      </c>
      <c r="D587" s="9" t="s">
        <v>36</v>
      </c>
      <c r="E587" s="9" t="s">
        <v>128</v>
      </c>
      <c r="F587" s="9" t="s">
        <v>1276</v>
      </c>
    </row>
    <row r="588" spans="1:6" x14ac:dyDescent="0.25">
      <c r="A588" s="9" t="s">
        <v>1278</v>
      </c>
      <c r="B588" s="9" t="s">
        <v>37</v>
      </c>
      <c r="C588" s="9" t="s">
        <v>39</v>
      </c>
      <c r="D588" s="9" t="s">
        <v>38</v>
      </c>
      <c r="E588" s="9" t="s">
        <v>328</v>
      </c>
      <c r="F588" s="9" t="s">
        <v>1279</v>
      </c>
    </row>
    <row r="589" spans="1:6" x14ac:dyDescent="0.25">
      <c r="A589" s="9" t="s">
        <v>1280</v>
      </c>
      <c r="B589" s="9" t="s">
        <v>38</v>
      </c>
      <c r="C589" s="9" t="s">
        <v>36</v>
      </c>
      <c r="D589" s="9" t="s">
        <v>36</v>
      </c>
      <c r="E589" s="9" t="s">
        <v>1281</v>
      </c>
      <c r="F589" s="9" t="s">
        <v>1282</v>
      </c>
    </row>
    <row r="590" spans="1:6" x14ac:dyDescent="0.25">
      <c r="A590" s="9" t="s">
        <v>1283</v>
      </c>
      <c r="B590" s="9" t="s">
        <v>56</v>
      </c>
      <c r="C590" s="9" t="s">
        <v>37</v>
      </c>
      <c r="D590" s="9" t="s">
        <v>36</v>
      </c>
      <c r="E590" s="9" t="s">
        <v>88</v>
      </c>
      <c r="F590" s="9" t="s">
        <v>1284</v>
      </c>
    </row>
    <row r="591" spans="1:6" x14ac:dyDescent="0.25">
      <c r="A591" s="9" t="s">
        <v>1285</v>
      </c>
      <c r="B591" s="9" t="s">
        <v>40</v>
      </c>
      <c r="C591" s="9" t="s">
        <v>37</v>
      </c>
      <c r="D591" s="9" t="s">
        <v>35</v>
      </c>
      <c r="E591" s="9" t="s">
        <v>73</v>
      </c>
      <c r="F591" s="9" t="s">
        <v>1286</v>
      </c>
    </row>
    <row r="592" spans="1:6" x14ac:dyDescent="0.25">
      <c r="A592" s="9" t="s">
        <v>1287</v>
      </c>
      <c r="B592" s="9" t="s">
        <v>38</v>
      </c>
      <c r="C592" s="9" t="s">
        <v>36</v>
      </c>
      <c r="D592" s="9" t="s">
        <v>37</v>
      </c>
      <c r="E592" s="9" t="s">
        <v>925</v>
      </c>
      <c r="F592" s="9" t="s">
        <v>1288</v>
      </c>
    </row>
    <row r="593" spans="1:6" x14ac:dyDescent="0.25">
      <c r="A593" s="9" t="s">
        <v>1289</v>
      </c>
      <c r="B593" s="9" t="s">
        <v>35</v>
      </c>
      <c r="C593" s="9" t="s">
        <v>35</v>
      </c>
      <c r="D593" s="9" t="s">
        <v>36</v>
      </c>
      <c r="E593" s="9" t="s">
        <v>343</v>
      </c>
      <c r="F593" s="9" t="s">
        <v>1290</v>
      </c>
    </row>
    <row r="594" spans="1:6" x14ac:dyDescent="0.25">
      <c r="A594" s="9" t="s">
        <v>1291</v>
      </c>
      <c r="B594" s="9" t="s">
        <v>37</v>
      </c>
      <c r="C594" s="9" t="s">
        <v>37</v>
      </c>
      <c r="D594" s="9" t="s">
        <v>38</v>
      </c>
      <c r="E594" s="9" t="s">
        <v>539</v>
      </c>
      <c r="F594" s="9" t="s">
        <v>1290</v>
      </c>
    </row>
    <row r="595" spans="1:6" x14ac:dyDescent="0.25">
      <c r="A595" s="9" t="s">
        <v>1292</v>
      </c>
      <c r="B595" s="9" t="s">
        <v>56</v>
      </c>
      <c r="C595" s="9" t="s">
        <v>40</v>
      </c>
      <c r="D595" s="9" t="s">
        <v>34</v>
      </c>
      <c r="E595" s="9" t="s">
        <v>542</v>
      </c>
      <c r="F595" s="9" t="s">
        <v>1293</v>
      </c>
    </row>
    <row r="596" spans="1:6" x14ac:dyDescent="0.25">
      <c r="A596" s="9" t="s">
        <v>1294</v>
      </c>
      <c r="B596" s="9" t="s">
        <v>34</v>
      </c>
      <c r="C596" s="9" t="s">
        <v>34</v>
      </c>
      <c r="D596" s="9" t="s">
        <v>34</v>
      </c>
      <c r="E596" s="9" t="s">
        <v>662</v>
      </c>
      <c r="F596" s="9" t="s">
        <v>1295</v>
      </c>
    </row>
    <row r="597" spans="1:6" x14ac:dyDescent="0.25">
      <c r="A597" s="9" t="s">
        <v>1296</v>
      </c>
      <c r="B597" s="9" t="s">
        <v>56</v>
      </c>
      <c r="C597" s="9" t="s">
        <v>36</v>
      </c>
      <c r="D597" s="9" t="s">
        <v>36</v>
      </c>
      <c r="E597" s="9" t="s">
        <v>217</v>
      </c>
      <c r="F597" s="9" t="s">
        <v>1295</v>
      </c>
    </row>
    <row r="598" spans="1:6" x14ac:dyDescent="0.25">
      <c r="A598" s="9" t="s">
        <v>1297</v>
      </c>
      <c r="B598" s="9" t="s">
        <v>34</v>
      </c>
      <c r="C598" s="9" t="s">
        <v>37</v>
      </c>
      <c r="D598" s="9" t="s">
        <v>34</v>
      </c>
      <c r="E598" s="9" t="s">
        <v>174</v>
      </c>
      <c r="F598" s="9" t="s">
        <v>1298</v>
      </c>
    </row>
    <row r="599" spans="1:6" x14ac:dyDescent="0.25">
      <c r="A599" s="9" t="s">
        <v>1299</v>
      </c>
      <c r="B599" s="9" t="s">
        <v>40</v>
      </c>
      <c r="C599" s="9" t="s">
        <v>36</v>
      </c>
      <c r="D599" s="9" t="s">
        <v>36</v>
      </c>
      <c r="E599" s="9" t="s">
        <v>675</v>
      </c>
      <c r="F599" s="9" t="s">
        <v>1300</v>
      </c>
    </row>
    <row r="600" spans="1:6" x14ac:dyDescent="0.25">
      <c r="A600" s="9" t="s">
        <v>1301</v>
      </c>
      <c r="B600" s="9" t="s">
        <v>39</v>
      </c>
      <c r="C600" s="9" t="s">
        <v>39</v>
      </c>
      <c r="D600" s="9" t="s">
        <v>38</v>
      </c>
      <c r="E600" s="9" t="s">
        <v>1048</v>
      </c>
      <c r="F600" s="9" t="s">
        <v>1300</v>
      </c>
    </row>
    <row r="601" spans="1:6" x14ac:dyDescent="0.25">
      <c r="A601" s="9" t="s">
        <v>1302</v>
      </c>
      <c r="B601" s="9" t="s">
        <v>34</v>
      </c>
      <c r="C601" s="9" t="s">
        <v>34</v>
      </c>
      <c r="D601" s="9" t="s">
        <v>34</v>
      </c>
      <c r="E601" s="9" t="s">
        <v>278</v>
      </c>
      <c r="F601" s="9" t="s">
        <v>1303</v>
      </c>
    </row>
    <row r="602" spans="1:6" x14ac:dyDescent="0.25">
      <c r="A602" s="9" t="s">
        <v>1304</v>
      </c>
      <c r="B602" s="9" t="s">
        <v>34</v>
      </c>
      <c r="C602" s="9" t="s">
        <v>36</v>
      </c>
      <c r="D602" s="9" t="s">
        <v>37</v>
      </c>
      <c r="E602" s="9" t="s">
        <v>134</v>
      </c>
      <c r="F602" s="9" t="s">
        <v>1303</v>
      </c>
    </row>
    <row r="603" spans="1:6" x14ac:dyDescent="0.25">
      <c r="A603" s="9" t="s">
        <v>1305</v>
      </c>
      <c r="B603" s="9" t="s">
        <v>35</v>
      </c>
      <c r="C603" s="9" t="s">
        <v>34</v>
      </c>
      <c r="D603" s="9" t="s">
        <v>35</v>
      </c>
      <c r="E603" s="9" t="s">
        <v>191</v>
      </c>
      <c r="F603" s="9" t="s">
        <v>1306</v>
      </c>
    </row>
    <row r="604" spans="1:6" x14ac:dyDescent="0.25">
      <c r="A604" s="9" t="s">
        <v>1307</v>
      </c>
      <c r="B604" s="9" t="s">
        <v>37</v>
      </c>
      <c r="C604" s="9" t="s">
        <v>36</v>
      </c>
      <c r="D604" s="9" t="s">
        <v>39</v>
      </c>
      <c r="E604" s="9" t="s">
        <v>705</v>
      </c>
      <c r="F604" s="9" t="s">
        <v>1308</v>
      </c>
    </row>
    <row r="605" spans="1:6" x14ac:dyDescent="0.25">
      <c r="A605" s="9" t="s">
        <v>1309</v>
      </c>
      <c r="B605" s="9" t="s">
        <v>34</v>
      </c>
      <c r="C605" s="9" t="s">
        <v>36</v>
      </c>
      <c r="D605" s="9" t="s">
        <v>38</v>
      </c>
      <c r="E605" s="9" t="s">
        <v>202</v>
      </c>
      <c r="F605" s="9" t="s">
        <v>1310</v>
      </c>
    </row>
    <row r="606" spans="1:6" x14ac:dyDescent="0.25">
      <c r="A606" s="9" t="s">
        <v>1311</v>
      </c>
      <c r="B606" s="9" t="s">
        <v>35</v>
      </c>
      <c r="C606" s="9" t="s">
        <v>36</v>
      </c>
      <c r="D606" s="9" t="s">
        <v>36</v>
      </c>
      <c r="E606" s="9" t="s">
        <v>1229</v>
      </c>
      <c r="F606" s="9" t="s">
        <v>1312</v>
      </c>
    </row>
    <row r="607" spans="1:6" x14ac:dyDescent="0.25">
      <c r="A607" s="9" t="s">
        <v>1313</v>
      </c>
      <c r="B607" s="9" t="s">
        <v>40</v>
      </c>
      <c r="C607" s="9" t="s">
        <v>38</v>
      </c>
      <c r="D607" s="9" t="s">
        <v>36</v>
      </c>
      <c r="E607" s="9" t="s">
        <v>1314</v>
      </c>
      <c r="F607" s="9" t="s">
        <v>1315</v>
      </c>
    </row>
    <row r="608" spans="1:6" x14ac:dyDescent="0.25">
      <c r="A608" s="9" t="s">
        <v>1316</v>
      </c>
      <c r="B608" s="9" t="s">
        <v>37</v>
      </c>
      <c r="C608" s="9" t="s">
        <v>34</v>
      </c>
      <c r="D608" s="9" t="s">
        <v>38</v>
      </c>
      <c r="E608" s="9" t="s">
        <v>1317</v>
      </c>
      <c r="F608" s="9" t="s">
        <v>1315</v>
      </c>
    </row>
    <row r="609" spans="1:6" x14ac:dyDescent="0.25">
      <c r="A609" s="9" t="s">
        <v>1318</v>
      </c>
      <c r="B609" s="9" t="s">
        <v>37</v>
      </c>
      <c r="C609" s="9" t="s">
        <v>35</v>
      </c>
      <c r="D609" s="9" t="s">
        <v>35</v>
      </c>
      <c r="E609" s="9" t="s">
        <v>705</v>
      </c>
      <c r="F609" s="9" t="s">
        <v>1315</v>
      </c>
    </row>
    <row r="610" spans="1:6" x14ac:dyDescent="0.25">
      <c r="A610" s="9" t="s">
        <v>1319</v>
      </c>
      <c r="B610" s="9" t="s">
        <v>36</v>
      </c>
      <c r="C610" s="9" t="s">
        <v>34</v>
      </c>
      <c r="D610" s="9" t="s">
        <v>35</v>
      </c>
      <c r="E610" s="9" t="s">
        <v>374</v>
      </c>
      <c r="F610" s="9" t="s">
        <v>1320</v>
      </c>
    </row>
    <row r="611" spans="1:6" x14ac:dyDescent="0.25">
      <c r="A611" s="9" t="s">
        <v>1321</v>
      </c>
      <c r="B611" s="9" t="s">
        <v>37</v>
      </c>
      <c r="C611" s="9" t="s">
        <v>36</v>
      </c>
      <c r="D611" s="9" t="s">
        <v>39</v>
      </c>
      <c r="E611" s="9" t="s">
        <v>1322</v>
      </c>
      <c r="F611" s="9" t="s">
        <v>1323</v>
      </c>
    </row>
    <row r="612" spans="1:6" x14ac:dyDescent="0.25">
      <c r="A612" s="9" t="s">
        <v>1324</v>
      </c>
      <c r="B612" s="9" t="s">
        <v>38</v>
      </c>
      <c r="C612" s="9" t="s">
        <v>39</v>
      </c>
      <c r="D612" s="9" t="s">
        <v>37</v>
      </c>
      <c r="E612" s="9" t="s">
        <v>374</v>
      </c>
      <c r="F612" s="9" t="s">
        <v>1325</v>
      </c>
    </row>
    <row r="613" spans="1:6" x14ac:dyDescent="0.25">
      <c r="A613" s="9" t="s">
        <v>1326</v>
      </c>
      <c r="B613" s="9" t="s">
        <v>34</v>
      </c>
      <c r="C613" s="9" t="s">
        <v>36</v>
      </c>
      <c r="D613" s="9" t="s">
        <v>37</v>
      </c>
      <c r="E613" s="9" t="s">
        <v>1327</v>
      </c>
      <c r="F613" s="9" t="s">
        <v>1328</v>
      </c>
    </row>
    <row r="614" spans="1:6" x14ac:dyDescent="0.25">
      <c r="A614" s="9" t="s">
        <v>1329</v>
      </c>
      <c r="B614" s="9" t="s">
        <v>59</v>
      </c>
      <c r="C614" s="9" t="s">
        <v>36</v>
      </c>
      <c r="D614" s="9" t="s">
        <v>34</v>
      </c>
      <c r="E614" s="9" t="s">
        <v>503</v>
      </c>
      <c r="F614" s="9" t="s">
        <v>1328</v>
      </c>
    </row>
    <row r="615" spans="1:6" x14ac:dyDescent="0.25">
      <c r="A615" s="9" t="s">
        <v>1330</v>
      </c>
      <c r="B615" s="9" t="s">
        <v>37</v>
      </c>
      <c r="C615" s="9" t="s">
        <v>34</v>
      </c>
      <c r="D615" s="9" t="s">
        <v>36</v>
      </c>
      <c r="E615" s="9" t="s">
        <v>275</v>
      </c>
      <c r="F615" s="9" t="s">
        <v>1328</v>
      </c>
    </row>
    <row r="616" spans="1:6" x14ac:dyDescent="0.25">
      <c r="A616" s="9" t="s">
        <v>1331</v>
      </c>
      <c r="B616" s="9" t="s">
        <v>56</v>
      </c>
      <c r="C616" s="9" t="s">
        <v>35</v>
      </c>
      <c r="D616" s="9" t="s">
        <v>36</v>
      </c>
      <c r="E616" s="9" t="s">
        <v>470</v>
      </c>
      <c r="F616" s="9" t="s">
        <v>1332</v>
      </c>
    </row>
    <row r="617" spans="1:6" x14ac:dyDescent="0.25">
      <c r="A617" s="9" t="s">
        <v>1333</v>
      </c>
      <c r="B617" s="9" t="s">
        <v>36</v>
      </c>
      <c r="C617" s="9" t="s">
        <v>39</v>
      </c>
      <c r="D617" s="9" t="s">
        <v>39</v>
      </c>
      <c r="E617" s="9" t="s">
        <v>222</v>
      </c>
      <c r="F617" s="9" t="s">
        <v>1334</v>
      </c>
    </row>
    <row r="618" spans="1:6" x14ac:dyDescent="0.25">
      <c r="A618" s="9" t="s">
        <v>1335</v>
      </c>
      <c r="B618" s="9" t="s">
        <v>59</v>
      </c>
      <c r="C618" s="9" t="s">
        <v>40</v>
      </c>
      <c r="D618" s="9" t="s">
        <v>35</v>
      </c>
      <c r="E618" s="9" t="s">
        <v>171</v>
      </c>
      <c r="F618" s="9" t="s">
        <v>1336</v>
      </c>
    </row>
    <row r="619" spans="1:6" x14ac:dyDescent="0.25">
      <c r="A619" s="9" t="s">
        <v>1337</v>
      </c>
      <c r="B619" s="9" t="s">
        <v>34</v>
      </c>
      <c r="C619" s="9" t="s">
        <v>35</v>
      </c>
      <c r="D619" s="9" t="s">
        <v>39</v>
      </c>
      <c r="E619" s="9" t="s">
        <v>670</v>
      </c>
      <c r="F619" s="9" t="s">
        <v>1336</v>
      </c>
    </row>
    <row r="620" spans="1:6" x14ac:dyDescent="0.25">
      <c r="A620" s="9" t="s">
        <v>1338</v>
      </c>
      <c r="B620" s="9" t="s">
        <v>34</v>
      </c>
      <c r="C620" s="9" t="s">
        <v>38</v>
      </c>
      <c r="D620" s="9" t="s">
        <v>36</v>
      </c>
      <c r="E620" s="9" t="s">
        <v>165</v>
      </c>
      <c r="F620" s="9" t="s">
        <v>1336</v>
      </c>
    </row>
    <row r="621" spans="1:6" x14ac:dyDescent="0.25">
      <c r="A621" s="9" t="s">
        <v>1339</v>
      </c>
      <c r="B621" s="9" t="s">
        <v>36</v>
      </c>
      <c r="C621" s="9" t="s">
        <v>38</v>
      </c>
      <c r="D621" s="9" t="s">
        <v>39</v>
      </c>
      <c r="E621" s="9" t="s">
        <v>662</v>
      </c>
      <c r="F621" s="9" t="s">
        <v>1340</v>
      </c>
    </row>
    <row r="622" spans="1:6" x14ac:dyDescent="0.25">
      <c r="A622" s="9" t="s">
        <v>1341</v>
      </c>
      <c r="B622" s="9" t="s">
        <v>37</v>
      </c>
      <c r="C622" s="9" t="s">
        <v>39</v>
      </c>
      <c r="D622" s="9" t="s">
        <v>34</v>
      </c>
      <c r="E622" s="9" t="s">
        <v>925</v>
      </c>
      <c r="F622" s="9" t="s">
        <v>1342</v>
      </c>
    </row>
    <row r="623" spans="1:6" x14ac:dyDescent="0.25">
      <c r="A623" s="9" t="s">
        <v>1343</v>
      </c>
      <c r="B623" s="9" t="s">
        <v>34</v>
      </c>
      <c r="C623" s="9" t="s">
        <v>35</v>
      </c>
      <c r="D623" s="9" t="s">
        <v>36</v>
      </c>
      <c r="E623" s="9" t="s">
        <v>1344</v>
      </c>
      <c r="F623" s="9" t="s">
        <v>1345</v>
      </c>
    </row>
    <row r="624" spans="1:6" x14ac:dyDescent="0.25">
      <c r="A624" s="9" t="s">
        <v>1346</v>
      </c>
      <c r="B624" s="9" t="s">
        <v>36</v>
      </c>
      <c r="C624" s="9" t="s">
        <v>36</v>
      </c>
      <c r="D624" s="9" t="s">
        <v>36</v>
      </c>
      <c r="E624" s="9" t="s">
        <v>810</v>
      </c>
      <c r="F624" s="9" t="s">
        <v>1347</v>
      </c>
    </row>
    <row r="625" spans="1:6" x14ac:dyDescent="0.25">
      <c r="A625" s="9" t="s">
        <v>1348</v>
      </c>
      <c r="B625" s="9" t="s">
        <v>34</v>
      </c>
      <c r="C625" s="9" t="s">
        <v>34</v>
      </c>
      <c r="D625" s="9" t="s">
        <v>34</v>
      </c>
      <c r="E625" s="9" t="s">
        <v>1349</v>
      </c>
      <c r="F625" s="9" t="s">
        <v>1347</v>
      </c>
    </row>
    <row r="626" spans="1:6" x14ac:dyDescent="0.25">
      <c r="A626" s="9" t="s">
        <v>1350</v>
      </c>
      <c r="B626" s="9" t="s">
        <v>35</v>
      </c>
      <c r="C626" s="9" t="s">
        <v>35</v>
      </c>
      <c r="D626" s="9" t="s">
        <v>39</v>
      </c>
      <c r="E626" s="9" t="s">
        <v>333</v>
      </c>
      <c r="F626" s="9" t="s">
        <v>1347</v>
      </c>
    </row>
    <row r="627" spans="1:6" x14ac:dyDescent="0.25">
      <c r="A627" s="9" t="s">
        <v>1351</v>
      </c>
      <c r="B627" s="9" t="s">
        <v>37</v>
      </c>
      <c r="C627" s="9" t="s">
        <v>38</v>
      </c>
      <c r="D627" s="9" t="s">
        <v>37</v>
      </c>
      <c r="E627" s="9" t="s">
        <v>244</v>
      </c>
      <c r="F627" s="9" t="s">
        <v>1352</v>
      </c>
    </row>
    <row r="628" spans="1:6" x14ac:dyDescent="0.25">
      <c r="A628" s="9" t="s">
        <v>1353</v>
      </c>
      <c r="B628" s="9" t="s">
        <v>40</v>
      </c>
      <c r="C628" s="9" t="s">
        <v>35</v>
      </c>
      <c r="D628" s="9" t="s">
        <v>34</v>
      </c>
      <c r="E628" s="9" t="s">
        <v>378</v>
      </c>
      <c r="F628" s="9" t="s">
        <v>1352</v>
      </c>
    </row>
    <row r="629" spans="1:6" x14ac:dyDescent="0.25">
      <c r="A629" s="9" t="s">
        <v>1354</v>
      </c>
      <c r="B629" s="9" t="s">
        <v>39</v>
      </c>
      <c r="C629" s="9" t="s">
        <v>37</v>
      </c>
      <c r="D629" s="9" t="s">
        <v>39</v>
      </c>
      <c r="E629" s="9" t="s">
        <v>772</v>
      </c>
      <c r="F629" s="9" t="s">
        <v>1355</v>
      </c>
    </row>
    <row r="630" spans="1:6" x14ac:dyDescent="0.25">
      <c r="A630" s="9" t="s">
        <v>1356</v>
      </c>
      <c r="B630" s="9" t="s">
        <v>40</v>
      </c>
      <c r="C630" s="9" t="s">
        <v>40</v>
      </c>
      <c r="D630" s="9" t="s">
        <v>39</v>
      </c>
      <c r="E630" s="9" t="s">
        <v>88</v>
      </c>
      <c r="F630" s="9" t="s">
        <v>1357</v>
      </c>
    </row>
    <row r="631" spans="1:6" x14ac:dyDescent="0.25">
      <c r="A631" s="9" t="s">
        <v>1358</v>
      </c>
      <c r="B631" s="9" t="s">
        <v>35</v>
      </c>
      <c r="C631" s="9" t="s">
        <v>36</v>
      </c>
      <c r="D631" s="9" t="s">
        <v>35</v>
      </c>
      <c r="E631" s="9" t="s">
        <v>286</v>
      </c>
      <c r="F631" s="9" t="s">
        <v>1359</v>
      </c>
    </row>
    <row r="632" spans="1:6" x14ac:dyDescent="0.25">
      <c r="A632" s="9" t="s">
        <v>1360</v>
      </c>
      <c r="B632" s="9" t="s">
        <v>39</v>
      </c>
      <c r="C632" s="9" t="s">
        <v>39</v>
      </c>
      <c r="D632" s="9" t="s">
        <v>38</v>
      </c>
      <c r="E632" s="9" t="s">
        <v>703</v>
      </c>
      <c r="F632" s="9" t="s">
        <v>1361</v>
      </c>
    </row>
    <row r="633" spans="1:6" x14ac:dyDescent="0.25">
      <c r="A633" s="9" t="s">
        <v>1362</v>
      </c>
      <c r="B633" s="9" t="s">
        <v>36</v>
      </c>
      <c r="C633" s="9" t="s">
        <v>35</v>
      </c>
      <c r="D633" s="9" t="s">
        <v>34</v>
      </c>
      <c r="E633" s="9" t="s">
        <v>580</v>
      </c>
      <c r="F633" s="9" t="s">
        <v>1363</v>
      </c>
    </row>
    <row r="634" spans="1:6" x14ac:dyDescent="0.25">
      <c r="A634" s="9" t="s">
        <v>1364</v>
      </c>
      <c r="B634" s="9" t="s">
        <v>56</v>
      </c>
      <c r="C634" s="9" t="s">
        <v>39</v>
      </c>
      <c r="D634" s="9" t="s">
        <v>37</v>
      </c>
      <c r="E634" s="9" t="s">
        <v>512</v>
      </c>
      <c r="F634" s="9" t="s">
        <v>1365</v>
      </c>
    </row>
    <row r="635" spans="1:6" x14ac:dyDescent="0.25">
      <c r="A635" s="9" t="s">
        <v>1366</v>
      </c>
      <c r="B635" s="9" t="s">
        <v>40</v>
      </c>
      <c r="C635" s="9" t="s">
        <v>35</v>
      </c>
      <c r="D635" s="9" t="s">
        <v>38</v>
      </c>
      <c r="E635" s="9" t="s">
        <v>307</v>
      </c>
      <c r="F635" s="9" t="s">
        <v>1367</v>
      </c>
    </row>
    <row r="636" spans="1:6" x14ac:dyDescent="0.25">
      <c r="A636" s="9" t="s">
        <v>1368</v>
      </c>
      <c r="B636" s="9" t="s">
        <v>40</v>
      </c>
      <c r="C636" s="9" t="s">
        <v>39</v>
      </c>
      <c r="D636" s="9" t="s">
        <v>35</v>
      </c>
      <c r="E636" s="9" t="s">
        <v>547</v>
      </c>
      <c r="F636" s="9" t="s">
        <v>1369</v>
      </c>
    </row>
    <row r="637" spans="1:6" x14ac:dyDescent="0.25">
      <c r="A637" s="9" t="s">
        <v>1370</v>
      </c>
      <c r="B637" s="9" t="s">
        <v>37</v>
      </c>
      <c r="C637" s="9" t="s">
        <v>34</v>
      </c>
      <c r="D637" s="9" t="s">
        <v>35</v>
      </c>
      <c r="E637" s="9" t="s">
        <v>840</v>
      </c>
      <c r="F637" s="9" t="s">
        <v>1371</v>
      </c>
    </row>
    <row r="638" spans="1:6" x14ac:dyDescent="0.25">
      <c r="A638" s="9" t="s">
        <v>1372</v>
      </c>
      <c r="B638" s="9" t="s">
        <v>39</v>
      </c>
      <c r="C638" s="9" t="s">
        <v>40</v>
      </c>
      <c r="D638" s="9" t="s">
        <v>36</v>
      </c>
      <c r="E638" s="9" t="s">
        <v>624</v>
      </c>
      <c r="F638" s="9" t="s">
        <v>1373</v>
      </c>
    </row>
    <row r="639" spans="1:6" x14ac:dyDescent="0.25">
      <c r="A639" s="9" t="s">
        <v>1374</v>
      </c>
      <c r="B639" s="9" t="s">
        <v>40</v>
      </c>
      <c r="C639" s="9" t="s">
        <v>39</v>
      </c>
      <c r="D639" s="9" t="s">
        <v>36</v>
      </c>
      <c r="E639" s="9" t="s">
        <v>117</v>
      </c>
      <c r="F639" s="9" t="s">
        <v>1375</v>
      </c>
    </row>
    <row r="640" spans="1:6" x14ac:dyDescent="0.25">
      <c r="A640" s="9" t="s">
        <v>1376</v>
      </c>
      <c r="B640" s="9" t="s">
        <v>38</v>
      </c>
      <c r="C640" s="9" t="s">
        <v>40</v>
      </c>
      <c r="D640" s="9" t="s">
        <v>39</v>
      </c>
      <c r="E640" s="9" t="s">
        <v>365</v>
      </c>
      <c r="F640" s="9" t="s">
        <v>1375</v>
      </c>
    </row>
    <row r="641" spans="1:6" x14ac:dyDescent="0.25">
      <c r="A641" s="9" t="s">
        <v>1377</v>
      </c>
      <c r="B641" s="9" t="s">
        <v>36</v>
      </c>
      <c r="C641" s="9" t="s">
        <v>34</v>
      </c>
      <c r="D641" s="9" t="s">
        <v>39</v>
      </c>
      <c r="E641" s="9" t="s">
        <v>874</v>
      </c>
      <c r="F641" s="9" t="s">
        <v>1378</v>
      </c>
    </row>
    <row r="642" spans="1:6" x14ac:dyDescent="0.25">
      <c r="A642" s="9" t="s">
        <v>1379</v>
      </c>
      <c r="B642" s="9" t="s">
        <v>38</v>
      </c>
      <c r="C642" s="9" t="s">
        <v>36</v>
      </c>
      <c r="D642" s="9" t="s">
        <v>39</v>
      </c>
      <c r="E642" s="9" t="s">
        <v>312</v>
      </c>
      <c r="F642" s="9" t="s">
        <v>1378</v>
      </c>
    </row>
    <row r="643" spans="1:6" x14ac:dyDescent="0.25">
      <c r="A643" s="9" t="s">
        <v>1380</v>
      </c>
      <c r="B643" s="9" t="s">
        <v>39</v>
      </c>
      <c r="C643" s="9" t="s">
        <v>35</v>
      </c>
      <c r="D643" s="9" t="s">
        <v>34</v>
      </c>
      <c r="E643" s="9" t="s">
        <v>1381</v>
      </c>
      <c r="F643" s="9" t="s">
        <v>1382</v>
      </c>
    </row>
    <row r="644" spans="1:6" x14ac:dyDescent="0.25">
      <c r="A644" s="9" t="s">
        <v>1383</v>
      </c>
      <c r="B644" s="9" t="s">
        <v>40</v>
      </c>
      <c r="C644" s="9" t="s">
        <v>37</v>
      </c>
      <c r="D644" s="9" t="s">
        <v>35</v>
      </c>
      <c r="E644" s="9" t="s">
        <v>264</v>
      </c>
      <c r="F644" s="9" t="s">
        <v>1384</v>
      </c>
    </row>
    <row r="645" spans="1:6" x14ac:dyDescent="0.25">
      <c r="A645" s="9" t="s">
        <v>1385</v>
      </c>
      <c r="B645" s="9" t="s">
        <v>36</v>
      </c>
      <c r="C645" s="9" t="s">
        <v>39</v>
      </c>
      <c r="D645" s="9" t="s">
        <v>39</v>
      </c>
      <c r="E645" s="9" t="s">
        <v>703</v>
      </c>
      <c r="F645" s="9" t="s">
        <v>1386</v>
      </c>
    </row>
    <row r="646" spans="1:6" x14ac:dyDescent="0.25">
      <c r="A646" s="9" t="s">
        <v>1387</v>
      </c>
      <c r="B646" s="9" t="s">
        <v>56</v>
      </c>
      <c r="C646" s="9" t="s">
        <v>34</v>
      </c>
      <c r="D646" s="9" t="s">
        <v>36</v>
      </c>
      <c r="E646" s="9" t="s">
        <v>73</v>
      </c>
      <c r="F646" s="9" t="s">
        <v>1386</v>
      </c>
    </row>
    <row r="647" spans="1:6" x14ac:dyDescent="0.25">
      <c r="A647" s="9" t="s">
        <v>1388</v>
      </c>
      <c r="B647" s="9" t="s">
        <v>37</v>
      </c>
      <c r="C647" s="9" t="s">
        <v>36</v>
      </c>
      <c r="D647" s="9" t="s">
        <v>38</v>
      </c>
      <c r="E647" s="9" t="s">
        <v>423</v>
      </c>
      <c r="F647" s="9" t="s">
        <v>1389</v>
      </c>
    </row>
    <row r="648" spans="1:6" x14ac:dyDescent="0.25">
      <c r="A648" s="9" t="s">
        <v>1390</v>
      </c>
      <c r="B648" s="9" t="s">
        <v>35</v>
      </c>
      <c r="C648" s="9" t="s">
        <v>35</v>
      </c>
      <c r="D648" s="9" t="s">
        <v>37</v>
      </c>
      <c r="E648" s="9" t="s">
        <v>114</v>
      </c>
      <c r="F648" s="9" t="s">
        <v>1391</v>
      </c>
    </row>
    <row r="649" spans="1:6" x14ac:dyDescent="0.25">
      <c r="A649" s="9" t="s">
        <v>1392</v>
      </c>
      <c r="B649" s="9" t="s">
        <v>56</v>
      </c>
      <c r="C649" s="9" t="s">
        <v>34</v>
      </c>
      <c r="D649" s="9" t="s">
        <v>34</v>
      </c>
      <c r="E649" s="9" t="s">
        <v>137</v>
      </c>
      <c r="F649" s="9" t="s">
        <v>1391</v>
      </c>
    </row>
    <row r="650" spans="1:6" x14ac:dyDescent="0.25">
      <c r="A650" s="9" t="s">
        <v>1393</v>
      </c>
      <c r="B650" s="9" t="s">
        <v>38</v>
      </c>
      <c r="C650" s="9" t="s">
        <v>37</v>
      </c>
      <c r="D650" s="9" t="s">
        <v>38</v>
      </c>
      <c r="E650" s="9" t="s">
        <v>333</v>
      </c>
      <c r="F650" s="9" t="s">
        <v>1394</v>
      </c>
    </row>
    <row r="651" spans="1:6" x14ac:dyDescent="0.25">
      <c r="A651" s="9" t="s">
        <v>1395</v>
      </c>
      <c r="B651" s="9" t="s">
        <v>40</v>
      </c>
      <c r="C651" s="9" t="s">
        <v>39</v>
      </c>
      <c r="D651" s="9" t="s">
        <v>38</v>
      </c>
      <c r="E651" s="9" t="s">
        <v>492</v>
      </c>
      <c r="F651" s="9" t="s">
        <v>1396</v>
      </c>
    </row>
    <row r="652" spans="1:6" x14ac:dyDescent="0.25">
      <c r="A652" s="9" t="s">
        <v>1397</v>
      </c>
      <c r="B652" s="9" t="s">
        <v>40</v>
      </c>
      <c r="C652" s="9" t="s">
        <v>38</v>
      </c>
      <c r="D652" s="9" t="s">
        <v>36</v>
      </c>
      <c r="E652" s="9" t="s">
        <v>300</v>
      </c>
      <c r="F652" s="9" t="s">
        <v>1398</v>
      </c>
    </row>
    <row r="653" spans="1:6" x14ac:dyDescent="0.25">
      <c r="A653" s="9" t="s">
        <v>1399</v>
      </c>
      <c r="B653" s="9" t="s">
        <v>36</v>
      </c>
      <c r="C653" s="9" t="s">
        <v>38</v>
      </c>
      <c r="D653" s="9" t="s">
        <v>36</v>
      </c>
      <c r="E653" s="9" t="s">
        <v>340</v>
      </c>
      <c r="F653" s="9" t="s">
        <v>1400</v>
      </c>
    </row>
    <row r="654" spans="1:6" x14ac:dyDescent="0.25">
      <c r="A654" s="9" t="s">
        <v>1401</v>
      </c>
      <c r="B654" s="9" t="s">
        <v>37</v>
      </c>
      <c r="C654" s="9" t="s">
        <v>39</v>
      </c>
      <c r="D654" s="9" t="s">
        <v>39</v>
      </c>
      <c r="E654" s="9" t="s">
        <v>297</v>
      </c>
      <c r="F654" s="9" t="s">
        <v>1402</v>
      </c>
    </row>
    <row r="655" spans="1:6" x14ac:dyDescent="0.25">
      <c r="A655" s="9" t="s">
        <v>1403</v>
      </c>
      <c r="B655" s="9" t="s">
        <v>37</v>
      </c>
      <c r="C655" s="9" t="s">
        <v>36</v>
      </c>
      <c r="D655" s="9" t="s">
        <v>37</v>
      </c>
      <c r="E655" s="9" t="s">
        <v>150</v>
      </c>
      <c r="F655" s="9" t="s">
        <v>1402</v>
      </c>
    </row>
    <row r="656" spans="1:6" x14ac:dyDescent="0.25">
      <c r="A656" s="9" t="s">
        <v>1404</v>
      </c>
      <c r="B656" s="9" t="s">
        <v>40</v>
      </c>
      <c r="C656" s="9" t="s">
        <v>40</v>
      </c>
      <c r="D656" s="9" t="s">
        <v>38</v>
      </c>
      <c r="E656" s="9" t="s">
        <v>109</v>
      </c>
      <c r="F656" s="9" t="s">
        <v>1405</v>
      </c>
    </row>
    <row r="657" spans="1:6" x14ac:dyDescent="0.25">
      <c r="A657" s="9" t="s">
        <v>1406</v>
      </c>
      <c r="B657" s="9" t="s">
        <v>36</v>
      </c>
      <c r="C657" s="9" t="s">
        <v>34</v>
      </c>
      <c r="D657" s="9" t="s">
        <v>35</v>
      </c>
      <c r="E657" s="9" t="s">
        <v>868</v>
      </c>
      <c r="F657" s="9" t="s">
        <v>1407</v>
      </c>
    </row>
    <row r="658" spans="1:6" x14ac:dyDescent="0.25">
      <c r="A658" s="9" t="s">
        <v>1408</v>
      </c>
      <c r="B658" s="9" t="s">
        <v>39</v>
      </c>
      <c r="C658" s="9" t="s">
        <v>37</v>
      </c>
      <c r="D658" s="9" t="s">
        <v>37</v>
      </c>
      <c r="E658" s="9" t="s">
        <v>1409</v>
      </c>
      <c r="F658" s="9" t="s">
        <v>1407</v>
      </c>
    </row>
    <row r="659" spans="1:6" x14ac:dyDescent="0.25">
      <c r="A659" s="9" t="s">
        <v>1410</v>
      </c>
      <c r="B659" s="9" t="s">
        <v>36</v>
      </c>
      <c r="C659" s="9" t="s">
        <v>34</v>
      </c>
      <c r="D659" s="9" t="s">
        <v>39</v>
      </c>
      <c r="E659" s="9" t="s">
        <v>174</v>
      </c>
      <c r="F659" s="9" t="s">
        <v>1411</v>
      </c>
    </row>
    <row r="660" spans="1:6" x14ac:dyDescent="0.25">
      <c r="A660" s="9" t="s">
        <v>1412</v>
      </c>
      <c r="B660" s="9" t="s">
        <v>35</v>
      </c>
      <c r="C660" s="9" t="s">
        <v>38</v>
      </c>
      <c r="D660" s="9" t="s">
        <v>38</v>
      </c>
      <c r="E660" s="9" t="s">
        <v>792</v>
      </c>
      <c r="F660" s="9" t="s">
        <v>1411</v>
      </c>
    </row>
    <row r="661" spans="1:6" x14ac:dyDescent="0.25">
      <c r="A661" s="9" t="s">
        <v>1413</v>
      </c>
      <c r="B661" s="9" t="s">
        <v>59</v>
      </c>
      <c r="C661" s="9" t="s">
        <v>39</v>
      </c>
      <c r="D661" s="9" t="s">
        <v>38</v>
      </c>
      <c r="E661" s="9" t="s">
        <v>363</v>
      </c>
      <c r="F661" s="9" t="s">
        <v>1414</v>
      </c>
    </row>
    <row r="662" spans="1:6" x14ac:dyDescent="0.25">
      <c r="A662" s="9" t="s">
        <v>1415</v>
      </c>
      <c r="B662" s="9" t="s">
        <v>40</v>
      </c>
      <c r="C662" s="9" t="s">
        <v>35</v>
      </c>
      <c r="D662" s="9" t="s">
        <v>34</v>
      </c>
      <c r="E662" s="9" t="s">
        <v>105</v>
      </c>
      <c r="F662" s="9" t="s">
        <v>1416</v>
      </c>
    </row>
    <row r="663" spans="1:6" x14ac:dyDescent="0.25">
      <c r="A663" s="9" t="s">
        <v>1417</v>
      </c>
      <c r="B663" s="9" t="s">
        <v>36</v>
      </c>
      <c r="C663" s="9" t="s">
        <v>34</v>
      </c>
      <c r="D663" s="9" t="s">
        <v>39</v>
      </c>
      <c r="E663" s="9" t="s">
        <v>1183</v>
      </c>
      <c r="F663" s="9" t="s">
        <v>1418</v>
      </c>
    </row>
    <row r="664" spans="1:6" x14ac:dyDescent="0.25">
      <c r="A664" s="9" t="s">
        <v>1419</v>
      </c>
      <c r="B664" s="9" t="s">
        <v>38</v>
      </c>
      <c r="C664" s="9" t="s">
        <v>34</v>
      </c>
      <c r="D664" s="9" t="s">
        <v>39</v>
      </c>
      <c r="E664" s="9" t="s">
        <v>363</v>
      </c>
      <c r="F664" s="9" t="s">
        <v>1420</v>
      </c>
    </row>
    <row r="665" spans="1:6" x14ac:dyDescent="0.25">
      <c r="A665" s="9" t="s">
        <v>1421</v>
      </c>
      <c r="B665" s="9" t="s">
        <v>39</v>
      </c>
      <c r="C665" s="9" t="s">
        <v>35</v>
      </c>
      <c r="D665" s="9" t="s">
        <v>35</v>
      </c>
      <c r="E665" s="9" t="s">
        <v>168</v>
      </c>
      <c r="F665" s="9" t="s">
        <v>1420</v>
      </c>
    </row>
    <row r="666" spans="1:6" x14ac:dyDescent="0.25">
      <c r="A666" s="9" t="s">
        <v>1422</v>
      </c>
      <c r="B666" s="9" t="s">
        <v>35</v>
      </c>
      <c r="C666" s="9" t="s">
        <v>39</v>
      </c>
      <c r="D666" s="9" t="s">
        <v>35</v>
      </c>
      <c r="E666" s="9" t="s">
        <v>228</v>
      </c>
      <c r="F666" s="9" t="s">
        <v>1423</v>
      </c>
    </row>
    <row r="667" spans="1:6" x14ac:dyDescent="0.25">
      <c r="A667" s="9" t="s">
        <v>1424</v>
      </c>
      <c r="B667" s="9" t="s">
        <v>38</v>
      </c>
      <c r="C667" s="9" t="s">
        <v>37</v>
      </c>
      <c r="D667" s="9" t="s">
        <v>35</v>
      </c>
      <c r="E667" s="9" t="s">
        <v>730</v>
      </c>
      <c r="F667" s="9" t="s">
        <v>1425</v>
      </c>
    </row>
    <row r="668" spans="1:6" x14ac:dyDescent="0.25">
      <c r="A668" s="9" t="s">
        <v>1426</v>
      </c>
      <c r="B668" s="9" t="s">
        <v>59</v>
      </c>
      <c r="C668" s="9" t="s">
        <v>38</v>
      </c>
      <c r="D668" s="9" t="s">
        <v>39</v>
      </c>
      <c r="E668" s="9" t="s">
        <v>214</v>
      </c>
      <c r="F668" s="9" t="s">
        <v>1425</v>
      </c>
    </row>
    <row r="669" spans="1:6" x14ac:dyDescent="0.25">
      <c r="A669" s="9" t="s">
        <v>1427</v>
      </c>
      <c r="B669" s="9" t="s">
        <v>38</v>
      </c>
      <c r="C669" s="9" t="s">
        <v>37</v>
      </c>
      <c r="D669" s="9" t="s">
        <v>39</v>
      </c>
      <c r="E669" s="9" t="s">
        <v>636</v>
      </c>
      <c r="F669" s="9" t="s">
        <v>1428</v>
      </c>
    </row>
    <row r="670" spans="1:6" x14ac:dyDescent="0.25">
      <c r="A670" s="9" t="s">
        <v>1429</v>
      </c>
      <c r="B670" s="9" t="s">
        <v>37</v>
      </c>
      <c r="C670" s="9" t="s">
        <v>36</v>
      </c>
      <c r="D670" s="9" t="s">
        <v>37</v>
      </c>
      <c r="E670" s="9" t="s">
        <v>466</v>
      </c>
      <c r="F670" s="9" t="s">
        <v>1430</v>
      </c>
    </row>
    <row r="671" spans="1:6" x14ac:dyDescent="0.25">
      <c r="A671" s="9" t="s">
        <v>1431</v>
      </c>
      <c r="B671" s="9" t="s">
        <v>59</v>
      </c>
      <c r="C671" s="9" t="s">
        <v>34</v>
      </c>
      <c r="D671" s="9" t="s">
        <v>39</v>
      </c>
      <c r="E671" s="9" t="s">
        <v>1229</v>
      </c>
      <c r="F671" s="9" t="s">
        <v>1430</v>
      </c>
    </row>
    <row r="672" spans="1:6" x14ac:dyDescent="0.25">
      <c r="A672" s="9" t="s">
        <v>1432</v>
      </c>
      <c r="B672" s="9" t="s">
        <v>34</v>
      </c>
      <c r="C672" s="9" t="s">
        <v>38</v>
      </c>
      <c r="D672" s="9" t="s">
        <v>39</v>
      </c>
      <c r="E672" s="9" t="s">
        <v>1022</v>
      </c>
      <c r="F672" s="9" t="s">
        <v>1433</v>
      </c>
    </row>
    <row r="673" spans="1:6" x14ac:dyDescent="0.25">
      <c r="A673" s="9" t="s">
        <v>1434</v>
      </c>
      <c r="B673" s="9" t="s">
        <v>59</v>
      </c>
      <c r="C673" s="9" t="s">
        <v>38</v>
      </c>
      <c r="D673" s="9" t="s">
        <v>35</v>
      </c>
      <c r="E673" s="9" t="s">
        <v>466</v>
      </c>
      <c r="F673" s="9" t="s">
        <v>1433</v>
      </c>
    </row>
    <row r="674" spans="1:6" x14ac:dyDescent="0.25">
      <c r="A674" s="9" t="s">
        <v>1435</v>
      </c>
      <c r="B674" s="9" t="s">
        <v>39</v>
      </c>
      <c r="C674" s="9" t="s">
        <v>36</v>
      </c>
      <c r="D674" s="9" t="s">
        <v>35</v>
      </c>
      <c r="E674" s="9" t="s">
        <v>478</v>
      </c>
      <c r="F674" s="9" t="s">
        <v>1436</v>
      </c>
    </row>
    <row r="675" spans="1:6" x14ac:dyDescent="0.25">
      <c r="A675" s="9" t="s">
        <v>1437</v>
      </c>
      <c r="B675" s="9" t="s">
        <v>36</v>
      </c>
      <c r="C675" s="9" t="s">
        <v>37</v>
      </c>
      <c r="D675" s="9" t="s">
        <v>39</v>
      </c>
      <c r="E675" s="9" t="s">
        <v>411</v>
      </c>
      <c r="F675" s="9" t="s">
        <v>1438</v>
      </c>
    </row>
    <row r="676" spans="1:6" x14ac:dyDescent="0.25">
      <c r="A676" s="9" t="s">
        <v>1439</v>
      </c>
      <c r="B676" s="9" t="s">
        <v>40</v>
      </c>
      <c r="C676" s="9" t="s">
        <v>35</v>
      </c>
      <c r="D676" s="9" t="s">
        <v>36</v>
      </c>
      <c r="E676" s="9" t="s">
        <v>307</v>
      </c>
      <c r="F676" s="9" t="s">
        <v>1438</v>
      </c>
    </row>
    <row r="677" spans="1:6" x14ac:dyDescent="0.25">
      <c r="A677" s="9" t="s">
        <v>1440</v>
      </c>
      <c r="B677" s="9" t="s">
        <v>36</v>
      </c>
      <c r="C677" s="9" t="s">
        <v>36</v>
      </c>
      <c r="D677" s="9" t="s">
        <v>37</v>
      </c>
      <c r="E677" s="9" t="s">
        <v>697</v>
      </c>
      <c r="F677" s="9" t="s">
        <v>1441</v>
      </c>
    </row>
    <row r="678" spans="1:6" x14ac:dyDescent="0.25">
      <c r="A678" s="9" t="s">
        <v>1442</v>
      </c>
      <c r="B678" s="9" t="s">
        <v>35</v>
      </c>
      <c r="C678" s="9" t="s">
        <v>36</v>
      </c>
      <c r="D678" s="9" t="s">
        <v>38</v>
      </c>
      <c r="E678" s="9" t="s">
        <v>1443</v>
      </c>
      <c r="F678" s="9" t="s">
        <v>1441</v>
      </c>
    </row>
    <row r="679" spans="1:6" x14ac:dyDescent="0.25">
      <c r="A679" s="9" t="s">
        <v>1444</v>
      </c>
      <c r="B679" s="9" t="s">
        <v>36</v>
      </c>
      <c r="C679" s="9" t="s">
        <v>37</v>
      </c>
      <c r="D679" s="9" t="s">
        <v>37</v>
      </c>
      <c r="E679" s="9" t="s">
        <v>114</v>
      </c>
      <c r="F679" s="9" t="s">
        <v>1445</v>
      </c>
    </row>
    <row r="680" spans="1:6" x14ac:dyDescent="0.25">
      <c r="A680" s="9" t="s">
        <v>1446</v>
      </c>
      <c r="B680" s="9" t="s">
        <v>39</v>
      </c>
      <c r="C680" s="9" t="s">
        <v>36</v>
      </c>
      <c r="D680" s="9" t="s">
        <v>39</v>
      </c>
      <c r="E680" s="9" t="s">
        <v>494</v>
      </c>
      <c r="F680" s="9" t="s">
        <v>1447</v>
      </c>
    </row>
    <row r="681" spans="1:6" x14ac:dyDescent="0.25">
      <c r="A681" s="9" t="s">
        <v>1448</v>
      </c>
      <c r="B681" s="9" t="s">
        <v>40</v>
      </c>
      <c r="C681" s="9" t="s">
        <v>36</v>
      </c>
      <c r="D681" s="9" t="s">
        <v>35</v>
      </c>
      <c r="E681" s="9" t="s">
        <v>225</v>
      </c>
      <c r="F681" s="9" t="s">
        <v>1447</v>
      </c>
    </row>
    <row r="682" spans="1:6" x14ac:dyDescent="0.25">
      <c r="A682" s="9" t="s">
        <v>1449</v>
      </c>
      <c r="B682" s="9" t="s">
        <v>39</v>
      </c>
      <c r="C682" s="9" t="s">
        <v>36</v>
      </c>
      <c r="D682" s="9" t="s">
        <v>39</v>
      </c>
      <c r="E682" s="9" t="s">
        <v>188</v>
      </c>
      <c r="F682" s="9" t="s">
        <v>1447</v>
      </c>
    </row>
    <row r="683" spans="1:6" x14ac:dyDescent="0.25">
      <c r="A683" s="9" t="s">
        <v>1450</v>
      </c>
      <c r="B683" s="9" t="s">
        <v>36</v>
      </c>
      <c r="C683" s="9" t="s">
        <v>36</v>
      </c>
      <c r="D683" s="9" t="s">
        <v>39</v>
      </c>
      <c r="E683" s="9" t="s">
        <v>365</v>
      </c>
      <c r="F683" s="9" t="s">
        <v>1447</v>
      </c>
    </row>
    <row r="684" spans="1:6" x14ac:dyDescent="0.25">
      <c r="A684" s="9" t="s">
        <v>1451</v>
      </c>
      <c r="B684" s="9" t="s">
        <v>36</v>
      </c>
      <c r="C684" s="9" t="s">
        <v>34</v>
      </c>
      <c r="D684" s="9" t="s">
        <v>34</v>
      </c>
      <c r="E684" s="9" t="s">
        <v>754</v>
      </c>
      <c r="F684" s="9" t="s">
        <v>1452</v>
      </c>
    </row>
    <row r="685" spans="1:6" x14ac:dyDescent="0.25">
      <c r="A685" s="9" t="s">
        <v>1453</v>
      </c>
      <c r="B685" s="9" t="s">
        <v>35</v>
      </c>
      <c r="C685" s="9" t="s">
        <v>34</v>
      </c>
      <c r="D685" s="9" t="s">
        <v>38</v>
      </c>
      <c r="E685" s="9" t="s">
        <v>225</v>
      </c>
      <c r="F685" s="9" t="s">
        <v>1452</v>
      </c>
    </row>
    <row r="686" spans="1:6" x14ac:dyDescent="0.25">
      <c r="A686" s="9" t="s">
        <v>1454</v>
      </c>
      <c r="B686" s="9" t="s">
        <v>36</v>
      </c>
      <c r="C686" s="9" t="s">
        <v>35</v>
      </c>
      <c r="D686" s="9" t="s">
        <v>35</v>
      </c>
      <c r="E686" s="9" t="s">
        <v>694</v>
      </c>
      <c r="F686" s="9" t="s">
        <v>1455</v>
      </c>
    </row>
    <row r="687" spans="1:6" x14ac:dyDescent="0.25">
      <c r="A687" s="9" t="s">
        <v>1456</v>
      </c>
      <c r="B687" s="9" t="s">
        <v>56</v>
      </c>
      <c r="C687" s="9" t="s">
        <v>34</v>
      </c>
      <c r="D687" s="9" t="s">
        <v>35</v>
      </c>
      <c r="E687" s="9" t="s">
        <v>191</v>
      </c>
      <c r="F687" s="9" t="s">
        <v>1455</v>
      </c>
    </row>
    <row r="688" spans="1:6" x14ac:dyDescent="0.25">
      <c r="A688" s="9" t="s">
        <v>1457</v>
      </c>
      <c r="B688" s="9" t="s">
        <v>59</v>
      </c>
      <c r="C688" s="9" t="s">
        <v>35</v>
      </c>
      <c r="D688" s="9" t="s">
        <v>38</v>
      </c>
      <c r="E688" s="9" t="s">
        <v>1151</v>
      </c>
      <c r="F688" s="9" t="s">
        <v>1458</v>
      </c>
    </row>
    <row r="689" spans="1:6" x14ac:dyDescent="0.25">
      <c r="A689" s="9" t="s">
        <v>1459</v>
      </c>
      <c r="B689" s="9" t="s">
        <v>36</v>
      </c>
      <c r="C689" s="9" t="s">
        <v>35</v>
      </c>
      <c r="D689" s="9" t="s">
        <v>34</v>
      </c>
      <c r="E689" s="9" t="s">
        <v>730</v>
      </c>
      <c r="F689" s="9" t="s">
        <v>1460</v>
      </c>
    </row>
    <row r="690" spans="1:6" x14ac:dyDescent="0.25">
      <c r="A690" s="9" t="s">
        <v>1461</v>
      </c>
      <c r="B690" s="9" t="s">
        <v>40</v>
      </c>
      <c r="C690" s="9" t="s">
        <v>40</v>
      </c>
      <c r="D690" s="9" t="s">
        <v>34</v>
      </c>
      <c r="E690" s="9" t="s">
        <v>421</v>
      </c>
      <c r="F690" s="9" t="s">
        <v>1460</v>
      </c>
    </row>
    <row r="691" spans="1:6" x14ac:dyDescent="0.25">
      <c r="A691" s="9" t="s">
        <v>1462</v>
      </c>
      <c r="B691" s="9" t="s">
        <v>56</v>
      </c>
      <c r="C691" s="9" t="s">
        <v>37</v>
      </c>
      <c r="D691" s="9" t="s">
        <v>36</v>
      </c>
      <c r="E691" s="9" t="s">
        <v>86</v>
      </c>
      <c r="F691" s="9" t="s">
        <v>1463</v>
      </c>
    </row>
    <row r="692" spans="1:6" x14ac:dyDescent="0.25">
      <c r="A692" s="9" t="s">
        <v>1464</v>
      </c>
      <c r="B692" s="9" t="s">
        <v>36</v>
      </c>
      <c r="C692" s="9" t="s">
        <v>39</v>
      </c>
      <c r="D692" s="9" t="s">
        <v>39</v>
      </c>
      <c r="E692" s="9" t="s">
        <v>397</v>
      </c>
      <c r="F692" s="9" t="s">
        <v>1465</v>
      </c>
    </row>
    <row r="693" spans="1:6" x14ac:dyDescent="0.25">
      <c r="A693" s="9" t="s">
        <v>1466</v>
      </c>
      <c r="B693" s="9" t="s">
        <v>38</v>
      </c>
      <c r="C693" s="9" t="s">
        <v>38</v>
      </c>
      <c r="D693" s="9" t="s">
        <v>36</v>
      </c>
      <c r="E693" s="9" t="s">
        <v>688</v>
      </c>
      <c r="F693" s="9" t="s">
        <v>1467</v>
      </c>
    </row>
    <row r="694" spans="1:6" x14ac:dyDescent="0.25">
      <c r="A694" s="9" t="s">
        <v>1468</v>
      </c>
      <c r="B694" s="9" t="s">
        <v>59</v>
      </c>
      <c r="C694" s="9" t="s">
        <v>40</v>
      </c>
      <c r="D694" s="9" t="s">
        <v>34</v>
      </c>
      <c r="E694" s="9" t="s">
        <v>257</v>
      </c>
      <c r="F694" s="9" t="s">
        <v>1469</v>
      </c>
    </row>
    <row r="695" spans="1:6" x14ac:dyDescent="0.25">
      <c r="A695" s="9" t="s">
        <v>1470</v>
      </c>
      <c r="B695" s="9" t="s">
        <v>56</v>
      </c>
      <c r="C695" s="9" t="s">
        <v>39</v>
      </c>
      <c r="D695" s="9" t="s">
        <v>35</v>
      </c>
      <c r="E695" s="9" t="s">
        <v>382</v>
      </c>
      <c r="F695" s="9" t="s">
        <v>1471</v>
      </c>
    </row>
    <row r="696" spans="1:6" x14ac:dyDescent="0.25">
      <c r="A696" s="9" t="s">
        <v>1472</v>
      </c>
      <c r="B696" s="9" t="s">
        <v>37</v>
      </c>
      <c r="C696" s="9" t="s">
        <v>35</v>
      </c>
      <c r="D696" s="9" t="s">
        <v>38</v>
      </c>
      <c r="E696" s="9" t="s">
        <v>1344</v>
      </c>
      <c r="F696" s="9" t="s">
        <v>1473</v>
      </c>
    </row>
    <row r="697" spans="1:6" x14ac:dyDescent="0.25">
      <c r="A697" s="9" t="s">
        <v>1474</v>
      </c>
      <c r="B697" s="9" t="s">
        <v>36</v>
      </c>
      <c r="C697" s="9" t="s">
        <v>36</v>
      </c>
      <c r="D697" s="9" t="s">
        <v>37</v>
      </c>
      <c r="E697" s="9" t="s">
        <v>214</v>
      </c>
      <c r="F697" s="9" t="s">
        <v>1473</v>
      </c>
    </row>
    <row r="698" spans="1:6" x14ac:dyDescent="0.25">
      <c r="A698" s="9" t="s">
        <v>1475</v>
      </c>
      <c r="B698" s="9" t="s">
        <v>34</v>
      </c>
      <c r="C698" s="9" t="s">
        <v>34</v>
      </c>
      <c r="D698" s="9" t="s">
        <v>36</v>
      </c>
      <c r="E698" s="9" t="s">
        <v>718</v>
      </c>
      <c r="F698" s="9" t="s">
        <v>1476</v>
      </c>
    </row>
    <row r="699" spans="1:6" x14ac:dyDescent="0.25">
      <c r="A699" s="9" t="s">
        <v>1477</v>
      </c>
      <c r="B699" s="9" t="s">
        <v>34</v>
      </c>
      <c r="C699" s="9" t="s">
        <v>37</v>
      </c>
      <c r="D699" s="9" t="s">
        <v>36</v>
      </c>
      <c r="E699" s="9" t="s">
        <v>363</v>
      </c>
      <c r="F699" s="9" t="s">
        <v>1476</v>
      </c>
    </row>
    <row r="700" spans="1:6" x14ac:dyDescent="0.25">
      <c r="A700" s="9" t="s">
        <v>1478</v>
      </c>
      <c r="B700" s="9" t="s">
        <v>39</v>
      </c>
      <c r="C700" s="9" t="s">
        <v>40</v>
      </c>
      <c r="D700" s="9" t="s">
        <v>34</v>
      </c>
      <c r="E700" s="9" t="s">
        <v>413</v>
      </c>
      <c r="F700" s="9" t="s">
        <v>1479</v>
      </c>
    </row>
    <row r="701" spans="1:6" x14ac:dyDescent="0.25">
      <c r="A701" s="9" t="s">
        <v>1480</v>
      </c>
      <c r="B701" s="9" t="s">
        <v>36</v>
      </c>
      <c r="C701" s="9" t="s">
        <v>34</v>
      </c>
      <c r="D701" s="9" t="s">
        <v>35</v>
      </c>
      <c r="E701" s="9" t="s">
        <v>1027</v>
      </c>
      <c r="F701" s="9" t="s">
        <v>1481</v>
      </c>
    </row>
    <row r="702" spans="1:6" x14ac:dyDescent="0.25">
      <c r="A702" s="9" t="s">
        <v>1482</v>
      </c>
      <c r="B702" s="9" t="s">
        <v>59</v>
      </c>
      <c r="C702" s="9" t="s">
        <v>40</v>
      </c>
      <c r="D702" s="9" t="s">
        <v>36</v>
      </c>
      <c r="E702" s="9" t="s">
        <v>494</v>
      </c>
      <c r="F702" s="9" t="s">
        <v>1481</v>
      </c>
    </row>
    <row r="703" spans="1:6" x14ac:dyDescent="0.25">
      <c r="A703" s="9" t="s">
        <v>1483</v>
      </c>
      <c r="B703" s="9" t="s">
        <v>39</v>
      </c>
      <c r="C703" s="9" t="s">
        <v>37</v>
      </c>
      <c r="D703" s="9" t="s">
        <v>36</v>
      </c>
      <c r="E703" s="9" t="s">
        <v>1484</v>
      </c>
      <c r="F703" s="9" t="s">
        <v>1485</v>
      </c>
    </row>
    <row r="704" spans="1:6" x14ac:dyDescent="0.25">
      <c r="A704" s="9" t="s">
        <v>1486</v>
      </c>
      <c r="B704" s="9" t="s">
        <v>37</v>
      </c>
      <c r="C704" s="9" t="s">
        <v>36</v>
      </c>
      <c r="D704" s="9" t="s">
        <v>35</v>
      </c>
      <c r="E704" s="9" t="s">
        <v>124</v>
      </c>
      <c r="F704" s="9" t="s">
        <v>1487</v>
      </c>
    </row>
    <row r="705" spans="1:6" x14ac:dyDescent="0.25">
      <c r="A705" s="9" t="s">
        <v>1488</v>
      </c>
      <c r="B705" s="9" t="s">
        <v>39</v>
      </c>
      <c r="C705" s="9" t="s">
        <v>39</v>
      </c>
      <c r="D705" s="9" t="s">
        <v>36</v>
      </c>
      <c r="E705" s="9" t="s">
        <v>470</v>
      </c>
      <c r="F705" s="9" t="s">
        <v>1487</v>
      </c>
    </row>
    <row r="706" spans="1:6" x14ac:dyDescent="0.25">
      <c r="A706" s="9" t="s">
        <v>1489</v>
      </c>
      <c r="B706" s="9" t="s">
        <v>36</v>
      </c>
      <c r="C706" s="9" t="s">
        <v>34</v>
      </c>
      <c r="D706" s="9" t="s">
        <v>35</v>
      </c>
      <c r="E706" s="9" t="s">
        <v>307</v>
      </c>
      <c r="F706" s="9" t="s">
        <v>1490</v>
      </c>
    </row>
    <row r="707" spans="1:6" x14ac:dyDescent="0.25">
      <c r="A707" s="9" t="s">
        <v>1491</v>
      </c>
      <c r="B707" s="9" t="s">
        <v>59</v>
      </c>
      <c r="C707" s="9" t="s">
        <v>35</v>
      </c>
      <c r="D707" s="9" t="s">
        <v>39</v>
      </c>
      <c r="E707" s="9" t="s">
        <v>754</v>
      </c>
      <c r="F707" s="9" t="s">
        <v>1492</v>
      </c>
    </row>
    <row r="708" spans="1:6" x14ac:dyDescent="0.25">
      <c r="A708" s="9" t="s">
        <v>1493</v>
      </c>
      <c r="B708" s="9" t="s">
        <v>37</v>
      </c>
      <c r="C708" s="9" t="s">
        <v>35</v>
      </c>
      <c r="D708" s="9" t="s">
        <v>35</v>
      </c>
      <c r="E708" s="9" t="s">
        <v>1381</v>
      </c>
      <c r="F708" s="9" t="s">
        <v>1494</v>
      </c>
    </row>
    <row r="709" spans="1:6" x14ac:dyDescent="0.25">
      <c r="A709" s="9" t="s">
        <v>1495</v>
      </c>
      <c r="B709" s="9" t="s">
        <v>38</v>
      </c>
      <c r="C709" s="9" t="s">
        <v>37</v>
      </c>
      <c r="D709" s="9" t="s">
        <v>37</v>
      </c>
      <c r="E709" s="9" t="s">
        <v>747</v>
      </c>
      <c r="F709" s="9" t="s">
        <v>1496</v>
      </c>
    </row>
    <row r="710" spans="1:6" x14ac:dyDescent="0.25">
      <c r="A710" s="9" t="s">
        <v>1497</v>
      </c>
      <c r="B710" s="9" t="s">
        <v>56</v>
      </c>
      <c r="C710" s="9" t="s">
        <v>40</v>
      </c>
      <c r="D710" s="9" t="s">
        <v>37</v>
      </c>
      <c r="E710" s="9" t="s">
        <v>1125</v>
      </c>
      <c r="F710" s="9" t="s">
        <v>1496</v>
      </c>
    </row>
    <row r="711" spans="1:6" x14ac:dyDescent="0.25">
      <c r="A711" s="9" t="s">
        <v>1498</v>
      </c>
      <c r="B711" s="9" t="s">
        <v>37</v>
      </c>
      <c r="C711" s="9" t="s">
        <v>40</v>
      </c>
      <c r="D711" s="9" t="s">
        <v>38</v>
      </c>
      <c r="E711" s="9" t="s">
        <v>580</v>
      </c>
      <c r="F711" s="9" t="s">
        <v>1499</v>
      </c>
    </row>
    <row r="712" spans="1:6" x14ac:dyDescent="0.25">
      <c r="A712" s="9" t="s">
        <v>1500</v>
      </c>
      <c r="B712" s="9" t="s">
        <v>38</v>
      </c>
      <c r="C712" s="9" t="s">
        <v>34</v>
      </c>
      <c r="D712" s="9" t="s">
        <v>37</v>
      </c>
      <c r="E712" s="9" t="s">
        <v>736</v>
      </c>
      <c r="F712" s="9" t="s">
        <v>1501</v>
      </c>
    </row>
    <row r="713" spans="1:6" x14ac:dyDescent="0.25">
      <c r="A713" s="9" t="s">
        <v>1502</v>
      </c>
      <c r="B713" s="9" t="s">
        <v>35</v>
      </c>
      <c r="C713" s="9" t="s">
        <v>36</v>
      </c>
      <c r="D713" s="9" t="s">
        <v>36</v>
      </c>
      <c r="E713" s="9" t="s">
        <v>1503</v>
      </c>
      <c r="F713" s="9" t="s">
        <v>1501</v>
      </c>
    </row>
    <row r="714" spans="1:6" x14ac:dyDescent="0.25">
      <c r="A714" s="9" t="s">
        <v>1504</v>
      </c>
      <c r="B714" s="9" t="s">
        <v>37</v>
      </c>
      <c r="C714" s="9" t="s">
        <v>39</v>
      </c>
      <c r="D714" s="9" t="s">
        <v>35</v>
      </c>
      <c r="E714" s="9" t="s">
        <v>109</v>
      </c>
      <c r="F714" s="9" t="s">
        <v>1505</v>
      </c>
    </row>
    <row r="715" spans="1:6" x14ac:dyDescent="0.25">
      <c r="A715" s="9" t="s">
        <v>1506</v>
      </c>
      <c r="B715" s="9" t="s">
        <v>39</v>
      </c>
      <c r="C715" s="9" t="s">
        <v>35</v>
      </c>
      <c r="D715" s="9" t="s">
        <v>37</v>
      </c>
      <c r="E715" s="9" t="s">
        <v>1507</v>
      </c>
      <c r="F715" s="9" t="s">
        <v>1505</v>
      </c>
    </row>
    <row r="716" spans="1:6" x14ac:dyDescent="0.25">
      <c r="A716" s="9" t="s">
        <v>1508</v>
      </c>
      <c r="B716" s="9" t="s">
        <v>36</v>
      </c>
      <c r="C716" s="9" t="s">
        <v>34</v>
      </c>
      <c r="D716" s="9" t="s">
        <v>35</v>
      </c>
      <c r="E716" s="9" t="s">
        <v>1107</v>
      </c>
      <c r="F716" s="9" t="s">
        <v>1509</v>
      </c>
    </row>
    <row r="717" spans="1:6" x14ac:dyDescent="0.25">
      <c r="A717" s="9" t="s">
        <v>1510</v>
      </c>
      <c r="B717" s="9" t="s">
        <v>35</v>
      </c>
      <c r="C717" s="9" t="s">
        <v>40</v>
      </c>
      <c r="D717" s="9" t="s">
        <v>35</v>
      </c>
      <c r="E717" s="9" t="s">
        <v>580</v>
      </c>
      <c r="F717" s="9" t="s">
        <v>1511</v>
      </c>
    </row>
    <row r="718" spans="1:6" x14ac:dyDescent="0.25">
      <c r="A718" s="9" t="s">
        <v>1512</v>
      </c>
      <c r="B718" s="9" t="s">
        <v>38</v>
      </c>
      <c r="C718" s="9" t="s">
        <v>36</v>
      </c>
      <c r="D718" s="9" t="s">
        <v>35</v>
      </c>
      <c r="E718" s="9" t="s">
        <v>75</v>
      </c>
      <c r="F718" s="9" t="s">
        <v>1513</v>
      </c>
    </row>
    <row r="719" spans="1:6" x14ac:dyDescent="0.25">
      <c r="A719" s="9" t="s">
        <v>1514</v>
      </c>
      <c r="B719" s="9" t="s">
        <v>38</v>
      </c>
      <c r="C719" s="9" t="s">
        <v>39</v>
      </c>
      <c r="D719" s="9" t="s">
        <v>37</v>
      </c>
      <c r="E719" s="9" t="s">
        <v>225</v>
      </c>
      <c r="F719" s="9" t="s">
        <v>1513</v>
      </c>
    </row>
    <row r="720" spans="1:6" x14ac:dyDescent="0.25">
      <c r="A720" s="9" t="s">
        <v>1515</v>
      </c>
      <c r="B720" s="9" t="s">
        <v>35</v>
      </c>
      <c r="C720" s="9" t="s">
        <v>34</v>
      </c>
      <c r="D720" s="9" t="s">
        <v>39</v>
      </c>
      <c r="E720" s="9" t="s">
        <v>413</v>
      </c>
      <c r="F720" s="9" t="s">
        <v>1513</v>
      </c>
    </row>
    <row r="721" spans="1:6" x14ac:dyDescent="0.25">
      <c r="A721" s="9" t="s">
        <v>1516</v>
      </c>
      <c r="B721" s="9" t="s">
        <v>56</v>
      </c>
      <c r="C721" s="9" t="s">
        <v>36</v>
      </c>
      <c r="D721" s="9" t="s">
        <v>39</v>
      </c>
      <c r="E721" s="9" t="s">
        <v>160</v>
      </c>
      <c r="F721" s="9" t="s">
        <v>1517</v>
      </c>
    </row>
    <row r="722" spans="1:6" x14ac:dyDescent="0.25">
      <c r="A722" s="9" t="s">
        <v>1518</v>
      </c>
      <c r="B722" s="9" t="s">
        <v>59</v>
      </c>
      <c r="C722" s="9" t="s">
        <v>35</v>
      </c>
      <c r="D722" s="9" t="s">
        <v>38</v>
      </c>
      <c r="E722" s="9" t="s">
        <v>670</v>
      </c>
      <c r="F722" s="9" t="s">
        <v>1519</v>
      </c>
    </row>
    <row r="723" spans="1:6" x14ac:dyDescent="0.25">
      <c r="A723" s="9" t="s">
        <v>1520</v>
      </c>
      <c r="B723" s="9" t="s">
        <v>39</v>
      </c>
      <c r="C723" s="9" t="s">
        <v>37</v>
      </c>
      <c r="D723" s="9" t="s">
        <v>34</v>
      </c>
      <c r="E723" s="9" t="s">
        <v>328</v>
      </c>
      <c r="F723" s="9" t="s">
        <v>1521</v>
      </c>
    </row>
    <row r="724" spans="1:6" x14ac:dyDescent="0.25">
      <c r="A724" s="9" t="s">
        <v>1522</v>
      </c>
      <c r="B724" s="9" t="s">
        <v>36</v>
      </c>
      <c r="C724" s="9" t="s">
        <v>34</v>
      </c>
      <c r="D724" s="9" t="s">
        <v>38</v>
      </c>
      <c r="E724" s="9" t="s">
        <v>185</v>
      </c>
      <c r="F724" s="9" t="s">
        <v>1523</v>
      </c>
    </row>
    <row r="725" spans="1:6" x14ac:dyDescent="0.25">
      <c r="A725" s="9" t="s">
        <v>1524</v>
      </c>
      <c r="B725" s="9" t="s">
        <v>56</v>
      </c>
      <c r="C725" s="9" t="s">
        <v>40</v>
      </c>
      <c r="D725" s="9" t="s">
        <v>35</v>
      </c>
      <c r="E725" s="9" t="s">
        <v>964</v>
      </c>
      <c r="F725" s="9" t="s">
        <v>1523</v>
      </c>
    </row>
    <row r="726" spans="1:6" x14ac:dyDescent="0.25">
      <c r="A726" s="9" t="s">
        <v>1525</v>
      </c>
      <c r="B726" s="9" t="s">
        <v>36</v>
      </c>
      <c r="C726" s="9" t="s">
        <v>35</v>
      </c>
      <c r="D726" s="9" t="s">
        <v>39</v>
      </c>
      <c r="E726" s="9" t="s">
        <v>644</v>
      </c>
      <c r="F726" s="9" t="s">
        <v>1523</v>
      </c>
    </row>
    <row r="727" spans="1:6" x14ac:dyDescent="0.25">
      <c r="A727" s="9" t="s">
        <v>1526</v>
      </c>
      <c r="B727" s="9" t="s">
        <v>34</v>
      </c>
      <c r="C727" s="9" t="s">
        <v>35</v>
      </c>
      <c r="D727" s="9" t="s">
        <v>37</v>
      </c>
      <c r="E727" s="9" t="s">
        <v>286</v>
      </c>
      <c r="F727" s="9" t="s">
        <v>1523</v>
      </c>
    </row>
    <row r="728" spans="1:6" x14ac:dyDescent="0.25">
      <c r="A728" s="9" t="s">
        <v>1527</v>
      </c>
      <c r="B728" s="9" t="s">
        <v>40</v>
      </c>
      <c r="C728" s="9" t="s">
        <v>37</v>
      </c>
      <c r="D728" s="9" t="s">
        <v>37</v>
      </c>
      <c r="E728" s="9" t="s">
        <v>82</v>
      </c>
      <c r="F728" s="9" t="s">
        <v>1528</v>
      </c>
    </row>
    <row r="729" spans="1:6" x14ac:dyDescent="0.25">
      <c r="A729" s="9" t="s">
        <v>1529</v>
      </c>
      <c r="B729" s="9" t="s">
        <v>39</v>
      </c>
      <c r="C729" s="9" t="s">
        <v>36</v>
      </c>
      <c r="D729" s="9" t="s">
        <v>39</v>
      </c>
      <c r="E729" s="9" t="s">
        <v>736</v>
      </c>
      <c r="F729" s="9" t="s">
        <v>1530</v>
      </c>
    </row>
    <row r="730" spans="1:6" x14ac:dyDescent="0.25">
      <c r="A730" s="9" t="s">
        <v>1531</v>
      </c>
      <c r="B730" s="9" t="s">
        <v>36</v>
      </c>
      <c r="C730" s="9" t="s">
        <v>38</v>
      </c>
      <c r="D730" s="9" t="s">
        <v>39</v>
      </c>
      <c r="E730" s="9" t="s">
        <v>423</v>
      </c>
      <c r="F730" s="9" t="s">
        <v>1532</v>
      </c>
    </row>
    <row r="731" spans="1:6" x14ac:dyDescent="0.25">
      <c r="A731" s="9" t="s">
        <v>1533</v>
      </c>
      <c r="B731" s="9" t="s">
        <v>34</v>
      </c>
      <c r="C731" s="9" t="s">
        <v>36</v>
      </c>
      <c r="D731" s="9" t="s">
        <v>39</v>
      </c>
      <c r="E731" s="9" t="s">
        <v>1534</v>
      </c>
      <c r="F731" s="9" t="s">
        <v>1535</v>
      </c>
    </row>
    <row r="732" spans="1:6" x14ac:dyDescent="0.25">
      <c r="A732" s="9" t="s">
        <v>1536</v>
      </c>
      <c r="B732" s="9" t="s">
        <v>59</v>
      </c>
      <c r="C732" s="9" t="s">
        <v>38</v>
      </c>
      <c r="D732" s="9" t="s">
        <v>39</v>
      </c>
      <c r="E732" s="9" t="s">
        <v>559</v>
      </c>
      <c r="F732" s="9" t="s">
        <v>1537</v>
      </c>
    </row>
    <row r="733" spans="1:6" x14ac:dyDescent="0.25">
      <c r="A733" s="9" t="s">
        <v>1538</v>
      </c>
      <c r="B733" s="9" t="s">
        <v>35</v>
      </c>
      <c r="C733" s="9" t="s">
        <v>38</v>
      </c>
      <c r="D733" s="9" t="s">
        <v>37</v>
      </c>
      <c r="E733" s="9" t="s">
        <v>736</v>
      </c>
      <c r="F733" s="9" t="s">
        <v>1539</v>
      </c>
    </row>
    <row r="734" spans="1:6" x14ac:dyDescent="0.25">
      <c r="A734" s="9" t="s">
        <v>1540</v>
      </c>
      <c r="B734" s="9" t="s">
        <v>37</v>
      </c>
      <c r="C734" s="9" t="s">
        <v>36</v>
      </c>
      <c r="D734" s="9" t="s">
        <v>38</v>
      </c>
      <c r="E734" s="9" t="s">
        <v>727</v>
      </c>
      <c r="F734" s="9" t="s">
        <v>1539</v>
      </c>
    </row>
    <row r="735" spans="1:6" x14ac:dyDescent="0.25">
      <c r="A735" s="9" t="s">
        <v>1541</v>
      </c>
      <c r="B735" s="9" t="s">
        <v>34</v>
      </c>
      <c r="C735" s="9" t="s">
        <v>34</v>
      </c>
      <c r="D735" s="9" t="s">
        <v>38</v>
      </c>
      <c r="E735" s="9" t="s">
        <v>128</v>
      </c>
      <c r="F735" s="9" t="s">
        <v>1542</v>
      </c>
    </row>
    <row r="736" spans="1:6" x14ac:dyDescent="0.25">
      <c r="A736" s="9" t="s">
        <v>1543</v>
      </c>
      <c r="B736" s="9" t="s">
        <v>59</v>
      </c>
      <c r="C736" s="9" t="s">
        <v>38</v>
      </c>
      <c r="D736" s="9" t="s">
        <v>34</v>
      </c>
      <c r="E736" s="9" t="s">
        <v>371</v>
      </c>
      <c r="F736" s="9" t="s">
        <v>1544</v>
      </c>
    </row>
    <row r="737" spans="1:6" x14ac:dyDescent="0.25">
      <c r="A737" s="9" t="s">
        <v>1545</v>
      </c>
      <c r="B737" s="9" t="s">
        <v>56</v>
      </c>
      <c r="C737" s="9" t="s">
        <v>36</v>
      </c>
      <c r="D737" s="9" t="s">
        <v>37</v>
      </c>
      <c r="E737" s="9" t="s">
        <v>155</v>
      </c>
      <c r="F737" s="9" t="s">
        <v>1546</v>
      </c>
    </row>
    <row r="738" spans="1:6" x14ac:dyDescent="0.25">
      <c r="A738" s="9" t="s">
        <v>1547</v>
      </c>
      <c r="B738" s="9" t="s">
        <v>40</v>
      </c>
      <c r="C738" s="9" t="s">
        <v>38</v>
      </c>
      <c r="D738" s="9" t="s">
        <v>35</v>
      </c>
      <c r="E738" s="9" t="s">
        <v>1053</v>
      </c>
      <c r="F738" s="9" t="s">
        <v>1546</v>
      </c>
    </row>
    <row r="739" spans="1:6" x14ac:dyDescent="0.25">
      <c r="A739" s="9" t="s">
        <v>1548</v>
      </c>
      <c r="B739" s="9" t="s">
        <v>59</v>
      </c>
      <c r="C739" s="9" t="s">
        <v>37</v>
      </c>
      <c r="D739" s="9" t="s">
        <v>36</v>
      </c>
      <c r="E739" s="9" t="s">
        <v>497</v>
      </c>
      <c r="F739" s="9" t="s">
        <v>1549</v>
      </c>
    </row>
    <row r="740" spans="1:6" x14ac:dyDescent="0.25">
      <c r="A740" s="9" t="s">
        <v>1550</v>
      </c>
      <c r="B740" s="9" t="s">
        <v>40</v>
      </c>
      <c r="C740" s="9" t="s">
        <v>36</v>
      </c>
      <c r="D740" s="9" t="s">
        <v>38</v>
      </c>
      <c r="E740" s="9" t="s">
        <v>641</v>
      </c>
      <c r="F740" s="9" t="s">
        <v>1551</v>
      </c>
    </row>
    <row r="741" spans="1:6" x14ac:dyDescent="0.25">
      <c r="A741" s="9" t="s">
        <v>1552</v>
      </c>
      <c r="B741" s="9" t="s">
        <v>39</v>
      </c>
      <c r="C741" s="9" t="s">
        <v>34</v>
      </c>
      <c r="D741" s="9" t="s">
        <v>39</v>
      </c>
      <c r="E741" s="9" t="s">
        <v>142</v>
      </c>
      <c r="F741" s="9" t="s">
        <v>1553</v>
      </c>
    </row>
    <row r="742" spans="1:6" x14ac:dyDescent="0.25">
      <c r="A742" s="9" t="s">
        <v>1554</v>
      </c>
      <c r="B742" s="9" t="s">
        <v>39</v>
      </c>
      <c r="C742" s="9" t="s">
        <v>34</v>
      </c>
      <c r="D742" s="9" t="s">
        <v>35</v>
      </c>
      <c r="E742" s="9" t="s">
        <v>740</v>
      </c>
      <c r="F742" s="9" t="s">
        <v>1555</v>
      </c>
    </row>
    <row r="743" spans="1:6" x14ac:dyDescent="0.25">
      <c r="A743" s="9" t="s">
        <v>1556</v>
      </c>
      <c r="B743" s="9" t="s">
        <v>34</v>
      </c>
      <c r="C743" s="9" t="s">
        <v>37</v>
      </c>
      <c r="D743" s="9" t="s">
        <v>35</v>
      </c>
      <c r="E743" s="9" t="s">
        <v>387</v>
      </c>
      <c r="F743" s="9" t="s">
        <v>1557</v>
      </c>
    </row>
    <row r="744" spans="1:6" x14ac:dyDescent="0.25">
      <c r="A744" s="9" t="s">
        <v>1558</v>
      </c>
      <c r="B744" s="9" t="s">
        <v>37</v>
      </c>
      <c r="C744" s="9" t="s">
        <v>36</v>
      </c>
      <c r="D744" s="9" t="s">
        <v>36</v>
      </c>
      <c r="E744" s="9" t="s">
        <v>207</v>
      </c>
      <c r="F744" s="9" t="s">
        <v>1557</v>
      </c>
    </row>
    <row r="745" spans="1:6" x14ac:dyDescent="0.25">
      <c r="A745" s="9" t="s">
        <v>1559</v>
      </c>
      <c r="B745" s="9" t="s">
        <v>35</v>
      </c>
      <c r="C745" s="9" t="s">
        <v>40</v>
      </c>
      <c r="D745" s="9" t="s">
        <v>38</v>
      </c>
      <c r="E745" s="9" t="s">
        <v>1053</v>
      </c>
      <c r="F745" s="9" t="s">
        <v>1557</v>
      </c>
    </row>
    <row r="746" spans="1:6" x14ac:dyDescent="0.25">
      <c r="A746" s="9" t="s">
        <v>1560</v>
      </c>
      <c r="B746" s="9" t="s">
        <v>38</v>
      </c>
      <c r="C746" s="9" t="s">
        <v>40</v>
      </c>
      <c r="D746" s="9" t="s">
        <v>36</v>
      </c>
      <c r="E746" s="9" t="s">
        <v>124</v>
      </c>
      <c r="F746" s="9" t="s">
        <v>1561</v>
      </c>
    </row>
    <row r="747" spans="1:6" x14ac:dyDescent="0.25">
      <c r="A747" s="9" t="s">
        <v>1562</v>
      </c>
      <c r="B747" s="9" t="s">
        <v>37</v>
      </c>
      <c r="C747" s="9" t="s">
        <v>38</v>
      </c>
      <c r="D747" s="9" t="s">
        <v>38</v>
      </c>
      <c r="E747" s="9" t="s">
        <v>423</v>
      </c>
      <c r="F747" s="9" t="s">
        <v>1563</v>
      </c>
    </row>
    <row r="748" spans="1:6" x14ac:dyDescent="0.25">
      <c r="A748" s="9" t="s">
        <v>1564</v>
      </c>
      <c r="B748" s="9" t="s">
        <v>38</v>
      </c>
      <c r="C748" s="9" t="s">
        <v>40</v>
      </c>
      <c r="D748" s="9" t="s">
        <v>37</v>
      </c>
      <c r="E748" s="9" t="s">
        <v>1507</v>
      </c>
      <c r="F748" s="9" t="s">
        <v>1565</v>
      </c>
    </row>
    <row r="749" spans="1:6" x14ac:dyDescent="0.25">
      <c r="A749" s="9" t="s">
        <v>1566</v>
      </c>
      <c r="B749" s="9" t="s">
        <v>40</v>
      </c>
      <c r="C749" s="9" t="s">
        <v>36</v>
      </c>
      <c r="D749" s="9" t="s">
        <v>39</v>
      </c>
      <c r="E749" s="9" t="s">
        <v>1567</v>
      </c>
      <c r="F749" s="9" t="s">
        <v>1565</v>
      </c>
    </row>
    <row r="750" spans="1:6" x14ac:dyDescent="0.25">
      <c r="A750" s="9" t="s">
        <v>1568</v>
      </c>
      <c r="B750" s="9" t="s">
        <v>36</v>
      </c>
      <c r="C750" s="9" t="s">
        <v>34</v>
      </c>
      <c r="D750" s="9" t="s">
        <v>37</v>
      </c>
      <c r="E750" s="9" t="s">
        <v>517</v>
      </c>
      <c r="F750" s="9" t="s">
        <v>1569</v>
      </c>
    </row>
    <row r="751" spans="1:6" x14ac:dyDescent="0.25">
      <c r="A751" s="9" t="s">
        <v>1570</v>
      </c>
      <c r="B751" s="9" t="s">
        <v>40</v>
      </c>
      <c r="C751" s="9" t="s">
        <v>35</v>
      </c>
      <c r="D751" s="9" t="s">
        <v>37</v>
      </c>
      <c r="E751" s="9" t="s">
        <v>810</v>
      </c>
      <c r="F751" s="9" t="s">
        <v>1569</v>
      </c>
    </row>
    <row r="752" spans="1:6" x14ac:dyDescent="0.25">
      <c r="A752" s="9" t="s">
        <v>1571</v>
      </c>
      <c r="B752" s="9" t="s">
        <v>59</v>
      </c>
      <c r="C752" s="9" t="s">
        <v>35</v>
      </c>
      <c r="D752" s="9" t="s">
        <v>38</v>
      </c>
      <c r="E752" s="9" t="s">
        <v>697</v>
      </c>
      <c r="F752" s="9" t="s">
        <v>1569</v>
      </c>
    </row>
    <row r="753" spans="1:6" x14ac:dyDescent="0.25">
      <c r="A753" s="9" t="s">
        <v>1572</v>
      </c>
      <c r="B753" s="9" t="s">
        <v>35</v>
      </c>
      <c r="C753" s="9" t="s">
        <v>39</v>
      </c>
      <c r="D753" s="9" t="s">
        <v>38</v>
      </c>
      <c r="E753" s="9" t="s">
        <v>725</v>
      </c>
      <c r="F753" s="9" t="s">
        <v>1573</v>
      </c>
    </row>
    <row r="754" spans="1:6" x14ac:dyDescent="0.25">
      <c r="A754" s="9" t="s">
        <v>1574</v>
      </c>
      <c r="B754" s="9" t="s">
        <v>36</v>
      </c>
      <c r="C754" s="9" t="s">
        <v>34</v>
      </c>
      <c r="D754" s="9" t="s">
        <v>35</v>
      </c>
      <c r="E754" s="9" t="s">
        <v>385</v>
      </c>
      <c r="F754" s="9" t="s">
        <v>1575</v>
      </c>
    </row>
    <row r="755" spans="1:6" x14ac:dyDescent="0.25">
      <c r="A755" s="9" t="s">
        <v>1576</v>
      </c>
      <c r="B755" s="9" t="s">
        <v>36</v>
      </c>
      <c r="C755" s="9" t="s">
        <v>34</v>
      </c>
      <c r="D755" s="9" t="s">
        <v>35</v>
      </c>
      <c r="E755" s="9" t="s">
        <v>177</v>
      </c>
      <c r="F755" s="9" t="s">
        <v>1577</v>
      </c>
    </row>
    <row r="756" spans="1:6" x14ac:dyDescent="0.25">
      <c r="A756" s="9" t="s">
        <v>1578</v>
      </c>
      <c r="B756" s="9" t="s">
        <v>39</v>
      </c>
      <c r="C756" s="9" t="s">
        <v>34</v>
      </c>
      <c r="D756" s="9" t="s">
        <v>34</v>
      </c>
      <c r="E756" s="9" t="s">
        <v>1579</v>
      </c>
      <c r="F756" s="9" t="s">
        <v>1580</v>
      </c>
    </row>
    <row r="757" spans="1:6" x14ac:dyDescent="0.25">
      <c r="A757" s="9" t="s">
        <v>1581</v>
      </c>
      <c r="B757" s="9" t="s">
        <v>40</v>
      </c>
      <c r="C757" s="9" t="s">
        <v>40</v>
      </c>
      <c r="D757" s="9" t="s">
        <v>38</v>
      </c>
      <c r="E757" s="9" t="s">
        <v>1381</v>
      </c>
      <c r="F757" s="9" t="s">
        <v>1580</v>
      </c>
    </row>
    <row r="758" spans="1:6" x14ac:dyDescent="0.25">
      <c r="A758" s="9" t="s">
        <v>1582</v>
      </c>
      <c r="B758" s="9" t="s">
        <v>36</v>
      </c>
      <c r="C758" s="9" t="s">
        <v>35</v>
      </c>
      <c r="D758" s="9" t="s">
        <v>35</v>
      </c>
      <c r="E758" s="9" t="s">
        <v>112</v>
      </c>
      <c r="F758" s="9" t="s">
        <v>1583</v>
      </c>
    </row>
    <row r="759" spans="1:6" x14ac:dyDescent="0.25">
      <c r="A759" s="9" t="s">
        <v>1584</v>
      </c>
      <c r="B759" s="9" t="s">
        <v>59</v>
      </c>
      <c r="C759" s="9" t="s">
        <v>35</v>
      </c>
      <c r="D759" s="9" t="s">
        <v>35</v>
      </c>
      <c r="E759" s="9" t="s">
        <v>264</v>
      </c>
      <c r="F759" s="9" t="s">
        <v>1585</v>
      </c>
    </row>
    <row r="760" spans="1:6" x14ac:dyDescent="0.25">
      <c r="A760" s="9" t="s">
        <v>1586</v>
      </c>
      <c r="B760" s="9" t="s">
        <v>37</v>
      </c>
      <c r="C760" s="9" t="s">
        <v>34</v>
      </c>
      <c r="D760" s="9" t="s">
        <v>37</v>
      </c>
      <c r="E760" s="9" t="s">
        <v>547</v>
      </c>
      <c r="F760" s="9" t="s">
        <v>1587</v>
      </c>
    </row>
    <row r="761" spans="1:6" x14ac:dyDescent="0.25">
      <c r="A761" s="9" t="s">
        <v>1588</v>
      </c>
      <c r="B761" s="9" t="s">
        <v>40</v>
      </c>
      <c r="C761" s="9" t="s">
        <v>38</v>
      </c>
      <c r="D761" s="9" t="s">
        <v>34</v>
      </c>
      <c r="E761" s="9" t="s">
        <v>783</v>
      </c>
      <c r="F761" s="9" t="s">
        <v>1587</v>
      </c>
    </row>
    <row r="762" spans="1:6" x14ac:dyDescent="0.25">
      <c r="A762" s="9" t="s">
        <v>1589</v>
      </c>
      <c r="B762" s="9" t="s">
        <v>59</v>
      </c>
      <c r="C762" s="9" t="s">
        <v>40</v>
      </c>
      <c r="D762" s="9" t="s">
        <v>34</v>
      </c>
      <c r="E762" s="9" t="s">
        <v>649</v>
      </c>
      <c r="F762" s="9" t="s">
        <v>1590</v>
      </c>
    </row>
    <row r="763" spans="1:6" x14ac:dyDescent="0.25">
      <c r="A763" s="9" t="s">
        <v>1591</v>
      </c>
      <c r="B763" s="9" t="s">
        <v>38</v>
      </c>
      <c r="C763" s="9" t="s">
        <v>36</v>
      </c>
      <c r="D763" s="9" t="s">
        <v>39</v>
      </c>
      <c r="E763" s="9" t="s">
        <v>512</v>
      </c>
      <c r="F763" s="9" t="s">
        <v>1592</v>
      </c>
    </row>
    <row r="764" spans="1:6" x14ac:dyDescent="0.25">
      <c r="A764" s="9" t="s">
        <v>1593</v>
      </c>
      <c r="B764" s="9" t="s">
        <v>36</v>
      </c>
      <c r="C764" s="9" t="s">
        <v>36</v>
      </c>
      <c r="D764" s="9" t="s">
        <v>35</v>
      </c>
      <c r="E764" s="9" t="s">
        <v>552</v>
      </c>
      <c r="F764" s="9" t="s">
        <v>1592</v>
      </c>
    </row>
    <row r="765" spans="1:6" x14ac:dyDescent="0.25">
      <c r="A765" s="9" t="s">
        <v>1594</v>
      </c>
      <c r="B765" s="9" t="s">
        <v>38</v>
      </c>
      <c r="C765" s="9" t="s">
        <v>39</v>
      </c>
      <c r="D765" s="9" t="s">
        <v>36</v>
      </c>
      <c r="E765" s="9" t="s">
        <v>158</v>
      </c>
      <c r="F765" s="9" t="s">
        <v>1595</v>
      </c>
    </row>
    <row r="766" spans="1:6" x14ac:dyDescent="0.25">
      <c r="A766" s="9" t="s">
        <v>1596</v>
      </c>
      <c r="B766" s="9" t="s">
        <v>34</v>
      </c>
      <c r="C766" s="9" t="s">
        <v>38</v>
      </c>
      <c r="D766" s="9" t="s">
        <v>36</v>
      </c>
      <c r="E766" s="9" t="s">
        <v>1597</v>
      </c>
      <c r="F766" s="9" t="s">
        <v>1595</v>
      </c>
    </row>
    <row r="767" spans="1:6" x14ac:dyDescent="0.25">
      <c r="A767" s="9" t="s">
        <v>1598</v>
      </c>
      <c r="B767" s="9" t="s">
        <v>36</v>
      </c>
      <c r="C767" s="9" t="s">
        <v>38</v>
      </c>
      <c r="D767" s="9" t="s">
        <v>38</v>
      </c>
      <c r="E767" s="9" t="s">
        <v>443</v>
      </c>
      <c r="F767" s="9" t="s">
        <v>1595</v>
      </c>
    </row>
    <row r="768" spans="1:6" x14ac:dyDescent="0.25">
      <c r="A768" s="9" t="s">
        <v>1599</v>
      </c>
      <c r="B768" s="9" t="s">
        <v>34</v>
      </c>
      <c r="C768" s="9" t="s">
        <v>34</v>
      </c>
      <c r="D768" s="9" t="s">
        <v>36</v>
      </c>
      <c r="E768" s="9" t="s">
        <v>765</v>
      </c>
      <c r="F768" s="9" t="s">
        <v>1595</v>
      </c>
    </row>
    <row r="769" spans="1:6" x14ac:dyDescent="0.25">
      <c r="A769" s="9" t="s">
        <v>1600</v>
      </c>
      <c r="B769" s="9" t="s">
        <v>34</v>
      </c>
      <c r="C769" s="9" t="s">
        <v>37</v>
      </c>
      <c r="D769" s="9" t="s">
        <v>38</v>
      </c>
      <c r="E769" s="9" t="s">
        <v>1601</v>
      </c>
      <c r="F769" s="9" t="s">
        <v>1595</v>
      </c>
    </row>
    <row r="770" spans="1:6" x14ac:dyDescent="0.25">
      <c r="A770" s="9" t="s">
        <v>1602</v>
      </c>
      <c r="B770" s="9" t="s">
        <v>36</v>
      </c>
      <c r="C770" s="9" t="s">
        <v>38</v>
      </c>
      <c r="D770" s="9" t="s">
        <v>38</v>
      </c>
      <c r="E770" s="9" t="s">
        <v>662</v>
      </c>
      <c r="F770" s="9" t="s">
        <v>1603</v>
      </c>
    </row>
    <row r="771" spans="1:6" x14ac:dyDescent="0.25">
      <c r="A771" s="9" t="s">
        <v>1604</v>
      </c>
      <c r="B771" s="9" t="s">
        <v>38</v>
      </c>
      <c r="C771" s="9" t="s">
        <v>39</v>
      </c>
      <c r="D771" s="9" t="s">
        <v>38</v>
      </c>
      <c r="E771" s="9" t="s">
        <v>217</v>
      </c>
      <c r="F771" s="9" t="s">
        <v>1605</v>
      </c>
    </row>
    <row r="772" spans="1:6" x14ac:dyDescent="0.25">
      <c r="A772" s="9" t="s">
        <v>1606</v>
      </c>
      <c r="B772" s="9" t="s">
        <v>40</v>
      </c>
      <c r="C772" s="9" t="s">
        <v>37</v>
      </c>
      <c r="D772" s="9" t="s">
        <v>35</v>
      </c>
      <c r="E772" s="9" t="s">
        <v>810</v>
      </c>
      <c r="F772" s="9" t="s">
        <v>1607</v>
      </c>
    </row>
    <row r="773" spans="1:6" x14ac:dyDescent="0.25">
      <c r="A773" s="9" t="s">
        <v>1608</v>
      </c>
      <c r="B773" s="9" t="s">
        <v>59</v>
      </c>
      <c r="C773" s="9" t="s">
        <v>39</v>
      </c>
      <c r="D773" s="9" t="s">
        <v>36</v>
      </c>
      <c r="E773" s="9" t="s">
        <v>88</v>
      </c>
      <c r="F773" s="9" t="s">
        <v>1609</v>
      </c>
    </row>
    <row r="774" spans="1:6" x14ac:dyDescent="0.25">
      <c r="A774" s="9" t="s">
        <v>1610</v>
      </c>
      <c r="B774" s="9" t="s">
        <v>34</v>
      </c>
      <c r="C774" s="9" t="s">
        <v>35</v>
      </c>
      <c r="D774" s="9" t="s">
        <v>34</v>
      </c>
      <c r="E774" s="9" t="s">
        <v>507</v>
      </c>
      <c r="F774" s="9" t="s">
        <v>1609</v>
      </c>
    </row>
    <row r="775" spans="1:6" x14ac:dyDescent="0.25">
      <c r="A775" s="9" t="s">
        <v>1611</v>
      </c>
      <c r="B775" s="9" t="s">
        <v>36</v>
      </c>
      <c r="C775" s="9" t="s">
        <v>40</v>
      </c>
      <c r="D775" s="9" t="s">
        <v>36</v>
      </c>
      <c r="E775" s="9" t="s">
        <v>1073</v>
      </c>
      <c r="F775" s="9" t="s">
        <v>1609</v>
      </c>
    </row>
    <row r="776" spans="1:6" x14ac:dyDescent="0.25">
      <c r="A776" s="9" t="s">
        <v>1612</v>
      </c>
      <c r="B776" s="9" t="s">
        <v>37</v>
      </c>
      <c r="C776" s="9" t="s">
        <v>39</v>
      </c>
      <c r="D776" s="9" t="s">
        <v>39</v>
      </c>
      <c r="E776" s="9" t="s">
        <v>1229</v>
      </c>
      <c r="F776" s="9" t="s">
        <v>1613</v>
      </c>
    </row>
    <row r="777" spans="1:6" x14ac:dyDescent="0.25">
      <c r="A777" s="9" t="s">
        <v>1614</v>
      </c>
      <c r="B777" s="9" t="s">
        <v>36</v>
      </c>
      <c r="C777" s="9" t="s">
        <v>37</v>
      </c>
      <c r="D777" s="9" t="s">
        <v>35</v>
      </c>
      <c r="E777" s="9" t="s">
        <v>81</v>
      </c>
      <c r="F777" s="9" t="s">
        <v>1613</v>
      </c>
    </row>
    <row r="778" spans="1:6" x14ac:dyDescent="0.25">
      <c r="A778" s="9" t="s">
        <v>1615</v>
      </c>
      <c r="B778" s="9" t="s">
        <v>37</v>
      </c>
      <c r="C778" s="9" t="s">
        <v>37</v>
      </c>
      <c r="D778" s="9" t="s">
        <v>39</v>
      </c>
      <c r="E778" s="9" t="s">
        <v>725</v>
      </c>
      <c r="F778" s="9" t="s">
        <v>1616</v>
      </c>
    </row>
    <row r="779" spans="1:6" x14ac:dyDescent="0.25">
      <c r="A779" s="9" t="s">
        <v>1617</v>
      </c>
      <c r="B779" s="9" t="s">
        <v>59</v>
      </c>
      <c r="C779" s="9" t="s">
        <v>40</v>
      </c>
      <c r="D779" s="9" t="s">
        <v>34</v>
      </c>
      <c r="E779" s="9" t="s">
        <v>1618</v>
      </c>
      <c r="F779" s="9" t="s">
        <v>1616</v>
      </c>
    </row>
    <row r="780" spans="1:6" x14ac:dyDescent="0.25">
      <c r="A780" s="9" t="s">
        <v>1619</v>
      </c>
      <c r="B780" s="9" t="s">
        <v>35</v>
      </c>
      <c r="C780" s="9" t="s">
        <v>34</v>
      </c>
      <c r="D780" s="9" t="s">
        <v>35</v>
      </c>
      <c r="E780" s="9" t="s">
        <v>489</v>
      </c>
      <c r="F780" s="9" t="s">
        <v>1616</v>
      </c>
    </row>
    <row r="781" spans="1:6" x14ac:dyDescent="0.25">
      <c r="A781" s="9" t="s">
        <v>1620</v>
      </c>
      <c r="B781" s="9" t="s">
        <v>37</v>
      </c>
      <c r="C781" s="9" t="s">
        <v>37</v>
      </c>
      <c r="D781" s="9" t="s">
        <v>35</v>
      </c>
      <c r="E781" s="9" t="s">
        <v>443</v>
      </c>
      <c r="F781" s="9" t="s">
        <v>1616</v>
      </c>
    </row>
    <row r="782" spans="1:6" x14ac:dyDescent="0.25">
      <c r="A782" s="9" t="s">
        <v>1621</v>
      </c>
      <c r="B782" s="9" t="s">
        <v>34</v>
      </c>
      <c r="C782" s="9" t="s">
        <v>39</v>
      </c>
      <c r="D782" s="9" t="s">
        <v>37</v>
      </c>
      <c r="E782" s="9" t="s">
        <v>371</v>
      </c>
      <c r="F782" s="9" t="s">
        <v>1616</v>
      </c>
    </row>
    <row r="783" spans="1:6" x14ac:dyDescent="0.25">
      <c r="A783" s="9" t="s">
        <v>1622</v>
      </c>
      <c r="B783" s="9" t="s">
        <v>35</v>
      </c>
      <c r="C783" s="9" t="s">
        <v>34</v>
      </c>
      <c r="D783" s="9" t="s">
        <v>36</v>
      </c>
      <c r="E783" s="9" t="s">
        <v>1623</v>
      </c>
      <c r="F783" s="9" t="s">
        <v>1624</v>
      </c>
    </row>
    <row r="784" spans="1:6" x14ac:dyDescent="0.25">
      <c r="A784" s="9" t="s">
        <v>1625</v>
      </c>
      <c r="B784" s="9" t="s">
        <v>35</v>
      </c>
      <c r="C784" s="9" t="s">
        <v>36</v>
      </c>
      <c r="D784" s="9" t="s">
        <v>39</v>
      </c>
      <c r="E784" s="9" t="s">
        <v>75</v>
      </c>
      <c r="F784" s="9" t="s">
        <v>1624</v>
      </c>
    </row>
    <row r="785" spans="1:6" x14ac:dyDescent="0.25">
      <c r="A785" s="9" t="s">
        <v>1626</v>
      </c>
      <c r="B785" s="9" t="s">
        <v>40</v>
      </c>
      <c r="C785" s="9" t="s">
        <v>37</v>
      </c>
      <c r="D785" s="9" t="s">
        <v>34</v>
      </c>
      <c r="E785" s="9" t="s">
        <v>122</v>
      </c>
      <c r="F785" s="9" t="s">
        <v>1627</v>
      </c>
    </row>
    <row r="786" spans="1:6" x14ac:dyDescent="0.25">
      <c r="A786" s="9" t="s">
        <v>1628</v>
      </c>
      <c r="B786" s="9" t="s">
        <v>56</v>
      </c>
      <c r="C786" s="9" t="s">
        <v>35</v>
      </c>
      <c r="D786" s="9" t="s">
        <v>36</v>
      </c>
      <c r="E786" s="9" t="s">
        <v>239</v>
      </c>
      <c r="F786" s="9" t="s">
        <v>1627</v>
      </c>
    </row>
    <row r="787" spans="1:6" x14ac:dyDescent="0.25">
      <c r="A787" s="9" t="s">
        <v>1629</v>
      </c>
      <c r="B787" s="9" t="s">
        <v>56</v>
      </c>
      <c r="C787" s="9" t="s">
        <v>34</v>
      </c>
      <c r="D787" s="9" t="s">
        <v>37</v>
      </c>
      <c r="E787" s="9" t="s">
        <v>239</v>
      </c>
      <c r="F787" s="9" t="s">
        <v>1627</v>
      </c>
    </row>
    <row r="788" spans="1:6" x14ac:dyDescent="0.25">
      <c r="A788" s="9" t="s">
        <v>1630</v>
      </c>
      <c r="B788" s="9" t="s">
        <v>34</v>
      </c>
      <c r="C788" s="9" t="s">
        <v>34</v>
      </c>
      <c r="D788" s="9" t="s">
        <v>36</v>
      </c>
      <c r="E788" s="9" t="s">
        <v>174</v>
      </c>
      <c r="F788" s="9" t="s">
        <v>1631</v>
      </c>
    </row>
    <row r="789" spans="1:6" x14ac:dyDescent="0.25">
      <c r="A789" s="9" t="s">
        <v>1632</v>
      </c>
      <c r="B789" s="9" t="s">
        <v>59</v>
      </c>
      <c r="C789" s="9" t="s">
        <v>34</v>
      </c>
      <c r="D789" s="9" t="s">
        <v>36</v>
      </c>
      <c r="E789" s="9" t="s">
        <v>914</v>
      </c>
      <c r="F789" s="9" t="s">
        <v>1633</v>
      </c>
    </row>
    <row r="790" spans="1:6" x14ac:dyDescent="0.25">
      <c r="A790" s="9" t="s">
        <v>1634</v>
      </c>
      <c r="B790" s="9" t="s">
        <v>59</v>
      </c>
      <c r="C790" s="9" t="s">
        <v>35</v>
      </c>
      <c r="D790" s="9" t="s">
        <v>36</v>
      </c>
      <c r="E790" s="9" t="s">
        <v>1317</v>
      </c>
      <c r="F790" s="9" t="s">
        <v>1635</v>
      </c>
    </row>
    <row r="791" spans="1:6" x14ac:dyDescent="0.25">
      <c r="A791" s="9" t="s">
        <v>1636</v>
      </c>
      <c r="B791" s="9" t="s">
        <v>36</v>
      </c>
      <c r="C791" s="9" t="s">
        <v>40</v>
      </c>
      <c r="D791" s="9" t="s">
        <v>36</v>
      </c>
      <c r="E791" s="9" t="s">
        <v>501</v>
      </c>
      <c r="F791" s="9" t="s">
        <v>1637</v>
      </c>
    </row>
    <row r="792" spans="1:6" x14ac:dyDescent="0.25">
      <c r="A792" s="9" t="s">
        <v>1638</v>
      </c>
      <c r="B792" s="9" t="s">
        <v>39</v>
      </c>
      <c r="C792" s="9" t="s">
        <v>37</v>
      </c>
      <c r="D792" s="9" t="s">
        <v>34</v>
      </c>
      <c r="E792" s="9" t="s">
        <v>177</v>
      </c>
      <c r="F792" s="9" t="s">
        <v>1637</v>
      </c>
    </row>
    <row r="793" spans="1:6" x14ac:dyDescent="0.25">
      <c r="A793" s="9" t="s">
        <v>1639</v>
      </c>
      <c r="B793" s="9" t="s">
        <v>56</v>
      </c>
      <c r="C793" s="9" t="s">
        <v>36</v>
      </c>
      <c r="D793" s="9" t="s">
        <v>35</v>
      </c>
      <c r="E793" s="9" t="s">
        <v>481</v>
      </c>
      <c r="F793" s="9" t="s">
        <v>1640</v>
      </c>
    </row>
    <row r="794" spans="1:6" x14ac:dyDescent="0.25">
      <c r="A794" s="9" t="s">
        <v>1641</v>
      </c>
      <c r="B794" s="9" t="s">
        <v>40</v>
      </c>
      <c r="C794" s="9" t="s">
        <v>40</v>
      </c>
      <c r="D794" s="9" t="s">
        <v>38</v>
      </c>
      <c r="E794" s="9" t="s">
        <v>705</v>
      </c>
      <c r="F794" s="9" t="s">
        <v>1642</v>
      </c>
    </row>
    <row r="795" spans="1:6" x14ac:dyDescent="0.25">
      <c r="A795" s="9" t="s">
        <v>1643</v>
      </c>
      <c r="B795" s="9" t="s">
        <v>37</v>
      </c>
      <c r="C795" s="9" t="s">
        <v>34</v>
      </c>
      <c r="D795" s="9" t="s">
        <v>34</v>
      </c>
      <c r="E795" s="9" t="s">
        <v>792</v>
      </c>
      <c r="F795" s="9" t="s">
        <v>1644</v>
      </c>
    </row>
    <row r="796" spans="1:6" x14ac:dyDescent="0.25">
      <c r="A796" s="9" t="s">
        <v>1645</v>
      </c>
      <c r="B796" s="9" t="s">
        <v>38</v>
      </c>
      <c r="C796" s="9" t="s">
        <v>38</v>
      </c>
      <c r="D796" s="9" t="s">
        <v>36</v>
      </c>
      <c r="E796" s="9" t="s">
        <v>1646</v>
      </c>
      <c r="F796" s="9" t="s">
        <v>1647</v>
      </c>
    </row>
    <row r="797" spans="1:6" x14ac:dyDescent="0.25">
      <c r="A797" s="9" t="s">
        <v>1648</v>
      </c>
      <c r="B797" s="9" t="s">
        <v>37</v>
      </c>
      <c r="C797" s="9" t="s">
        <v>39</v>
      </c>
      <c r="D797" s="9" t="s">
        <v>34</v>
      </c>
      <c r="E797" s="9" t="s">
        <v>307</v>
      </c>
      <c r="F797" s="9" t="s">
        <v>1649</v>
      </c>
    </row>
    <row r="798" spans="1:6" x14ac:dyDescent="0.25">
      <c r="A798" s="9" t="s">
        <v>1650</v>
      </c>
      <c r="B798" s="9" t="s">
        <v>36</v>
      </c>
      <c r="C798" s="9" t="s">
        <v>34</v>
      </c>
      <c r="D798" s="9" t="s">
        <v>35</v>
      </c>
      <c r="E798" s="9" t="s">
        <v>484</v>
      </c>
      <c r="F798" s="9" t="s">
        <v>1651</v>
      </c>
    </row>
    <row r="799" spans="1:6" x14ac:dyDescent="0.25">
      <c r="A799" s="9" t="s">
        <v>1652</v>
      </c>
      <c r="B799" s="9" t="s">
        <v>38</v>
      </c>
      <c r="C799" s="9" t="s">
        <v>39</v>
      </c>
      <c r="D799" s="9" t="s">
        <v>35</v>
      </c>
      <c r="E799" s="9" t="s">
        <v>333</v>
      </c>
      <c r="F799" s="9" t="s">
        <v>1653</v>
      </c>
    </row>
    <row r="800" spans="1:6" x14ac:dyDescent="0.25">
      <c r="A800" s="9" t="s">
        <v>1654</v>
      </c>
      <c r="B800" s="9" t="s">
        <v>36</v>
      </c>
      <c r="C800" s="9" t="s">
        <v>37</v>
      </c>
      <c r="D800" s="9" t="s">
        <v>35</v>
      </c>
      <c r="E800" s="9" t="s">
        <v>400</v>
      </c>
      <c r="F800" s="9" t="s">
        <v>1653</v>
      </c>
    </row>
    <row r="801" spans="1:6" x14ac:dyDescent="0.25">
      <c r="A801" s="9" t="s">
        <v>1655</v>
      </c>
      <c r="B801" s="9" t="s">
        <v>35</v>
      </c>
      <c r="C801" s="9" t="s">
        <v>36</v>
      </c>
      <c r="D801" s="9" t="s">
        <v>34</v>
      </c>
      <c r="E801" s="9" t="s">
        <v>225</v>
      </c>
      <c r="F801" s="9" t="s">
        <v>1656</v>
      </c>
    </row>
    <row r="802" spans="1:6" x14ac:dyDescent="0.25">
      <c r="A802" s="9" t="s">
        <v>1657</v>
      </c>
      <c r="B802" s="9" t="s">
        <v>36</v>
      </c>
      <c r="C802" s="9" t="s">
        <v>35</v>
      </c>
      <c r="D802" s="9" t="s">
        <v>36</v>
      </c>
      <c r="E802" s="9" t="s">
        <v>552</v>
      </c>
      <c r="F802" s="9" t="s">
        <v>1656</v>
      </c>
    </row>
    <row r="803" spans="1:6" x14ac:dyDescent="0.25">
      <c r="A803" s="9" t="s">
        <v>1658</v>
      </c>
      <c r="B803" s="9" t="s">
        <v>56</v>
      </c>
      <c r="C803" s="9" t="s">
        <v>36</v>
      </c>
      <c r="D803" s="9" t="s">
        <v>35</v>
      </c>
      <c r="E803" s="9" t="s">
        <v>517</v>
      </c>
      <c r="F803" s="9" t="s">
        <v>1659</v>
      </c>
    </row>
    <row r="804" spans="1:6" x14ac:dyDescent="0.25">
      <c r="A804" s="9" t="s">
        <v>1660</v>
      </c>
      <c r="B804" s="9" t="s">
        <v>35</v>
      </c>
      <c r="C804" s="9" t="s">
        <v>35</v>
      </c>
      <c r="D804" s="9" t="s">
        <v>35</v>
      </c>
      <c r="E804" s="9" t="s">
        <v>1661</v>
      </c>
      <c r="F804" s="9" t="s">
        <v>1659</v>
      </c>
    </row>
    <row r="805" spans="1:6" x14ac:dyDescent="0.25">
      <c r="A805" s="9" t="s">
        <v>1662</v>
      </c>
      <c r="B805" s="9" t="s">
        <v>35</v>
      </c>
      <c r="C805" s="9" t="s">
        <v>36</v>
      </c>
      <c r="D805" s="9" t="s">
        <v>34</v>
      </c>
      <c r="E805" s="9" t="s">
        <v>633</v>
      </c>
      <c r="F805" s="9" t="s">
        <v>1663</v>
      </c>
    </row>
    <row r="806" spans="1:6" x14ac:dyDescent="0.25">
      <c r="A806" s="9" t="s">
        <v>1664</v>
      </c>
      <c r="B806" s="9" t="s">
        <v>35</v>
      </c>
      <c r="C806" s="9" t="s">
        <v>37</v>
      </c>
      <c r="D806" s="9" t="s">
        <v>35</v>
      </c>
      <c r="E806" s="9" t="s">
        <v>122</v>
      </c>
      <c r="F806" s="9" t="s">
        <v>1665</v>
      </c>
    </row>
    <row r="807" spans="1:6" x14ac:dyDescent="0.25">
      <c r="A807" s="9" t="s">
        <v>1666</v>
      </c>
      <c r="B807" s="9" t="s">
        <v>36</v>
      </c>
      <c r="C807" s="9" t="s">
        <v>36</v>
      </c>
      <c r="D807" s="9" t="s">
        <v>39</v>
      </c>
      <c r="E807" s="9" t="s">
        <v>411</v>
      </c>
      <c r="F807" s="9" t="s">
        <v>1667</v>
      </c>
    </row>
    <row r="808" spans="1:6" x14ac:dyDescent="0.25">
      <c r="A808" s="9" t="s">
        <v>1668</v>
      </c>
      <c r="B808" s="9" t="s">
        <v>38</v>
      </c>
      <c r="C808" s="9" t="s">
        <v>35</v>
      </c>
      <c r="D808" s="9" t="s">
        <v>37</v>
      </c>
      <c r="E808" s="9" t="s">
        <v>507</v>
      </c>
      <c r="F808" s="9" t="s">
        <v>1669</v>
      </c>
    </row>
    <row r="809" spans="1:6" x14ac:dyDescent="0.25">
      <c r="A809" s="9" t="s">
        <v>1670</v>
      </c>
      <c r="B809" s="9" t="s">
        <v>38</v>
      </c>
      <c r="C809" s="9" t="s">
        <v>35</v>
      </c>
      <c r="D809" s="9" t="s">
        <v>36</v>
      </c>
      <c r="E809" s="9" t="s">
        <v>230</v>
      </c>
      <c r="F809" s="9" t="s">
        <v>1669</v>
      </c>
    </row>
    <row r="810" spans="1:6" x14ac:dyDescent="0.25">
      <c r="A810" s="9" t="s">
        <v>1671</v>
      </c>
      <c r="B810" s="9" t="s">
        <v>39</v>
      </c>
      <c r="C810" s="9" t="s">
        <v>36</v>
      </c>
      <c r="D810" s="9" t="s">
        <v>36</v>
      </c>
      <c r="E810" s="9" t="s">
        <v>354</v>
      </c>
      <c r="F810" s="9" t="s">
        <v>1672</v>
      </c>
    </row>
    <row r="811" spans="1:6" x14ac:dyDescent="0.25">
      <c r="A811" s="9" t="s">
        <v>1673</v>
      </c>
      <c r="B811" s="9" t="s">
        <v>37</v>
      </c>
      <c r="C811" s="9" t="s">
        <v>34</v>
      </c>
      <c r="D811" s="9" t="s">
        <v>34</v>
      </c>
      <c r="E811" s="9" t="s">
        <v>552</v>
      </c>
      <c r="F811" s="9" t="s">
        <v>1674</v>
      </c>
    </row>
    <row r="812" spans="1:6" x14ac:dyDescent="0.25">
      <c r="A812" s="9" t="s">
        <v>1675</v>
      </c>
      <c r="B812" s="9" t="s">
        <v>38</v>
      </c>
      <c r="C812" s="9" t="s">
        <v>40</v>
      </c>
      <c r="D812" s="9" t="s">
        <v>34</v>
      </c>
      <c r="E812" s="9" t="s">
        <v>1147</v>
      </c>
      <c r="F812" s="9" t="s">
        <v>1676</v>
      </c>
    </row>
    <row r="813" spans="1:6" x14ac:dyDescent="0.25">
      <c r="A813" s="9" t="s">
        <v>1677</v>
      </c>
      <c r="B813" s="9" t="s">
        <v>36</v>
      </c>
      <c r="C813" s="9" t="s">
        <v>36</v>
      </c>
      <c r="D813" s="9" t="s">
        <v>38</v>
      </c>
      <c r="E813" s="9" t="s">
        <v>740</v>
      </c>
      <c r="F813" s="9" t="s">
        <v>1676</v>
      </c>
    </row>
    <row r="814" spans="1:6" x14ac:dyDescent="0.25">
      <c r="A814" s="9" t="s">
        <v>1678</v>
      </c>
      <c r="B814" s="9" t="s">
        <v>59</v>
      </c>
      <c r="C814" s="9" t="s">
        <v>36</v>
      </c>
      <c r="D814" s="9" t="s">
        <v>36</v>
      </c>
      <c r="E814" s="9" t="s">
        <v>264</v>
      </c>
      <c r="F814" s="9" t="s">
        <v>1676</v>
      </c>
    </row>
    <row r="815" spans="1:6" x14ac:dyDescent="0.25">
      <c r="A815" s="9" t="s">
        <v>1679</v>
      </c>
      <c r="B815" s="9" t="s">
        <v>59</v>
      </c>
      <c r="C815" s="9" t="s">
        <v>35</v>
      </c>
      <c r="D815" s="9" t="s">
        <v>39</v>
      </c>
      <c r="E815" s="9" t="s">
        <v>1048</v>
      </c>
      <c r="F815" s="9" t="s">
        <v>1680</v>
      </c>
    </row>
    <row r="816" spans="1:6" x14ac:dyDescent="0.25">
      <c r="A816" s="9" t="s">
        <v>1681</v>
      </c>
      <c r="B816" s="9" t="s">
        <v>38</v>
      </c>
      <c r="C816" s="9" t="s">
        <v>34</v>
      </c>
      <c r="D816" s="9" t="s">
        <v>34</v>
      </c>
      <c r="E816" s="9" t="s">
        <v>914</v>
      </c>
      <c r="F816" s="9" t="s">
        <v>1680</v>
      </c>
    </row>
    <row r="817" spans="1:6" x14ac:dyDescent="0.25">
      <c r="A817" s="9" t="s">
        <v>1682</v>
      </c>
      <c r="B817" s="9" t="s">
        <v>37</v>
      </c>
      <c r="C817" s="9" t="s">
        <v>38</v>
      </c>
      <c r="D817" s="9" t="s">
        <v>37</v>
      </c>
      <c r="E817" s="9" t="s">
        <v>1507</v>
      </c>
      <c r="F817" s="9" t="s">
        <v>1683</v>
      </c>
    </row>
    <row r="818" spans="1:6" x14ac:dyDescent="0.25">
      <c r="A818" s="9" t="s">
        <v>1684</v>
      </c>
      <c r="B818" s="9" t="s">
        <v>40</v>
      </c>
      <c r="C818" s="9" t="s">
        <v>39</v>
      </c>
      <c r="D818" s="9" t="s">
        <v>37</v>
      </c>
      <c r="E818" s="9" t="s">
        <v>503</v>
      </c>
      <c r="F818" s="9" t="s">
        <v>1683</v>
      </c>
    </row>
    <row r="819" spans="1:6" x14ac:dyDescent="0.25">
      <c r="A819" s="9" t="s">
        <v>1685</v>
      </c>
      <c r="B819" s="9" t="s">
        <v>39</v>
      </c>
      <c r="C819" s="9" t="s">
        <v>35</v>
      </c>
      <c r="D819" s="9" t="s">
        <v>36</v>
      </c>
      <c r="E819" s="9" t="s">
        <v>979</v>
      </c>
      <c r="F819" s="9" t="s">
        <v>1683</v>
      </c>
    </row>
    <row r="820" spans="1:6" x14ac:dyDescent="0.25">
      <c r="A820" s="9" t="s">
        <v>1686</v>
      </c>
      <c r="B820" s="9" t="s">
        <v>56</v>
      </c>
      <c r="C820" s="9" t="s">
        <v>40</v>
      </c>
      <c r="D820" s="9" t="s">
        <v>39</v>
      </c>
      <c r="E820" s="9" t="s">
        <v>989</v>
      </c>
      <c r="F820" s="9" t="s">
        <v>1687</v>
      </c>
    </row>
    <row r="821" spans="1:6" x14ac:dyDescent="0.25">
      <c r="A821" s="9" t="s">
        <v>1688</v>
      </c>
      <c r="B821" s="9" t="s">
        <v>34</v>
      </c>
      <c r="C821" s="9" t="s">
        <v>40</v>
      </c>
      <c r="D821" s="9" t="s">
        <v>37</v>
      </c>
      <c r="E821" s="9" t="s">
        <v>552</v>
      </c>
      <c r="F821" s="9" t="s">
        <v>1689</v>
      </c>
    </row>
    <row r="822" spans="1:6" x14ac:dyDescent="0.25">
      <c r="A822" s="9" t="s">
        <v>1690</v>
      </c>
      <c r="B822" s="9" t="s">
        <v>59</v>
      </c>
      <c r="C822" s="9" t="s">
        <v>37</v>
      </c>
      <c r="D822" s="9" t="s">
        <v>37</v>
      </c>
      <c r="E822" s="9" t="s">
        <v>124</v>
      </c>
      <c r="F822" s="9" t="s">
        <v>1689</v>
      </c>
    </row>
    <row r="823" spans="1:6" x14ac:dyDescent="0.25">
      <c r="A823" s="9" t="s">
        <v>1691</v>
      </c>
      <c r="B823" s="9" t="s">
        <v>36</v>
      </c>
      <c r="C823" s="9" t="s">
        <v>38</v>
      </c>
      <c r="D823" s="9" t="s">
        <v>39</v>
      </c>
      <c r="E823" s="9" t="s">
        <v>291</v>
      </c>
      <c r="F823" s="9" t="s">
        <v>1692</v>
      </c>
    </row>
    <row r="824" spans="1:6" x14ac:dyDescent="0.25">
      <c r="A824" s="9" t="s">
        <v>1693</v>
      </c>
      <c r="B824" s="9" t="s">
        <v>35</v>
      </c>
      <c r="C824" s="9" t="s">
        <v>39</v>
      </c>
      <c r="D824" s="9" t="s">
        <v>38</v>
      </c>
      <c r="E824" s="9" t="s">
        <v>580</v>
      </c>
      <c r="F824" s="9" t="s">
        <v>1694</v>
      </c>
    </row>
    <row r="825" spans="1:6" x14ac:dyDescent="0.25">
      <c r="A825" s="9" t="s">
        <v>1695</v>
      </c>
      <c r="B825" s="9" t="s">
        <v>59</v>
      </c>
      <c r="C825" s="9" t="s">
        <v>36</v>
      </c>
      <c r="D825" s="9" t="s">
        <v>38</v>
      </c>
      <c r="E825" s="9" t="s">
        <v>1696</v>
      </c>
      <c r="F825" s="9" t="s">
        <v>1697</v>
      </c>
    </row>
    <row r="826" spans="1:6" x14ac:dyDescent="0.25">
      <c r="A826" s="9" t="s">
        <v>1698</v>
      </c>
      <c r="B826" s="9" t="s">
        <v>34</v>
      </c>
      <c r="C826" s="9" t="s">
        <v>34</v>
      </c>
      <c r="D826" s="9" t="s">
        <v>38</v>
      </c>
      <c r="E826" s="9" t="s">
        <v>522</v>
      </c>
      <c r="F826" s="9" t="s">
        <v>1697</v>
      </c>
    </row>
    <row r="827" spans="1:6" x14ac:dyDescent="0.25">
      <c r="A827" s="9" t="s">
        <v>1699</v>
      </c>
      <c r="B827" s="9" t="s">
        <v>37</v>
      </c>
      <c r="C827" s="9" t="s">
        <v>35</v>
      </c>
      <c r="D827" s="9" t="s">
        <v>36</v>
      </c>
      <c r="E827" s="9" t="s">
        <v>1027</v>
      </c>
      <c r="F827" s="9" t="s">
        <v>1700</v>
      </c>
    </row>
    <row r="828" spans="1:6" x14ac:dyDescent="0.25">
      <c r="A828" s="9" t="s">
        <v>1701</v>
      </c>
      <c r="B828" s="9" t="s">
        <v>56</v>
      </c>
      <c r="C828" s="9" t="s">
        <v>35</v>
      </c>
      <c r="D828" s="9" t="s">
        <v>37</v>
      </c>
      <c r="E828" s="9" t="s">
        <v>128</v>
      </c>
      <c r="F828" s="9" t="s">
        <v>1700</v>
      </c>
    </row>
    <row r="829" spans="1:6" x14ac:dyDescent="0.25">
      <c r="A829" s="9" t="s">
        <v>1702</v>
      </c>
      <c r="B829" s="9" t="s">
        <v>34</v>
      </c>
      <c r="C829" s="9" t="s">
        <v>34</v>
      </c>
      <c r="D829" s="9" t="s">
        <v>34</v>
      </c>
      <c r="E829" s="9" t="s">
        <v>718</v>
      </c>
      <c r="F829" s="9" t="s">
        <v>1703</v>
      </c>
    </row>
    <row r="830" spans="1:6" x14ac:dyDescent="0.25">
      <c r="A830" s="9" t="s">
        <v>1704</v>
      </c>
      <c r="B830" s="9" t="s">
        <v>37</v>
      </c>
      <c r="C830" s="9" t="s">
        <v>37</v>
      </c>
      <c r="D830" s="9" t="s">
        <v>39</v>
      </c>
      <c r="E830" s="9" t="s">
        <v>252</v>
      </c>
      <c r="F830" s="9" t="s">
        <v>1705</v>
      </c>
    </row>
    <row r="831" spans="1:6" x14ac:dyDescent="0.25">
      <c r="A831" s="9" t="s">
        <v>1706</v>
      </c>
      <c r="B831" s="9" t="s">
        <v>34</v>
      </c>
      <c r="C831" s="9" t="s">
        <v>36</v>
      </c>
      <c r="D831" s="9" t="s">
        <v>38</v>
      </c>
      <c r="E831" s="9" t="s">
        <v>165</v>
      </c>
      <c r="F831" s="9" t="s">
        <v>1707</v>
      </c>
    </row>
    <row r="832" spans="1:6" x14ac:dyDescent="0.25">
      <c r="A832" s="9" t="s">
        <v>1708</v>
      </c>
      <c r="B832" s="9" t="s">
        <v>59</v>
      </c>
      <c r="C832" s="9" t="s">
        <v>39</v>
      </c>
      <c r="D832" s="9" t="s">
        <v>38</v>
      </c>
      <c r="E832" s="9" t="s">
        <v>86</v>
      </c>
      <c r="F832" s="9" t="s">
        <v>1709</v>
      </c>
    </row>
    <row r="833" spans="1:6" x14ac:dyDescent="0.25">
      <c r="A833" s="9" t="s">
        <v>1710</v>
      </c>
      <c r="B833" s="9" t="s">
        <v>37</v>
      </c>
      <c r="C833" s="9" t="s">
        <v>35</v>
      </c>
      <c r="D833" s="9" t="s">
        <v>34</v>
      </c>
      <c r="E833" s="9" t="s">
        <v>796</v>
      </c>
      <c r="F833" s="9" t="s">
        <v>1711</v>
      </c>
    </row>
    <row r="834" spans="1:6" x14ac:dyDescent="0.25">
      <c r="A834" s="9" t="s">
        <v>1712</v>
      </c>
      <c r="B834" s="9" t="s">
        <v>36</v>
      </c>
      <c r="C834" s="9" t="s">
        <v>35</v>
      </c>
      <c r="D834" s="9" t="s">
        <v>34</v>
      </c>
      <c r="E834" s="9" t="s">
        <v>365</v>
      </c>
      <c r="F834" s="9" t="s">
        <v>1713</v>
      </c>
    </row>
    <row r="835" spans="1:6" x14ac:dyDescent="0.25">
      <c r="A835" s="9" t="s">
        <v>1714</v>
      </c>
      <c r="B835" s="9" t="s">
        <v>59</v>
      </c>
      <c r="C835" s="9" t="s">
        <v>39</v>
      </c>
      <c r="D835" s="9" t="s">
        <v>35</v>
      </c>
      <c r="E835" s="9" t="s">
        <v>1151</v>
      </c>
      <c r="F835" s="9" t="s">
        <v>1715</v>
      </c>
    </row>
    <row r="836" spans="1:6" x14ac:dyDescent="0.25">
      <c r="A836" s="9" t="s">
        <v>1716</v>
      </c>
      <c r="B836" s="9" t="s">
        <v>36</v>
      </c>
      <c r="C836" s="9" t="s">
        <v>35</v>
      </c>
      <c r="D836" s="9" t="s">
        <v>36</v>
      </c>
      <c r="E836" s="9" t="s">
        <v>324</v>
      </c>
      <c r="F836" s="9" t="s">
        <v>1715</v>
      </c>
    </row>
    <row r="837" spans="1:6" x14ac:dyDescent="0.25">
      <c r="A837" s="9" t="s">
        <v>1717</v>
      </c>
      <c r="B837" s="9" t="s">
        <v>56</v>
      </c>
      <c r="C837" s="9" t="s">
        <v>36</v>
      </c>
      <c r="D837" s="9" t="s">
        <v>39</v>
      </c>
      <c r="E837" s="9" t="s">
        <v>374</v>
      </c>
      <c r="F837" s="9" t="s">
        <v>1718</v>
      </c>
    </row>
    <row r="838" spans="1:6" x14ac:dyDescent="0.25">
      <c r="A838" s="9" t="s">
        <v>1719</v>
      </c>
      <c r="B838" s="9" t="s">
        <v>56</v>
      </c>
      <c r="C838" s="9" t="s">
        <v>37</v>
      </c>
      <c r="D838" s="9" t="s">
        <v>34</v>
      </c>
      <c r="E838" s="9" t="s">
        <v>765</v>
      </c>
      <c r="F838" s="9" t="s">
        <v>1718</v>
      </c>
    </row>
    <row r="839" spans="1:6" x14ac:dyDescent="0.25">
      <c r="A839" s="9" t="s">
        <v>1720</v>
      </c>
      <c r="B839" s="9" t="s">
        <v>36</v>
      </c>
      <c r="C839" s="9" t="s">
        <v>36</v>
      </c>
      <c r="D839" s="9" t="s">
        <v>39</v>
      </c>
      <c r="E839" s="9" t="s">
        <v>1128</v>
      </c>
      <c r="F839" s="9" t="s">
        <v>1721</v>
      </c>
    </row>
    <row r="840" spans="1:6" x14ac:dyDescent="0.25">
      <c r="A840" s="9" t="s">
        <v>1722</v>
      </c>
      <c r="B840" s="9" t="s">
        <v>40</v>
      </c>
      <c r="C840" s="9" t="s">
        <v>35</v>
      </c>
      <c r="D840" s="9" t="s">
        <v>39</v>
      </c>
      <c r="E840" s="9" t="s">
        <v>1723</v>
      </c>
      <c r="F840" s="9" t="s">
        <v>1724</v>
      </c>
    </row>
    <row r="841" spans="1:6" x14ac:dyDescent="0.25">
      <c r="A841" s="9" t="s">
        <v>1725</v>
      </c>
      <c r="B841" s="9" t="s">
        <v>59</v>
      </c>
      <c r="C841" s="9" t="s">
        <v>40</v>
      </c>
      <c r="D841" s="9" t="s">
        <v>37</v>
      </c>
      <c r="E841" s="9" t="s">
        <v>105</v>
      </c>
      <c r="F841" s="9" t="s">
        <v>1724</v>
      </c>
    </row>
    <row r="842" spans="1:6" x14ac:dyDescent="0.25">
      <c r="A842" s="9" t="s">
        <v>1726</v>
      </c>
      <c r="B842" s="9" t="s">
        <v>56</v>
      </c>
      <c r="C842" s="9" t="s">
        <v>36</v>
      </c>
      <c r="D842" s="9" t="s">
        <v>36</v>
      </c>
      <c r="E842" s="9" t="s">
        <v>242</v>
      </c>
      <c r="F842" s="9" t="s">
        <v>1724</v>
      </c>
    </row>
    <row r="843" spans="1:6" x14ac:dyDescent="0.25">
      <c r="A843" s="9" t="s">
        <v>1727</v>
      </c>
      <c r="B843" s="9" t="s">
        <v>37</v>
      </c>
      <c r="C843" s="9" t="s">
        <v>34</v>
      </c>
      <c r="D843" s="9" t="s">
        <v>35</v>
      </c>
      <c r="E843" s="9" t="s">
        <v>589</v>
      </c>
      <c r="F843" s="9" t="s">
        <v>1728</v>
      </c>
    </row>
    <row r="844" spans="1:6" x14ac:dyDescent="0.25">
      <c r="A844" s="9" t="s">
        <v>1729</v>
      </c>
      <c r="B844" s="9" t="s">
        <v>40</v>
      </c>
      <c r="C844" s="9" t="s">
        <v>37</v>
      </c>
      <c r="D844" s="9" t="s">
        <v>35</v>
      </c>
      <c r="E844" s="9" t="s">
        <v>644</v>
      </c>
      <c r="F844" s="9" t="s">
        <v>1730</v>
      </c>
    </row>
    <row r="845" spans="1:6" x14ac:dyDescent="0.25">
      <c r="A845" s="9" t="s">
        <v>1731</v>
      </c>
      <c r="B845" s="9" t="s">
        <v>39</v>
      </c>
      <c r="C845" s="9" t="s">
        <v>35</v>
      </c>
      <c r="D845" s="9" t="s">
        <v>35</v>
      </c>
      <c r="E845" s="9" t="s">
        <v>242</v>
      </c>
      <c r="F845" s="9" t="s">
        <v>1732</v>
      </c>
    </row>
    <row r="846" spans="1:6" x14ac:dyDescent="0.25">
      <c r="A846" s="9" t="s">
        <v>1733</v>
      </c>
      <c r="B846" s="9" t="s">
        <v>40</v>
      </c>
      <c r="C846" s="9" t="s">
        <v>36</v>
      </c>
      <c r="D846" s="9" t="s">
        <v>39</v>
      </c>
      <c r="E846" s="9" t="s">
        <v>725</v>
      </c>
      <c r="F846" s="9" t="s">
        <v>1734</v>
      </c>
    </row>
    <row r="847" spans="1:6" x14ac:dyDescent="0.25">
      <c r="A847" s="9" t="s">
        <v>1735</v>
      </c>
      <c r="B847" s="9" t="s">
        <v>59</v>
      </c>
      <c r="C847" s="9" t="s">
        <v>34</v>
      </c>
      <c r="D847" s="9" t="s">
        <v>38</v>
      </c>
      <c r="E847" s="9" t="s">
        <v>134</v>
      </c>
      <c r="F847" s="9" t="s">
        <v>1734</v>
      </c>
    </row>
    <row r="848" spans="1:6" x14ac:dyDescent="0.25">
      <c r="A848" s="9" t="s">
        <v>1736</v>
      </c>
      <c r="B848" s="9" t="s">
        <v>56</v>
      </c>
      <c r="C848" s="9" t="s">
        <v>39</v>
      </c>
      <c r="D848" s="9" t="s">
        <v>34</v>
      </c>
      <c r="E848" s="9" t="s">
        <v>662</v>
      </c>
      <c r="F848" s="9" t="s">
        <v>1737</v>
      </c>
    </row>
    <row r="849" spans="1:6" x14ac:dyDescent="0.25">
      <c r="A849" s="9" t="s">
        <v>1738</v>
      </c>
      <c r="B849" s="9" t="s">
        <v>59</v>
      </c>
      <c r="C849" s="9" t="s">
        <v>36</v>
      </c>
      <c r="D849" s="9" t="s">
        <v>37</v>
      </c>
      <c r="E849" s="9" t="s">
        <v>286</v>
      </c>
      <c r="F849" s="9" t="s">
        <v>1739</v>
      </c>
    </row>
    <row r="850" spans="1:6" x14ac:dyDescent="0.25">
      <c r="A850" s="9" t="s">
        <v>1740</v>
      </c>
      <c r="B850" s="9" t="s">
        <v>56</v>
      </c>
      <c r="C850" s="9" t="s">
        <v>35</v>
      </c>
      <c r="D850" s="9" t="s">
        <v>35</v>
      </c>
      <c r="E850" s="9" t="s">
        <v>145</v>
      </c>
      <c r="F850" s="9" t="s">
        <v>1741</v>
      </c>
    </row>
    <row r="851" spans="1:6" x14ac:dyDescent="0.25">
      <c r="A851" s="9" t="s">
        <v>1742</v>
      </c>
      <c r="B851" s="9" t="s">
        <v>59</v>
      </c>
      <c r="C851" s="9" t="s">
        <v>37</v>
      </c>
      <c r="D851" s="9" t="s">
        <v>35</v>
      </c>
      <c r="E851" s="9" t="s">
        <v>535</v>
      </c>
      <c r="F851" s="9" t="s">
        <v>1743</v>
      </c>
    </row>
    <row r="852" spans="1:6" x14ac:dyDescent="0.25">
      <c r="A852" s="9" t="s">
        <v>1744</v>
      </c>
      <c r="B852" s="9" t="s">
        <v>34</v>
      </c>
      <c r="C852" s="9" t="s">
        <v>40</v>
      </c>
      <c r="D852" s="9" t="s">
        <v>37</v>
      </c>
      <c r="E852" s="9" t="s">
        <v>139</v>
      </c>
      <c r="F852" s="9" t="s">
        <v>1745</v>
      </c>
    </row>
    <row r="853" spans="1:6" x14ac:dyDescent="0.25">
      <c r="A853" s="9" t="s">
        <v>1746</v>
      </c>
      <c r="B853" s="9" t="s">
        <v>36</v>
      </c>
      <c r="C853" s="9" t="s">
        <v>34</v>
      </c>
      <c r="D853" s="9" t="s">
        <v>39</v>
      </c>
      <c r="E853" s="9" t="s">
        <v>207</v>
      </c>
      <c r="F853" s="9" t="s">
        <v>1747</v>
      </c>
    </row>
    <row r="854" spans="1:6" x14ac:dyDescent="0.25">
      <c r="A854" s="9" t="s">
        <v>1748</v>
      </c>
      <c r="B854" s="9" t="s">
        <v>37</v>
      </c>
      <c r="C854" s="9" t="s">
        <v>38</v>
      </c>
      <c r="D854" s="9" t="s">
        <v>36</v>
      </c>
      <c r="E854" s="9" t="s">
        <v>239</v>
      </c>
      <c r="F854" s="9" t="s">
        <v>1749</v>
      </c>
    </row>
    <row r="855" spans="1:6" x14ac:dyDescent="0.25">
      <c r="A855" s="9" t="s">
        <v>1750</v>
      </c>
      <c r="B855" s="9" t="s">
        <v>39</v>
      </c>
      <c r="C855" s="9" t="s">
        <v>38</v>
      </c>
      <c r="D855" s="9" t="s">
        <v>39</v>
      </c>
      <c r="E855" s="9" t="s">
        <v>1534</v>
      </c>
      <c r="F855" s="9" t="s">
        <v>1749</v>
      </c>
    </row>
    <row r="856" spans="1:6" x14ac:dyDescent="0.25">
      <c r="A856" s="9" t="s">
        <v>1751</v>
      </c>
      <c r="B856" s="9" t="s">
        <v>34</v>
      </c>
      <c r="C856" s="9" t="s">
        <v>35</v>
      </c>
      <c r="D856" s="9" t="s">
        <v>34</v>
      </c>
      <c r="E856" s="9" t="s">
        <v>501</v>
      </c>
      <c r="F856" s="9" t="s">
        <v>1749</v>
      </c>
    </row>
    <row r="857" spans="1:6" x14ac:dyDescent="0.25">
      <c r="A857" s="9" t="s">
        <v>1752</v>
      </c>
      <c r="B857" s="9" t="s">
        <v>39</v>
      </c>
      <c r="C857" s="9" t="s">
        <v>36</v>
      </c>
      <c r="D857" s="9" t="s">
        <v>36</v>
      </c>
      <c r="E857" s="9" t="s">
        <v>1273</v>
      </c>
      <c r="F857" s="9" t="s">
        <v>1753</v>
      </c>
    </row>
    <row r="858" spans="1:6" x14ac:dyDescent="0.25">
      <c r="A858" s="9" t="s">
        <v>1754</v>
      </c>
      <c r="B858" s="9" t="s">
        <v>36</v>
      </c>
      <c r="C858" s="9" t="s">
        <v>39</v>
      </c>
      <c r="D858" s="9" t="s">
        <v>34</v>
      </c>
      <c r="E858" s="9" t="s">
        <v>522</v>
      </c>
      <c r="F858" s="9" t="s">
        <v>1753</v>
      </c>
    </row>
    <row r="859" spans="1:6" x14ac:dyDescent="0.25">
      <c r="A859" s="9" t="s">
        <v>1755</v>
      </c>
      <c r="B859" s="9" t="s">
        <v>38</v>
      </c>
      <c r="C859" s="9" t="s">
        <v>36</v>
      </c>
      <c r="D859" s="9" t="s">
        <v>35</v>
      </c>
      <c r="E859" s="9" t="s">
        <v>1623</v>
      </c>
      <c r="F859" s="9" t="s">
        <v>1756</v>
      </c>
    </row>
    <row r="860" spans="1:6" x14ac:dyDescent="0.25">
      <c r="A860" s="9" t="s">
        <v>1757</v>
      </c>
      <c r="B860" s="9" t="s">
        <v>34</v>
      </c>
      <c r="C860" s="9" t="s">
        <v>36</v>
      </c>
      <c r="D860" s="9" t="s">
        <v>37</v>
      </c>
      <c r="E860" s="9" t="s">
        <v>328</v>
      </c>
      <c r="F860" s="9" t="s">
        <v>1758</v>
      </c>
    </row>
    <row r="861" spans="1:6" x14ac:dyDescent="0.25">
      <c r="A861" s="9" t="s">
        <v>1759</v>
      </c>
      <c r="B861" s="9" t="s">
        <v>56</v>
      </c>
      <c r="C861" s="9" t="s">
        <v>36</v>
      </c>
      <c r="D861" s="9" t="s">
        <v>39</v>
      </c>
      <c r="E861" s="9" t="s">
        <v>1048</v>
      </c>
      <c r="F861" s="9" t="s">
        <v>1758</v>
      </c>
    </row>
    <row r="862" spans="1:6" x14ac:dyDescent="0.25">
      <c r="A862" s="9" t="s">
        <v>1760</v>
      </c>
      <c r="B862" s="9" t="s">
        <v>59</v>
      </c>
      <c r="C862" s="9" t="s">
        <v>36</v>
      </c>
      <c r="D862" s="9" t="s">
        <v>39</v>
      </c>
      <c r="E862" s="9" t="s">
        <v>1761</v>
      </c>
      <c r="F862" s="9" t="s">
        <v>1758</v>
      </c>
    </row>
    <row r="863" spans="1:6" x14ac:dyDescent="0.25">
      <c r="A863" s="9" t="s">
        <v>1762</v>
      </c>
      <c r="B863" s="9" t="s">
        <v>37</v>
      </c>
      <c r="C863" s="9" t="s">
        <v>35</v>
      </c>
      <c r="D863" s="9" t="s">
        <v>36</v>
      </c>
      <c r="E863" s="9" t="s">
        <v>278</v>
      </c>
      <c r="F863" s="9" t="s">
        <v>1763</v>
      </c>
    </row>
    <row r="864" spans="1:6" x14ac:dyDescent="0.25">
      <c r="A864" s="9" t="s">
        <v>1764</v>
      </c>
      <c r="B864" s="9" t="s">
        <v>38</v>
      </c>
      <c r="C864" s="9" t="s">
        <v>37</v>
      </c>
      <c r="D864" s="9" t="s">
        <v>34</v>
      </c>
      <c r="E864" s="9" t="s">
        <v>1125</v>
      </c>
      <c r="F864" s="9" t="s">
        <v>1765</v>
      </c>
    </row>
    <row r="865" spans="1:6" x14ac:dyDescent="0.25">
      <c r="A865" s="9" t="s">
        <v>1766</v>
      </c>
      <c r="B865" s="9" t="s">
        <v>36</v>
      </c>
      <c r="C865" s="9" t="s">
        <v>37</v>
      </c>
      <c r="D865" s="9" t="s">
        <v>38</v>
      </c>
      <c r="E865" s="9" t="s">
        <v>378</v>
      </c>
      <c r="F865" s="9" t="s">
        <v>1767</v>
      </c>
    </row>
    <row r="866" spans="1:6" x14ac:dyDescent="0.25">
      <c r="A866" s="9" t="s">
        <v>1768</v>
      </c>
      <c r="B866" s="9" t="s">
        <v>38</v>
      </c>
      <c r="C866" s="9" t="s">
        <v>40</v>
      </c>
      <c r="D866" s="9" t="s">
        <v>38</v>
      </c>
      <c r="E866" s="9" t="s">
        <v>705</v>
      </c>
      <c r="F866" s="9" t="s">
        <v>1769</v>
      </c>
    </row>
    <row r="867" spans="1:6" x14ac:dyDescent="0.25">
      <c r="A867" s="9" t="s">
        <v>1770</v>
      </c>
      <c r="B867" s="9" t="s">
        <v>39</v>
      </c>
      <c r="C867" s="9" t="s">
        <v>38</v>
      </c>
      <c r="D867" s="9" t="s">
        <v>37</v>
      </c>
      <c r="E867" s="9" t="s">
        <v>641</v>
      </c>
      <c r="F867" s="9" t="s">
        <v>1769</v>
      </c>
    </row>
    <row r="868" spans="1:6" x14ac:dyDescent="0.25">
      <c r="A868" s="9" t="s">
        <v>1771</v>
      </c>
      <c r="B868" s="9" t="s">
        <v>36</v>
      </c>
      <c r="C868" s="9" t="s">
        <v>38</v>
      </c>
      <c r="D868" s="9" t="s">
        <v>35</v>
      </c>
      <c r="E868" s="9" t="s">
        <v>535</v>
      </c>
      <c r="F868" s="9" t="s">
        <v>1772</v>
      </c>
    </row>
    <row r="869" spans="1:6" x14ac:dyDescent="0.25">
      <c r="A869" s="9" t="s">
        <v>1773</v>
      </c>
      <c r="B869" s="9" t="s">
        <v>59</v>
      </c>
      <c r="C869" s="9" t="s">
        <v>40</v>
      </c>
      <c r="D869" s="9" t="s">
        <v>35</v>
      </c>
      <c r="E869" s="9" t="s">
        <v>489</v>
      </c>
      <c r="F869" s="9" t="s">
        <v>1772</v>
      </c>
    </row>
    <row r="870" spans="1:6" x14ac:dyDescent="0.25">
      <c r="A870" s="9" t="s">
        <v>1774</v>
      </c>
      <c r="B870" s="9" t="s">
        <v>38</v>
      </c>
      <c r="C870" s="9" t="s">
        <v>36</v>
      </c>
      <c r="D870" s="9" t="s">
        <v>39</v>
      </c>
      <c r="E870" s="9" t="s">
        <v>636</v>
      </c>
      <c r="F870" s="9" t="s">
        <v>1775</v>
      </c>
    </row>
    <row r="871" spans="1:6" x14ac:dyDescent="0.25">
      <c r="A871" s="9" t="s">
        <v>1776</v>
      </c>
      <c r="B871" s="9" t="s">
        <v>56</v>
      </c>
      <c r="C871" s="9" t="s">
        <v>35</v>
      </c>
      <c r="D871" s="9" t="s">
        <v>36</v>
      </c>
      <c r="E871" s="9" t="s">
        <v>620</v>
      </c>
      <c r="F871" s="9" t="s">
        <v>1777</v>
      </c>
    </row>
    <row r="872" spans="1:6" x14ac:dyDescent="0.25">
      <c r="A872" s="9" t="s">
        <v>1778</v>
      </c>
      <c r="B872" s="9" t="s">
        <v>37</v>
      </c>
      <c r="C872" s="9" t="s">
        <v>37</v>
      </c>
      <c r="D872" s="9" t="s">
        <v>36</v>
      </c>
      <c r="E872" s="9" t="s">
        <v>603</v>
      </c>
      <c r="F872" s="9" t="s">
        <v>1779</v>
      </c>
    </row>
    <row r="873" spans="1:6" x14ac:dyDescent="0.25">
      <c r="A873" s="9" t="s">
        <v>1780</v>
      </c>
      <c r="B873" s="9" t="s">
        <v>36</v>
      </c>
      <c r="C873" s="9" t="s">
        <v>38</v>
      </c>
      <c r="D873" s="9" t="s">
        <v>35</v>
      </c>
      <c r="E873" s="9" t="s">
        <v>1661</v>
      </c>
      <c r="F873" s="9" t="s">
        <v>1779</v>
      </c>
    </row>
    <row r="874" spans="1:6" x14ac:dyDescent="0.25">
      <c r="A874" s="9" t="s">
        <v>1781</v>
      </c>
      <c r="B874" s="9" t="s">
        <v>56</v>
      </c>
      <c r="C874" s="9" t="s">
        <v>38</v>
      </c>
      <c r="D874" s="9" t="s">
        <v>39</v>
      </c>
      <c r="E874" s="9" t="s">
        <v>1090</v>
      </c>
      <c r="F874" s="9" t="s">
        <v>1782</v>
      </c>
    </row>
    <row r="875" spans="1:6" x14ac:dyDescent="0.25">
      <c r="A875" s="9" t="s">
        <v>1783</v>
      </c>
      <c r="B875" s="9" t="s">
        <v>38</v>
      </c>
      <c r="C875" s="9" t="s">
        <v>39</v>
      </c>
      <c r="D875" s="9" t="s">
        <v>37</v>
      </c>
      <c r="E875" s="9" t="s">
        <v>1761</v>
      </c>
      <c r="F875" s="9" t="s">
        <v>1782</v>
      </c>
    </row>
    <row r="876" spans="1:6" x14ac:dyDescent="0.25">
      <c r="A876" s="9" t="s">
        <v>1784</v>
      </c>
      <c r="B876" s="9" t="s">
        <v>40</v>
      </c>
      <c r="C876" s="9" t="s">
        <v>39</v>
      </c>
      <c r="D876" s="9" t="s">
        <v>38</v>
      </c>
      <c r="E876" s="9" t="s">
        <v>275</v>
      </c>
      <c r="F876" s="9" t="s">
        <v>1782</v>
      </c>
    </row>
    <row r="877" spans="1:6" x14ac:dyDescent="0.25">
      <c r="A877" s="9" t="s">
        <v>1785</v>
      </c>
      <c r="B877" s="9" t="s">
        <v>38</v>
      </c>
      <c r="C877" s="9" t="s">
        <v>35</v>
      </c>
      <c r="D877" s="9" t="s">
        <v>36</v>
      </c>
      <c r="E877" s="9" t="s">
        <v>662</v>
      </c>
      <c r="F877" s="9" t="s">
        <v>1786</v>
      </c>
    </row>
    <row r="878" spans="1:6" x14ac:dyDescent="0.25">
      <c r="A878" s="9" t="s">
        <v>1787</v>
      </c>
      <c r="B878" s="9" t="s">
        <v>59</v>
      </c>
      <c r="C878" s="9" t="s">
        <v>37</v>
      </c>
      <c r="D878" s="9" t="s">
        <v>34</v>
      </c>
      <c r="E878" s="9" t="s">
        <v>789</v>
      </c>
      <c r="F878" s="9" t="s">
        <v>1788</v>
      </c>
    </row>
    <row r="879" spans="1:6" x14ac:dyDescent="0.25">
      <c r="A879" s="9" t="s">
        <v>1789</v>
      </c>
      <c r="B879" s="9" t="s">
        <v>36</v>
      </c>
      <c r="C879" s="9" t="s">
        <v>39</v>
      </c>
      <c r="D879" s="9" t="s">
        <v>34</v>
      </c>
      <c r="E879" s="9" t="s">
        <v>1646</v>
      </c>
      <c r="F879" s="9" t="s">
        <v>1790</v>
      </c>
    </row>
    <row r="880" spans="1:6" x14ac:dyDescent="0.25">
      <c r="A880" s="9" t="s">
        <v>1791</v>
      </c>
      <c r="B880" s="9" t="s">
        <v>37</v>
      </c>
      <c r="C880" s="9" t="s">
        <v>34</v>
      </c>
      <c r="D880" s="9" t="s">
        <v>38</v>
      </c>
      <c r="E880" s="9" t="s">
        <v>343</v>
      </c>
      <c r="F880" s="9" t="s">
        <v>1792</v>
      </c>
    </row>
    <row r="881" spans="1:6" x14ac:dyDescent="0.25">
      <c r="A881" s="9" t="s">
        <v>1793</v>
      </c>
      <c r="B881" s="9" t="s">
        <v>36</v>
      </c>
      <c r="C881" s="9" t="s">
        <v>38</v>
      </c>
      <c r="D881" s="9" t="s">
        <v>34</v>
      </c>
      <c r="E881" s="9" t="s">
        <v>91</v>
      </c>
      <c r="F881" s="9" t="s">
        <v>1794</v>
      </c>
    </row>
    <row r="882" spans="1:6" x14ac:dyDescent="0.25">
      <c r="A882" s="9" t="s">
        <v>1795</v>
      </c>
      <c r="B882" s="9" t="s">
        <v>59</v>
      </c>
      <c r="C882" s="9" t="s">
        <v>35</v>
      </c>
      <c r="D882" s="9" t="s">
        <v>35</v>
      </c>
      <c r="E882" s="9" t="s">
        <v>1048</v>
      </c>
      <c r="F882" s="9" t="s">
        <v>1794</v>
      </c>
    </row>
    <row r="883" spans="1:6" x14ac:dyDescent="0.25">
      <c r="A883" s="9" t="s">
        <v>1796</v>
      </c>
      <c r="B883" s="9" t="s">
        <v>56</v>
      </c>
      <c r="C883" s="9" t="s">
        <v>39</v>
      </c>
      <c r="D883" s="9" t="s">
        <v>38</v>
      </c>
      <c r="E883" s="9" t="s">
        <v>675</v>
      </c>
      <c r="F883" s="9" t="s">
        <v>1794</v>
      </c>
    </row>
    <row r="884" spans="1:6" x14ac:dyDescent="0.25">
      <c r="A884" s="9" t="s">
        <v>1797</v>
      </c>
      <c r="B884" s="9" t="s">
        <v>40</v>
      </c>
      <c r="C884" s="9" t="s">
        <v>39</v>
      </c>
      <c r="D884" s="9" t="s">
        <v>34</v>
      </c>
      <c r="E884" s="9" t="s">
        <v>644</v>
      </c>
      <c r="F884" s="9" t="s">
        <v>1798</v>
      </c>
    </row>
    <row r="885" spans="1:6" x14ac:dyDescent="0.25">
      <c r="A885" s="9" t="s">
        <v>1799</v>
      </c>
      <c r="B885" s="9" t="s">
        <v>36</v>
      </c>
      <c r="C885" s="9" t="s">
        <v>38</v>
      </c>
      <c r="D885" s="9" t="s">
        <v>35</v>
      </c>
      <c r="E885" s="9" t="s">
        <v>747</v>
      </c>
      <c r="F885" s="9" t="s">
        <v>1798</v>
      </c>
    </row>
    <row r="886" spans="1:6" x14ac:dyDescent="0.25">
      <c r="A886" s="9" t="s">
        <v>1800</v>
      </c>
      <c r="B886" s="9" t="s">
        <v>40</v>
      </c>
      <c r="C886" s="9" t="s">
        <v>34</v>
      </c>
      <c r="D886" s="9" t="s">
        <v>39</v>
      </c>
      <c r="E886" s="9" t="s">
        <v>639</v>
      </c>
      <c r="F886" s="9" t="s">
        <v>1801</v>
      </c>
    </row>
    <row r="887" spans="1:6" x14ac:dyDescent="0.25">
      <c r="A887" s="9" t="s">
        <v>1802</v>
      </c>
      <c r="B887" s="9" t="s">
        <v>39</v>
      </c>
      <c r="C887" s="9" t="s">
        <v>38</v>
      </c>
      <c r="D887" s="9" t="s">
        <v>34</v>
      </c>
      <c r="E887" s="9" t="s">
        <v>740</v>
      </c>
      <c r="F887" s="9" t="s">
        <v>1801</v>
      </c>
    </row>
    <row r="888" spans="1:6" x14ac:dyDescent="0.25">
      <c r="A888" s="9" t="s">
        <v>1803</v>
      </c>
      <c r="B888" s="9" t="s">
        <v>39</v>
      </c>
      <c r="C888" s="9" t="s">
        <v>39</v>
      </c>
      <c r="D888" s="9" t="s">
        <v>36</v>
      </c>
      <c r="E888" s="9" t="s">
        <v>128</v>
      </c>
      <c r="F888" s="9" t="s">
        <v>1801</v>
      </c>
    </row>
    <row r="889" spans="1:6" x14ac:dyDescent="0.25">
      <c r="A889" s="9" t="s">
        <v>1804</v>
      </c>
      <c r="B889" s="9" t="s">
        <v>40</v>
      </c>
      <c r="C889" s="9" t="s">
        <v>40</v>
      </c>
      <c r="D889" s="9" t="s">
        <v>39</v>
      </c>
      <c r="E889" s="9" t="s">
        <v>1314</v>
      </c>
      <c r="F889" s="9" t="s">
        <v>1805</v>
      </c>
    </row>
    <row r="890" spans="1:6" x14ac:dyDescent="0.25">
      <c r="A890" s="9" t="s">
        <v>1806</v>
      </c>
      <c r="B890" s="9" t="s">
        <v>40</v>
      </c>
      <c r="C890" s="9" t="s">
        <v>34</v>
      </c>
      <c r="D890" s="9" t="s">
        <v>36</v>
      </c>
      <c r="E890" s="9" t="s">
        <v>262</v>
      </c>
      <c r="F890" s="9" t="s">
        <v>1807</v>
      </c>
    </row>
    <row r="891" spans="1:6" x14ac:dyDescent="0.25">
      <c r="A891" s="9" t="s">
        <v>1808</v>
      </c>
      <c r="B891" s="9" t="s">
        <v>34</v>
      </c>
      <c r="C891" s="9" t="s">
        <v>39</v>
      </c>
      <c r="D891" s="9" t="s">
        <v>39</v>
      </c>
      <c r="E891" s="9" t="s">
        <v>1090</v>
      </c>
      <c r="F891" s="9" t="s">
        <v>1807</v>
      </c>
    </row>
    <row r="892" spans="1:6" x14ac:dyDescent="0.25">
      <c r="A892" s="9" t="s">
        <v>1809</v>
      </c>
      <c r="B892" s="9" t="s">
        <v>35</v>
      </c>
      <c r="C892" s="9" t="s">
        <v>34</v>
      </c>
      <c r="D892" s="9" t="s">
        <v>37</v>
      </c>
      <c r="E892" s="9" t="s">
        <v>114</v>
      </c>
      <c r="F892" s="9" t="s">
        <v>1810</v>
      </c>
    </row>
    <row r="893" spans="1:6" x14ac:dyDescent="0.25">
      <c r="A893" s="9" t="s">
        <v>1811</v>
      </c>
      <c r="B893" s="9" t="s">
        <v>37</v>
      </c>
      <c r="C893" s="9" t="s">
        <v>35</v>
      </c>
      <c r="D893" s="9" t="s">
        <v>38</v>
      </c>
      <c r="E893" s="9" t="s">
        <v>1723</v>
      </c>
      <c r="F893" s="9" t="s">
        <v>1810</v>
      </c>
    </row>
    <row r="894" spans="1:6" x14ac:dyDescent="0.25">
      <c r="A894" s="9" t="s">
        <v>1812</v>
      </c>
      <c r="B894" s="9" t="s">
        <v>39</v>
      </c>
      <c r="C894" s="9" t="s">
        <v>38</v>
      </c>
      <c r="D894" s="9" t="s">
        <v>36</v>
      </c>
      <c r="E894" s="9" t="s">
        <v>82</v>
      </c>
      <c r="F894" s="9" t="s">
        <v>1810</v>
      </c>
    </row>
    <row r="895" spans="1:6" x14ac:dyDescent="0.25">
      <c r="A895" s="9" t="s">
        <v>1813</v>
      </c>
      <c r="B895" s="9" t="s">
        <v>34</v>
      </c>
      <c r="C895" s="9" t="s">
        <v>38</v>
      </c>
      <c r="D895" s="9" t="s">
        <v>35</v>
      </c>
      <c r="E895" s="9" t="s">
        <v>874</v>
      </c>
      <c r="F895" s="9" t="s">
        <v>1814</v>
      </c>
    </row>
    <row r="896" spans="1:6" x14ac:dyDescent="0.25">
      <c r="A896" s="9" t="s">
        <v>1815</v>
      </c>
      <c r="B896" s="9" t="s">
        <v>37</v>
      </c>
      <c r="C896" s="9" t="s">
        <v>37</v>
      </c>
      <c r="D896" s="9" t="s">
        <v>34</v>
      </c>
      <c r="E896" s="9" t="s">
        <v>868</v>
      </c>
      <c r="F896" s="9" t="s">
        <v>1814</v>
      </c>
    </row>
    <row r="897" spans="1:6" x14ac:dyDescent="0.25">
      <c r="A897" s="9" t="s">
        <v>1816</v>
      </c>
      <c r="B897" s="9" t="s">
        <v>38</v>
      </c>
      <c r="C897" s="9" t="s">
        <v>38</v>
      </c>
      <c r="D897" s="9" t="s">
        <v>37</v>
      </c>
      <c r="E897" s="9" t="s">
        <v>315</v>
      </c>
      <c r="F897" s="9" t="s">
        <v>1814</v>
      </c>
    </row>
    <row r="898" spans="1:6" x14ac:dyDescent="0.25">
      <c r="A898" s="9" t="s">
        <v>1817</v>
      </c>
      <c r="B898" s="9" t="s">
        <v>36</v>
      </c>
      <c r="C898" s="9" t="s">
        <v>34</v>
      </c>
      <c r="D898" s="9" t="s">
        <v>38</v>
      </c>
      <c r="E898" s="9" t="s">
        <v>652</v>
      </c>
      <c r="F898" s="9" t="s">
        <v>1818</v>
      </c>
    </row>
    <row r="899" spans="1:6" x14ac:dyDescent="0.25">
      <c r="A899" s="9" t="s">
        <v>1819</v>
      </c>
      <c r="B899" s="9" t="s">
        <v>39</v>
      </c>
      <c r="C899" s="9" t="s">
        <v>37</v>
      </c>
      <c r="D899" s="9" t="s">
        <v>38</v>
      </c>
      <c r="E899" s="9" t="s">
        <v>363</v>
      </c>
      <c r="F899" s="9" t="s">
        <v>1818</v>
      </c>
    </row>
    <row r="900" spans="1:6" x14ac:dyDescent="0.25">
      <c r="A900" s="9" t="s">
        <v>1820</v>
      </c>
      <c r="B900" s="9" t="s">
        <v>38</v>
      </c>
      <c r="C900" s="9" t="s">
        <v>37</v>
      </c>
      <c r="D900" s="9" t="s">
        <v>36</v>
      </c>
      <c r="E900" s="9" t="s">
        <v>177</v>
      </c>
      <c r="F900" s="9" t="s">
        <v>1818</v>
      </c>
    </row>
    <row r="901" spans="1:6" x14ac:dyDescent="0.25">
      <c r="A901" s="9" t="s">
        <v>1821</v>
      </c>
      <c r="B901" s="9" t="s">
        <v>56</v>
      </c>
      <c r="C901" s="9" t="s">
        <v>36</v>
      </c>
      <c r="D901" s="9" t="s">
        <v>34</v>
      </c>
      <c r="E901" s="9" t="s">
        <v>371</v>
      </c>
      <c r="F901" s="9" t="s">
        <v>1822</v>
      </c>
    </row>
    <row r="902" spans="1:6" x14ac:dyDescent="0.25">
      <c r="A902" s="9" t="s">
        <v>1823</v>
      </c>
      <c r="B902" s="9" t="s">
        <v>56</v>
      </c>
      <c r="C902" s="9" t="s">
        <v>34</v>
      </c>
      <c r="D902" s="9" t="s">
        <v>37</v>
      </c>
      <c r="E902" s="9" t="s">
        <v>989</v>
      </c>
      <c r="F902" s="9" t="s">
        <v>1824</v>
      </c>
    </row>
    <row r="903" spans="1:6" x14ac:dyDescent="0.25">
      <c r="A903" s="9" t="s">
        <v>1825</v>
      </c>
      <c r="B903" s="9" t="s">
        <v>59</v>
      </c>
      <c r="C903" s="9" t="s">
        <v>34</v>
      </c>
      <c r="D903" s="9" t="s">
        <v>34</v>
      </c>
      <c r="E903" s="9" t="s">
        <v>315</v>
      </c>
      <c r="F903" s="9" t="s">
        <v>1824</v>
      </c>
    </row>
    <row r="904" spans="1:6" x14ac:dyDescent="0.25">
      <c r="A904" s="9" t="s">
        <v>1826</v>
      </c>
      <c r="B904" s="9" t="s">
        <v>39</v>
      </c>
      <c r="C904" s="9" t="s">
        <v>37</v>
      </c>
      <c r="D904" s="9" t="s">
        <v>38</v>
      </c>
      <c r="E904" s="9" t="s">
        <v>1125</v>
      </c>
      <c r="F904" s="9" t="s">
        <v>1827</v>
      </c>
    </row>
    <row r="905" spans="1:6" x14ac:dyDescent="0.25">
      <c r="A905" s="9" t="s">
        <v>1828</v>
      </c>
      <c r="B905" s="9" t="s">
        <v>56</v>
      </c>
      <c r="C905" s="9" t="s">
        <v>35</v>
      </c>
      <c r="D905" s="9" t="s">
        <v>35</v>
      </c>
      <c r="E905" s="9" t="s">
        <v>222</v>
      </c>
      <c r="F905" s="9" t="s">
        <v>1829</v>
      </c>
    </row>
    <row r="906" spans="1:6" x14ac:dyDescent="0.25">
      <c r="A906" s="9" t="s">
        <v>1830</v>
      </c>
      <c r="B906" s="9" t="s">
        <v>40</v>
      </c>
      <c r="C906" s="9" t="s">
        <v>35</v>
      </c>
      <c r="D906" s="9" t="s">
        <v>38</v>
      </c>
      <c r="E906" s="9" t="s">
        <v>740</v>
      </c>
      <c r="F906" s="9" t="s">
        <v>1831</v>
      </c>
    </row>
    <row r="907" spans="1:6" x14ac:dyDescent="0.25">
      <c r="A907" s="9" t="s">
        <v>1832</v>
      </c>
      <c r="B907" s="9" t="s">
        <v>35</v>
      </c>
      <c r="C907" s="9" t="s">
        <v>37</v>
      </c>
      <c r="D907" s="9" t="s">
        <v>37</v>
      </c>
      <c r="E907" s="9" t="s">
        <v>611</v>
      </c>
      <c r="F907" s="9" t="s">
        <v>1833</v>
      </c>
    </row>
    <row r="908" spans="1:6" x14ac:dyDescent="0.25">
      <c r="A908" s="9" t="s">
        <v>1834</v>
      </c>
      <c r="B908" s="9" t="s">
        <v>56</v>
      </c>
      <c r="C908" s="9" t="s">
        <v>36</v>
      </c>
      <c r="D908" s="9" t="s">
        <v>36</v>
      </c>
      <c r="E908" s="9" t="s">
        <v>378</v>
      </c>
      <c r="F908" s="9" t="s">
        <v>1835</v>
      </c>
    </row>
    <row r="909" spans="1:6" x14ac:dyDescent="0.25">
      <c r="A909" s="9" t="s">
        <v>1836</v>
      </c>
      <c r="B909" s="9" t="s">
        <v>56</v>
      </c>
      <c r="C909" s="9" t="s">
        <v>36</v>
      </c>
      <c r="D909" s="9" t="s">
        <v>39</v>
      </c>
      <c r="E909" s="9" t="s">
        <v>351</v>
      </c>
      <c r="F909" s="9" t="s">
        <v>1835</v>
      </c>
    </row>
    <row r="910" spans="1:6" x14ac:dyDescent="0.25">
      <c r="A910" s="9" t="s">
        <v>1837</v>
      </c>
      <c r="B910" s="9" t="s">
        <v>35</v>
      </c>
      <c r="C910" s="9" t="s">
        <v>40</v>
      </c>
      <c r="D910" s="9" t="s">
        <v>36</v>
      </c>
      <c r="E910" s="9" t="s">
        <v>1601</v>
      </c>
      <c r="F910" s="9" t="s">
        <v>1835</v>
      </c>
    </row>
    <row r="911" spans="1:6" x14ac:dyDescent="0.25">
      <c r="A911" s="9" t="s">
        <v>1838</v>
      </c>
      <c r="B911" s="9" t="s">
        <v>35</v>
      </c>
      <c r="C911" s="9" t="s">
        <v>36</v>
      </c>
      <c r="D911" s="9" t="s">
        <v>34</v>
      </c>
      <c r="E911" s="9" t="s">
        <v>1484</v>
      </c>
      <c r="F911" s="9" t="s">
        <v>1835</v>
      </c>
    </row>
    <row r="912" spans="1:6" x14ac:dyDescent="0.25">
      <c r="A912" s="9" t="s">
        <v>1839</v>
      </c>
      <c r="B912" s="9" t="s">
        <v>35</v>
      </c>
      <c r="C912" s="9" t="s">
        <v>36</v>
      </c>
      <c r="D912" s="9" t="s">
        <v>35</v>
      </c>
      <c r="E912" s="9" t="s">
        <v>754</v>
      </c>
      <c r="F912" s="9" t="s">
        <v>1840</v>
      </c>
    </row>
    <row r="913" spans="1:6" x14ac:dyDescent="0.25">
      <c r="A913" s="9" t="s">
        <v>1841</v>
      </c>
      <c r="B913" s="9" t="s">
        <v>56</v>
      </c>
      <c r="C913" s="9" t="s">
        <v>38</v>
      </c>
      <c r="D913" s="9" t="s">
        <v>37</v>
      </c>
      <c r="E913" s="9" t="s">
        <v>752</v>
      </c>
      <c r="F913" s="9" t="s">
        <v>1842</v>
      </c>
    </row>
    <row r="914" spans="1:6" x14ac:dyDescent="0.25">
      <c r="A914" s="9" t="s">
        <v>1843</v>
      </c>
      <c r="B914" s="9" t="s">
        <v>36</v>
      </c>
      <c r="C914" s="9" t="s">
        <v>37</v>
      </c>
      <c r="D914" s="9" t="s">
        <v>34</v>
      </c>
      <c r="E914" s="9" t="s">
        <v>825</v>
      </c>
      <c r="F914" s="9" t="s">
        <v>1844</v>
      </c>
    </row>
    <row r="915" spans="1:6" x14ac:dyDescent="0.25">
      <c r="A915" s="9" t="s">
        <v>1845</v>
      </c>
      <c r="B915" s="9" t="s">
        <v>39</v>
      </c>
      <c r="C915" s="9" t="s">
        <v>36</v>
      </c>
      <c r="D915" s="9" t="s">
        <v>36</v>
      </c>
      <c r="E915" s="9" t="s">
        <v>600</v>
      </c>
      <c r="F915" s="9" t="s">
        <v>1846</v>
      </c>
    </row>
    <row r="916" spans="1:6" x14ac:dyDescent="0.25">
      <c r="A916" s="9" t="s">
        <v>1847</v>
      </c>
      <c r="B916" s="9" t="s">
        <v>40</v>
      </c>
      <c r="C916" s="9" t="s">
        <v>35</v>
      </c>
      <c r="D916" s="9" t="s">
        <v>37</v>
      </c>
      <c r="E916" s="9" t="s">
        <v>600</v>
      </c>
      <c r="F916" s="9" t="s">
        <v>1848</v>
      </c>
    </row>
    <row r="917" spans="1:6" x14ac:dyDescent="0.25">
      <c r="A917" s="9" t="s">
        <v>1849</v>
      </c>
      <c r="B917" s="9" t="s">
        <v>35</v>
      </c>
      <c r="C917" s="9" t="s">
        <v>35</v>
      </c>
      <c r="D917" s="9" t="s">
        <v>38</v>
      </c>
      <c r="E917" s="9" t="s">
        <v>1027</v>
      </c>
      <c r="F917" s="9" t="s">
        <v>1848</v>
      </c>
    </row>
    <row r="918" spans="1:6" x14ac:dyDescent="0.25">
      <c r="A918" s="9" t="s">
        <v>1850</v>
      </c>
      <c r="B918" s="9" t="s">
        <v>39</v>
      </c>
      <c r="C918" s="9" t="s">
        <v>40</v>
      </c>
      <c r="D918" s="9" t="s">
        <v>37</v>
      </c>
      <c r="E918" s="9" t="s">
        <v>1022</v>
      </c>
      <c r="F918" s="9" t="s">
        <v>1848</v>
      </c>
    </row>
    <row r="919" spans="1:6" x14ac:dyDescent="0.25">
      <c r="A919" s="9" t="s">
        <v>1851</v>
      </c>
      <c r="B919" s="9" t="s">
        <v>34</v>
      </c>
      <c r="C919" s="9" t="s">
        <v>35</v>
      </c>
      <c r="D919" s="9" t="s">
        <v>39</v>
      </c>
      <c r="E919" s="9" t="s">
        <v>1761</v>
      </c>
      <c r="F919" s="9" t="s">
        <v>1852</v>
      </c>
    </row>
    <row r="920" spans="1:6" x14ac:dyDescent="0.25">
      <c r="A920" s="9" t="s">
        <v>1853</v>
      </c>
      <c r="B920" s="9" t="s">
        <v>39</v>
      </c>
      <c r="C920" s="9" t="s">
        <v>38</v>
      </c>
      <c r="D920" s="9" t="s">
        <v>39</v>
      </c>
      <c r="E920" s="9" t="s">
        <v>131</v>
      </c>
      <c r="F920" s="9" t="s">
        <v>1854</v>
      </c>
    </row>
    <row r="921" spans="1:6" x14ac:dyDescent="0.25">
      <c r="A921" s="9" t="s">
        <v>1855</v>
      </c>
      <c r="B921" s="9" t="s">
        <v>39</v>
      </c>
      <c r="C921" s="9" t="s">
        <v>37</v>
      </c>
      <c r="D921" s="9" t="s">
        <v>34</v>
      </c>
      <c r="E921" s="9" t="s">
        <v>1761</v>
      </c>
      <c r="F921" s="9" t="s">
        <v>1856</v>
      </c>
    </row>
    <row r="922" spans="1:6" x14ac:dyDescent="0.25">
      <c r="A922" s="9" t="s">
        <v>1857</v>
      </c>
      <c r="B922" s="9" t="s">
        <v>35</v>
      </c>
      <c r="C922" s="9" t="s">
        <v>36</v>
      </c>
      <c r="D922" s="9" t="s">
        <v>35</v>
      </c>
      <c r="E922" s="9" t="s">
        <v>307</v>
      </c>
      <c r="F922" s="9" t="s">
        <v>1856</v>
      </c>
    </row>
    <row r="923" spans="1:6" x14ac:dyDescent="0.25">
      <c r="A923" s="9" t="s">
        <v>1858</v>
      </c>
      <c r="B923" s="9" t="s">
        <v>34</v>
      </c>
      <c r="C923" s="9" t="s">
        <v>37</v>
      </c>
      <c r="D923" s="9" t="s">
        <v>38</v>
      </c>
      <c r="E923" s="9" t="s">
        <v>979</v>
      </c>
      <c r="F923" s="9" t="s">
        <v>1859</v>
      </c>
    </row>
    <row r="924" spans="1:6" x14ac:dyDescent="0.25">
      <c r="A924" s="9" t="s">
        <v>1860</v>
      </c>
      <c r="B924" s="9" t="s">
        <v>40</v>
      </c>
      <c r="C924" s="9" t="s">
        <v>39</v>
      </c>
      <c r="D924" s="9" t="s">
        <v>36</v>
      </c>
      <c r="E924" s="9" t="s">
        <v>865</v>
      </c>
      <c r="F924" s="9" t="s">
        <v>1861</v>
      </c>
    </row>
    <row r="925" spans="1:6" x14ac:dyDescent="0.25">
      <c r="A925" s="9" t="s">
        <v>1862</v>
      </c>
      <c r="B925" s="9" t="s">
        <v>39</v>
      </c>
      <c r="C925" s="9" t="s">
        <v>35</v>
      </c>
      <c r="D925" s="9" t="s">
        <v>39</v>
      </c>
      <c r="E925" s="9" t="s">
        <v>418</v>
      </c>
      <c r="F925" s="9" t="s">
        <v>1863</v>
      </c>
    </row>
    <row r="926" spans="1:6" x14ac:dyDescent="0.25">
      <c r="A926" s="9" t="s">
        <v>1864</v>
      </c>
      <c r="B926" s="9" t="s">
        <v>56</v>
      </c>
      <c r="C926" s="9" t="s">
        <v>36</v>
      </c>
      <c r="D926" s="9" t="s">
        <v>35</v>
      </c>
      <c r="E926" s="9" t="s">
        <v>131</v>
      </c>
      <c r="F926" s="9" t="s">
        <v>1865</v>
      </c>
    </row>
    <row r="927" spans="1:6" x14ac:dyDescent="0.25">
      <c r="A927" s="9" t="s">
        <v>1866</v>
      </c>
      <c r="B927" s="9" t="s">
        <v>34</v>
      </c>
      <c r="C927" s="9" t="s">
        <v>38</v>
      </c>
      <c r="D927" s="9" t="s">
        <v>35</v>
      </c>
      <c r="E927" s="9" t="s">
        <v>105</v>
      </c>
      <c r="F927" s="9" t="s">
        <v>1865</v>
      </c>
    </row>
    <row r="928" spans="1:6" x14ac:dyDescent="0.25">
      <c r="A928" s="9" t="s">
        <v>1867</v>
      </c>
      <c r="B928" s="9" t="s">
        <v>56</v>
      </c>
      <c r="C928" s="9" t="s">
        <v>39</v>
      </c>
      <c r="D928" s="9" t="s">
        <v>37</v>
      </c>
      <c r="E928" s="9" t="s">
        <v>233</v>
      </c>
      <c r="F928" s="9" t="s">
        <v>1868</v>
      </c>
    </row>
    <row r="929" spans="1:6" x14ac:dyDescent="0.25">
      <c r="A929" s="9" t="s">
        <v>1869</v>
      </c>
      <c r="B929" s="9" t="s">
        <v>39</v>
      </c>
      <c r="C929" s="9" t="s">
        <v>36</v>
      </c>
      <c r="D929" s="9" t="s">
        <v>36</v>
      </c>
      <c r="E929" s="9" t="s">
        <v>1870</v>
      </c>
      <c r="F929" s="9" t="s">
        <v>1871</v>
      </c>
    </row>
    <row r="930" spans="1:6" x14ac:dyDescent="0.25">
      <c r="A930" s="9" t="s">
        <v>1872</v>
      </c>
      <c r="B930" s="9" t="s">
        <v>34</v>
      </c>
      <c r="C930" s="9" t="s">
        <v>39</v>
      </c>
      <c r="D930" s="9" t="s">
        <v>36</v>
      </c>
      <c r="E930" s="9" t="s">
        <v>278</v>
      </c>
      <c r="F930" s="9" t="s">
        <v>1873</v>
      </c>
    </row>
    <row r="931" spans="1:6" x14ac:dyDescent="0.25">
      <c r="A931" s="9" t="s">
        <v>1874</v>
      </c>
      <c r="B931" s="9" t="s">
        <v>39</v>
      </c>
      <c r="C931" s="9" t="s">
        <v>37</v>
      </c>
      <c r="D931" s="9" t="s">
        <v>38</v>
      </c>
      <c r="E931" s="9" t="s">
        <v>338</v>
      </c>
      <c r="F931" s="9" t="s">
        <v>1875</v>
      </c>
    </row>
    <row r="932" spans="1:6" x14ac:dyDescent="0.25">
      <c r="A932" s="9" t="s">
        <v>1876</v>
      </c>
      <c r="B932" s="9" t="s">
        <v>59</v>
      </c>
      <c r="C932" s="9" t="s">
        <v>35</v>
      </c>
      <c r="D932" s="9" t="s">
        <v>39</v>
      </c>
      <c r="E932" s="9" t="s">
        <v>989</v>
      </c>
      <c r="F932" s="9" t="s">
        <v>1877</v>
      </c>
    </row>
    <row r="933" spans="1:6" x14ac:dyDescent="0.25">
      <c r="A933" s="9" t="s">
        <v>1878</v>
      </c>
      <c r="B933" s="9" t="s">
        <v>35</v>
      </c>
      <c r="C933" s="9" t="s">
        <v>38</v>
      </c>
      <c r="D933" s="9" t="s">
        <v>38</v>
      </c>
      <c r="E933" s="9" t="s">
        <v>119</v>
      </c>
      <c r="F933" s="9" t="s">
        <v>1879</v>
      </c>
    </row>
    <row r="934" spans="1:6" x14ac:dyDescent="0.25">
      <c r="A934" s="9" t="s">
        <v>1880</v>
      </c>
      <c r="B934" s="9" t="s">
        <v>39</v>
      </c>
      <c r="C934" s="9" t="s">
        <v>35</v>
      </c>
      <c r="D934" s="9" t="s">
        <v>36</v>
      </c>
      <c r="E934" s="9" t="s">
        <v>228</v>
      </c>
      <c r="F934" s="9" t="s">
        <v>1881</v>
      </c>
    </row>
    <row r="935" spans="1:6" x14ac:dyDescent="0.25">
      <c r="A935" s="9" t="s">
        <v>1882</v>
      </c>
      <c r="B935" s="9" t="s">
        <v>38</v>
      </c>
      <c r="C935" s="9" t="s">
        <v>40</v>
      </c>
      <c r="D935" s="9" t="s">
        <v>36</v>
      </c>
      <c r="E935" s="9" t="s">
        <v>82</v>
      </c>
      <c r="F935" s="9" t="s">
        <v>1883</v>
      </c>
    </row>
    <row r="936" spans="1:6" x14ac:dyDescent="0.25">
      <c r="A936" s="9" t="s">
        <v>1884</v>
      </c>
      <c r="B936" s="9" t="s">
        <v>37</v>
      </c>
      <c r="C936" s="9" t="s">
        <v>35</v>
      </c>
      <c r="D936" s="9" t="s">
        <v>34</v>
      </c>
      <c r="E936" s="9" t="s">
        <v>363</v>
      </c>
      <c r="F936" s="9" t="s">
        <v>1883</v>
      </c>
    </row>
    <row r="937" spans="1:6" x14ac:dyDescent="0.25">
      <c r="A937" s="9" t="s">
        <v>1885</v>
      </c>
      <c r="B937" s="9" t="s">
        <v>39</v>
      </c>
      <c r="C937" s="9" t="s">
        <v>38</v>
      </c>
      <c r="D937" s="9" t="s">
        <v>36</v>
      </c>
      <c r="E937" s="9" t="s">
        <v>307</v>
      </c>
      <c r="F937" s="9" t="s">
        <v>1886</v>
      </c>
    </row>
    <row r="938" spans="1:6" x14ac:dyDescent="0.25">
      <c r="A938" s="9" t="s">
        <v>1887</v>
      </c>
      <c r="B938" s="9" t="s">
        <v>39</v>
      </c>
      <c r="C938" s="9" t="s">
        <v>38</v>
      </c>
      <c r="D938" s="9" t="s">
        <v>37</v>
      </c>
      <c r="E938" s="9" t="s">
        <v>165</v>
      </c>
      <c r="F938" s="9" t="s">
        <v>1886</v>
      </c>
    </row>
    <row r="939" spans="1:6" x14ac:dyDescent="0.25">
      <c r="A939" s="9" t="s">
        <v>1888</v>
      </c>
      <c r="B939" s="9" t="s">
        <v>38</v>
      </c>
      <c r="C939" s="9" t="s">
        <v>40</v>
      </c>
      <c r="D939" s="9" t="s">
        <v>38</v>
      </c>
      <c r="E939" s="9" t="s">
        <v>594</v>
      </c>
      <c r="F939" s="9" t="s">
        <v>1886</v>
      </c>
    </row>
    <row r="940" spans="1:6" x14ac:dyDescent="0.25">
      <c r="A940" s="9" t="s">
        <v>1889</v>
      </c>
      <c r="B940" s="9" t="s">
        <v>35</v>
      </c>
      <c r="C940" s="9" t="s">
        <v>36</v>
      </c>
      <c r="D940" s="9" t="s">
        <v>35</v>
      </c>
      <c r="E940" s="9" t="s">
        <v>267</v>
      </c>
      <c r="F940" s="9" t="s">
        <v>1890</v>
      </c>
    </row>
    <row r="941" spans="1:6" x14ac:dyDescent="0.25">
      <c r="A941" s="9" t="s">
        <v>1891</v>
      </c>
      <c r="B941" s="9" t="s">
        <v>40</v>
      </c>
      <c r="C941" s="9" t="s">
        <v>34</v>
      </c>
      <c r="D941" s="9" t="s">
        <v>34</v>
      </c>
      <c r="E941" s="9" t="s">
        <v>354</v>
      </c>
      <c r="F941" s="9" t="s">
        <v>1892</v>
      </c>
    </row>
    <row r="942" spans="1:6" x14ac:dyDescent="0.25">
      <c r="A942" s="9" t="s">
        <v>1893</v>
      </c>
      <c r="B942" s="9" t="s">
        <v>34</v>
      </c>
      <c r="C942" s="9" t="s">
        <v>40</v>
      </c>
      <c r="D942" s="9" t="s">
        <v>34</v>
      </c>
      <c r="E942" s="9" t="s">
        <v>413</v>
      </c>
      <c r="F942" s="9" t="s">
        <v>1894</v>
      </c>
    </row>
    <row r="943" spans="1:6" x14ac:dyDescent="0.25">
      <c r="A943" s="9" t="s">
        <v>1895</v>
      </c>
      <c r="B943" s="9" t="s">
        <v>35</v>
      </c>
      <c r="C943" s="9" t="s">
        <v>36</v>
      </c>
      <c r="D943" s="9" t="s">
        <v>35</v>
      </c>
      <c r="E943" s="9" t="s">
        <v>481</v>
      </c>
      <c r="F943" s="9" t="s">
        <v>1894</v>
      </c>
    </row>
    <row r="944" spans="1:6" x14ac:dyDescent="0.25">
      <c r="A944" s="9" t="s">
        <v>1896</v>
      </c>
      <c r="B944" s="9" t="s">
        <v>39</v>
      </c>
      <c r="C944" s="9" t="s">
        <v>37</v>
      </c>
      <c r="D944" s="9" t="s">
        <v>37</v>
      </c>
      <c r="E944" s="9" t="s">
        <v>1661</v>
      </c>
      <c r="F944" s="9" t="s">
        <v>1897</v>
      </c>
    </row>
    <row r="945" spans="1:6" x14ac:dyDescent="0.25">
      <c r="A945" s="9" t="s">
        <v>1898</v>
      </c>
      <c r="B945" s="9" t="s">
        <v>59</v>
      </c>
      <c r="C945" s="9" t="s">
        <v>40</v>
      </c>
      <c r="D945" s="9" t="s">
        <v>35</v>
      </c>
      <c r="E945" s="9" t="s">
        <v>77</v>
      </c>
      <c r="F945" s="9" t="s">
        <v>1897</v>
      </c>
    </row>
    <row r="946" spans="1:6" x14ac:dyDescent="0.25">
      <c r="A946" s="9" t="s">
        <v>1899</v>
      </c>
      <c r="B946" s="9" t="s">
        <v>39</v>
      </c>
      <c r="C946" s="9" t="s">
        <v>37</v>
      </c>
      <c r="D946" s="9" t="s">
        <v>35</v>
      </c>
      <c r="E946" s="9" t="s">
        <v>236</v>
      </c>
      <c r="F946" s="9" t="s">
        <v>1897</v>
      </c>
    </row>
    <row r="947" spans="1:6" x14ac:dyDescent="0.25">
      <c r="A947" s="9" t="s">
        <v>1900</v>
      </c>
      <c r="B947" s="9" t="s">
        <v>34</v>
      </c>
      <c r="C947" s="9" t="s">
        <v>39</v>
      </c>
      <c r="D947" s="9" t="s">
        <v>37</v>
      </c>
      <c r="E947" s="9" t="s">
        <v>896</v>
      </c>
      <c r="F947" s="9" t="s">
        <v>1901</v>
      </c>
    </row>
    <row r="948" spans="1:6" x14ac:dyDescent="0.25">
      <c r="A948" s="9" t="s">
        <v>1902</v>
      </c>
      <c r="B948" s="9" t="s">
        <v>35</v>
      </c>
      <c r="C948" s="9" t="s">
        <v>34</v>
      </c>
      <c r="D948" s="9" t="s">
        <v>38</v>
      </c>
      <c r="E948" s="9" t="s">
        <v>545</v>
      </c>
      <c r="F948" s="9" t="s">
        <v>1903</v>
      </c>
    </row>
    <row r="949" spans="1:6" x14ac:dyDescent="0.25">
      <c r="A949" s="9" t="s">
        <v>1904</v>
      </c>
      <c r="B949" s="9" t="s">
        <v>37</v>
      </c>
      <c r="C949" s="9" t="s">
        <v>34</v>
      </c>
      <c r="D949" s="9" t="s">
        <v>34</v>
      </c>
      <c r="E949" s="9" t="s">
        <v>188</v>
      </c>
      <c r="F949" s="9" t="s">
        <v>1905</v>
      </c>
    </row>
    <row r="950" spans="1:6" x14ac:dyDescent="0.25">
      <c r="A950" s="9" t="s">
        <v>1906</v>
      </c>
      <c r="B950" s="9" t="s">
        <v>59</v>
      </c>
      <c r="C950" s="9" t="s">
        <v>37</v>
      </c>
      <c r="D950" s="9" t="s">
        <v>38</v>
      </c>
      <c r="E950" s="9" t="s">
        <v>73</v>
      </c>
      <c r="F950" s="9" t="s">
        <v>1907</v>
      </c>
    </row>
    <row r="951" spans="1:6" x14ac:dyDescent="0.25">
      <c r="A951" s="9" t="s">
        <v>1908</v>
      </c>
      <c r="B951" s="9" t="s">
        <v>59</v>
      </c>
      <c r="C951" s="9" t="s">
        <v>40</v>
      </c>
      <c r="D951" s="9" t="s">
        <v>38</v>
      </c>
      <c r="E951" s="9" t="s">
        <v>501</v>
      </c>
      <c r="F951" s="9" t="s">
        <v>1909</v>
      </c>
    </row>
    <row r="952" spans="1:6" x14ac:dyDescent="0.25">
      <c r="A952" s="9" t="s">
        <v>1910</v>
      </c>
      <c r="B952" s="9" t="s">
        <v>37</v>
      </c>
      <c r="C952" s="9" t="s">
        <v>35</v>
      </c>
      <c r="D952" s="9" t="s">
        <v>37</v>
      </c>
      <c r="E952" s="9" t="s">
        <v>75</v>
      </c>
      <c r="F952" s="9" t="s">
        <v>1911</v>
      </c>
    </row>
    <row r="953" spans="1:6" x14ac:dyDescent="0.25">
      <c r="A953" s="9" t="s">
        <v>1912</v>
      </c>
      <c r="B953" s="9" t="s">
        <v>34</v>
      </c>
      <c r="C953" s="9" t="s">
        <v>34</v>
      </c>
      <c r="D953" s="9" t="s">
        <v>35</v>
      </c>
      <c r="E953" s="9" t="s">
        <v>961</v>
      </c>
      <c r="F953" s="9" t="s">
        <v>1913</v>
      </c>
    </row>
    <row r="954" spans="1:6" x14ac:dyDescent="0.25">
      <c r="A954" s="9" t="s">
        <v>1914</v>
      </c>
      <c r="B954" s="9" t="s">
        <v>35</v>
      </c>
      <c r="C954" s="9" t="s">
        <v>38</v>
      </c>
      <c r="D954" s="9" t="s">
        <v>34</v>
      </c>
      <c r="E954" s="9" t="s">
        <v>628</v>
      </c>
      <c r="F954" s="9" t="s">
        <v>1915</v>
      </c>
    </row>
    <row r="955" spans="1:6" x14ac:dyDescent="0.25">
      <c r="A955" s="9" t="s">
        <v>1916</v>
      </c>
      <c r="B955" s="9" t="s">
        <v>40</v>
      </c>
      <c r="C955" s="9" t="s">
        <v>37</v>
      </c>
      <c r="D955" s="9" t="s">
        <v>37</v>
      </c>
      <c r="E955" s="9" t="s">
        <v>252</v>
      </c>
      <c r="F955" s="9" t="s">
        <v>1917</v>
      </c>
    </row>
    <row r="956" spans="1:6" x14ac:dyDescent="0.25">
      <c r="A956" s="9" t="s">
        <v>1918</v>
      </c>
      <c r="B956" s="9" t="s">
        <v>40</v>
      </c>
      <c r="C956" s="9" t="s">
        <v>40</v>
      </c>
      <c r="D956" s="9" t="s">
        <v>37</v>
      </c>
      <c r="E956" s="9" t="s">
        <v>378</v>
      </c>
      <c r="F956" s="9" t="s">
        <v>1919</v>
      </c>
    </row>
    <row r="957" spans="1:6" x14ac:dyDescent="0.25">
      <c r="A957" s="9" t="s">
        <v>1920</v>
      </c>
      <c r="B957" s="9" t="s">
        <v>36</v>
      </c>
      <c r="C957" s="9" t="s">
        <v>40</v>
      </c>
      <c r="D957" s="9" t="s">
        <v>37</v>
      </c>
      <c r="E957" s="9" t="s">
        <v>343</v>
      </c>
      <c r="F957" s="9" t="s">
        <v>1921</v>
      </c>
    </row>
    <row r="958" spans="1:6" x14ac:dyDescent="0.25">
      <c r="A958" s="9" t="s">
        <v>1922</v>
      </c>
      <c r="B958" s="9" t="s">
        <v>37</v>
      </c>
      <c r="C958" s="9" t="s">
        <v>34</v>
      </c>
      <c r="D958" s="9" t="s">
        <v>36</v>
      </c>
      <c r="E958" s="9" t="s">
        <v>126</v>
      </c>
      <c r="F958" s="9" t="s">
        <v>1921</v>
      </c>
    </row>
    <row r="959" spans="1:6" x14ac:dyDescent="0.25">
      <c r="A959" s="9" t="s">
        <v>1923</v>
      </c>
      <c r="B959" s="9" t="s">
        <v>59</v>
      </c>
      <c r="C959" s="9" t="s">
        <v>36</v>
      </c>
      <c r="D959" s="9" t="s">
        <v>36</v>
      </c>
      <c r="E959" s="9" t="s">
        <v>1567</v>
      </c>
      <c r="F959" s="9" t="s">
        <v>1921</v>
      </c>
    </row>
    <row r="960" spans="1:6" x14ac:dyDescent="0.25">
      <c r="A960" s="9" t="s">
        <v>1924</v>
      </c>
      <c r="B960" s="9" t="s">
        <v>37</v>
      </c>
      <c r="C960" s="9" t="s">
        <v>35</v>
      </c>
      <c r="D960" s="9" t="s">
        <v>39</v>
      </c>
      <c r="E960" s="9" t="s">
        <v>354</v>
      </c>
      <c r="F960" s="9" t="s">
        <v>1925</v>
      </c>
    </row>
    <row r="961" spans="1:6" x14ac:dyDescent="0.25">
      <c r="A961" s="9" t="s">
        <v>1926</v>
      </c>
      <c r="B961" s="9" t="s">
        <v>35</v>
      </c>
      <c r="C961" s="9" t="s">
        <v>40</v>
      </c>
      <c r="D961" s="9" t="s">
        <v>37</v>
      </c>
      <c r="E961" s="9" t="s">
        <v>792</v>
      </c>
      <c r="F961" s="9" t="s">
        <v>1927</v>
      </c>
    </row>
    <row r="962" spans="1:6" x14ac:dyDescent="0.25">
      <c r="A962" s="9" t="s">
        <v>1928</v>
      </c>
      <c r="B962" s="9" t="s">
        <v>37</v>
      </c>
      <c r="C962" s="9" t="s">
        <v>38</v>
      </c>
      <c r="D962" s="9" t="s">
        <v>35</v>
      </c>
      <c r="E962" s="9" t="s">
        <v>346</v>
      </c>
      <c r="F962" s="9" t="s">
        <v>1929</v>
      </c>
    </row>
    <row r="963" spans="1:6" x14ac:dyDescent="0.25">
      <c r="A963" s="9" t="s">
        <v>1930</v>
      </c>
      <c r="B963" s="9" t="s">
        <v>39</v>
      </c>
      <c r="C963" s="9" t="s">
        <v>34</v>
      </c>
      <c r="D963" s="9" t="s">
        <v>38</v>
      </c>
      <c r="E963" s="9" t="s">
        <v>1048</v>
      </c>
      <c r="F963" s="9" t="s">
        <v>1931</v>
      </c>
    </row>
    <row r="964" spans="1:6" x14ac:dyDescent="0.25">
      <c r="A964" s="9" t="s">
        <v>1932</v>
      </c>
      <c r="B964" s="9" t="s">
        <v>37</v>
      </c>
      <c r="C964" s="9" t="s">
        <v>34</v>
      </c>
      <c r="D964" s="9" t="s">
        <v>35</v>
      </c>
      <c r="E964" s="9" t="s">
        <v>624</v>
      </c>
      <c r="F964" s="9" t="s">
        <v>1931</v>
      </c>
    </row>
    <row r="965" spans="1:6" x14ac:dyDescent="0.25">
      <c r="A965" s="9" t="s">
        <v>1933</v>
      </c>
      <c r="B965" s="9" t="s">
        <v>39</v>
      </c>
      <c r="C965" s="9" t="s">
        <v>34</v>
      </c>
      <c r="D965" s="9" t="s">
        <v>37</v>
      </c>
      <c r="E965" s="9" t="s">
        <v>697</v>
      </c>
      <c r="F965" s="9" t="s">
        <v>1934</v>
      </c>
    </row>
    <row r="966" spans="1:6" x14ac:dyDescent="0.25">
      <c r="A966" s="9" t="s">
        <v>1935</v>
      </c>
      <c r="B966" s="9" t="s">
        <v>59</v>
      </c>
      <c r="C966" s="9" t="s">
        <v>35</v>
      </c>
      <c r="D966" s="9" t="s">
        <v>38</v>
      </c>
      <c r="E966" s="9" t="s">
        <v>147</v>
      </c>
      <c r="F966" s="9" t="s">
        <v>1934</v>
      </c>
    </row>
    <row r="967" spans="1:6" x14ac:dyDescent="0.25">
      <c r="A967" s="9" t="s">
        <v>1936</v>
      </c>
      <c r="B967" s="9" t="s">
        <v>40</v>
      </c>
      <c r="C967" s="9" t="s">
        <v>38</v>
      </c>
      <c r="D967" s="9" t="s">
        <v>34</v>
      </c>
      <c r="E967" s="9" t="s">
        <v>649</v>
      </c>
      <c r="F967" s="9" t="s">
        <v>1937</v>
      </c>
    </row>
    <row r="968" spans="1:6" x14ac:dyDescent="0.25">
      <c r="A968" s="9" t="s">
        <v>1938</v>
      </c>
      <c r="B968" s="9" t="s">
        <v>35</v>
      </c>
      <c r="C968" s="9" t="s">
        <v>39</v>
      </c>
      <c r="D968" s="9" t="s">
        <v>39</v>
      </c>
      <c r="E968" s="9" t="s">
        <v>670</v>
      </c>
      <c r="F968" s="9" t="s">
        <v>1939</v>
      </c>
    </row>
    <row r="969" spans="1:6" x14ac:dyDescent="0.25">
      <c r="A969" s="9" t="s">
        <v>1940</v>
      </c>
      <c r="B969" s="9" t="s">
        <v>59</v>
      </c>
      <c r="C969" s="9" t="s">
        <v>37</v>
      </c>
      <c r="D969" s="9" t="s">
        <v>38</v>
      </c>
      <c r="E969" s="9" t="s">
        <v>683</v>
      </c>
      <c r="F969" s="9" t="s">
        <v>1939</v>
      </c>
    </row>
    <row r="970" spans="1:6" x14ac:dyDescent="0.25">
      <c r="A970" s="9" t="s">
        <v>1941</v>
      </c>
      <c r="B970" s="9" t="s">
        <v>38</v>
      </c>
      <c r="C970" s="9" t="s">
        <v>34</v>
      </c>
      <c r="D970" s="9" t="s">
        <v>35</v>
      </c>
      <c r="E970" s="9" t="s">
        <v>385</v>
      </c>
      <c r="F970" s="9" t="s">
        <v>1939</v>
      </c>
    </row>
    <row r="971" spans="1:6" x14ac:dyDescent="0.25">
      <c r="A971" s="9" t="s">
        <v>1942</v>
      </c>
      <c r="B971" s="9" t="s">
        <v>37</v>
      </c>
      <c r="C971" s="9" t="s">
        <v>39</v>
      </c>
      <c r="D971" s="9" t="s">
        <v>39</v>
      </c>
      <c r="E971" s="9" t="s">
        <v>772</v>
      </c>
      <c r="F971" s="9" t="s">
        <v>1943</v>
      </c>
    </row>
    <row r="972" spans="1:6" x14ac:dyDescent="0.25">
      <c r="A972" s="9" t="s">
        <v>1944</v>
      </c>
      <c r="B972" s="9" t="s">
        <v>40</v>
      </c>
      <c r="C972" s="9" t="s">
        <v>34</v>
      </c>
      <c r="D972" s="9" t="s">
        <v>35</v>
      </c>
      <c r="E972" s="9" t="s">
        <v>242</v>
      </c>
      <c r="F972" s="9" t="s">
        <v>1945</v>
      </c>
    </row>
    <row r="973" spans="1:6" x14ac:dyDescent="0.25">
      <c r="A973" s="9" t="s">
        <v>1946</v>
      </c>
      <c r="B973" s="9" t="s">
        <v>35</v>
      </c>
      <c r="C973" s="9" t="s">
        <v>37</v>
      </c>
      <c r="D973" s="9" t="s">
        <v>34</v>
      </c>
      <c r="E973" s="9" t="s">
        <v>703</v>
      </c>
      <c r="F973" s="9" t="s">
        <v>1947</v>
      </c>
    </row>
    <row r="974" spans="1:6" x14ac:dyDescent="0.25">
      <c r="A974" s="9" t="s">
        <v>1948</v>
      </c>
      <c r="B974" s="9" t="s">
        <v>38</v>
      </c>
      <c r="C974" s="9" t="s">
        <v>34</v>
      </c>
      <c r="D974" s="9" t="s">
        <v>35</v>
      </c>
      <c r="E974" s="9" t="s">
        <v>835</v>
      </c>
      <c r="F974" s="9" t="s">
        <v>1949</v>
      </c>
    </row>
    <row r="975" spans="1:6" x14ac:dyDescent="0.25">
      <c r="A975" s="9" t="s">
        <v>1950</v>
      </c>
      <c r="B975" s="9" t="s">
        <v>35</v>
      </c>
      <c r="C975" s="9" t="s">
        <v>37</v>
      </c>
      <c r="D975" s="9" t="s">
        <v>34</v>
      </c>
      <c r="E975" s="9" t="s">
        <v>783</v>
      </c>
      <c r="F975" s="9" t="s">
        <v>1951</v>
      </c>
    </row>
    <row r="976" spans="1:6" x14ac:dyDescent="0.25">
      <c r="A976" s="9" t="s">
        <v>1952</v>
      </c>
      <c r="B976" s="9" t="s">
        <v>34</v>
      </c>
      <c r="C976" s="9" t="s">
        <v>39</v>
      </c>
      <c r="D976" s="9" t="s">
        <v>39</v>
      </c>
      <c r="E976" s="9" t="s">
        <v>515</v>
      </c>
      <c r="F976" s="9" t="s">
        <v>1953</v>
      </c>
    </row>
    <row r="977" spans="1:6" x14ac:dyDescent="0.25">
      <c r="A977" s="9" t="s">
        <v>1954</v>
      </c>
      <c r="B977" s="9" t="s">
        <v>36</v>
      </c>
      <c r="C977" s="9" t="s">
        <v>37</v>
      </c>
      <c r="D977" s="9" t="s">
        <v>34</v>
      </c>
      <c r="E977" s="9" t="s">
        <v>160</v>
      </c>
      <c r="F977" s="9" t="s">
        <v>1955</v>
      </c>
    </row>
    <row r="978" spans="1:6" x14ac:dyDescent="0.25">
      <c r="A978" s="9" t="s">
        <v>1956</v>
      </c>
      <c r="B978" s="9" t="s">
        <v>34</v>
      </c>
      <c r="C978" s="9" t="s">
        <v>37</v>
      </c>
      <c r="D978" s="9" t="s">
        <v>39</v>
      </c>
      <c r="E978" s="9" t="s">
        <v>789</v>
      </c>
      <c r="F978" s="9" t="s">
        <v>1955</v>
      </c>
    </row>
    <row r="979" spans="1:6" x14ac:dyDescent="0.25">
      <c r="A979" s="9" t="s">
        <v>1957</v>
      </c>
      <c r="B979" s="9" t="s">
        <v>56</v>
      </c>
      <c r="C979" s="9" t="s">
        <v>36</v>
      </c>
      <c r="D979" s="9" t="s">
        <v>39</v>
      </c>
      <c r="E979" s="9" t="s">
        <v>1183</v>
      </c>
      <c r="F979" s="9" t="s">
        <v>1958</v>
      </c>
    </row>
    <row r="980" spans="1:6" x14ac:dyDescent="0.25">
      <c r="A980" s="9" t="s">
        <v>1959</v>
      </c>
      <c r="B980" s="9" t="s">
        <v>38</v>
      </c>
      <c r="C980" s="9" t="s">
        <v>38</v>
      </c>
      <c r="D980" s="9" t="s">
        <v>35</v>
      </c>
      <c r="E980" s="9" t="s">
        <v>262</v>
      </c>
      <c r="F980" s="9" t="s">
        <v>1958</v>
      </c>
    </row>
    <row r="981" spans="1:6" x14ac:dyDescent="0.25">
      <c r="A981" s="9" t="s">
        <v>1960</v>
      </c>
      <c r="B981" s="9" t="s">
        <v>56</v>
      </c>
      <c r="C981" s="9" t="s">
        <v>36</v>
      </c>
      <c r="D981" s="9" t="s">
        <v>37</v>
      </c>
      <c r="E981" s="9" t="s">
        <v>835</v>
      </c>
      <c r="F981" s="9" t="s">
        <v>1961</v>
      </c>
    </row>
    <row r="982" spans="1:6" x14ac:dyDescent="0.25">
      <c r="A982" s="9" t="s">
        <v>1962</v>
      </c>
      <c r="B982" s="9" t="s">
        <v>36</v>
      </c>
      <c r="C982" s="9" t="s">
        <v>36</v>
      </c>
      <c r="D982" s="9" t="s">
        <v>36</v>
      </c>
      <c r="E982" s="9" t="s">
        <v>354</v>
      </c>
      <c r="F982" s="9" t="s">
        <v>1963</v>
      </c>
    </row>
    <row r="983" spans="1:6" x14ac:dyDescent="0.25">
      <c r="A983" s="9" t="s">
        <v>1964</v>
      </c>
      <c r="B983" s="9" t="s">
        <v>39</v>
      </c>
      <c r="C983" s="9" t="s">
        <v>37</v>
      </c>
      <c r="D983" s="9" t="s">
        <v>34</v>
      </c>
      <c r="E983" s="9" t="s">
        <v>530</v>
      </c>
      <c r="F983" s="9" t="s">
        <v>1965</v>
      </c>
    </row>
    <row r="984" spans="1:6" x14ac:dyDescent="0.25">
      <c r="A984" s="9" t="s">
        <v>1966</v>
      </c>
      <c r="B984" s="9" t="s">
        <v>37</v>
      </c>
      <c r="C984" s="9" t="s">
        <v>35</v>
      </c>
      <c r="D984" s="9" t="s">
        <v>39</v>
      </c>
      <c r="E984" s="9" t="s">
        <v>324</v>
      </c>
      <c r="F984" s="9" t="s">
        <v>1967</v>
      </c>
    </row>
    <row r="985" spans="1:6" x14ac:dyDescent="0.25">
      <c r="A985" s="9" t="s">
        <v>1968</v>
      </c>
      <c r="B985" s="9" t="s">
        <v>37</v>
      </c>
      <c r="C985" s="9" t="s">
        <v>35</v>
      </c>
      <c r="D985" s="9" t="s">
        <v>34</v>
      </c>
      <c r="E985" s="9" t="s">
        <v>453</v>
      </c>
      <c r="F985" s="9" t="s">
        <v>1969</v>
      </c>
    </row>
    <row r="986" spans="1:6" x14ac:dyDescent="0.25">
      <c r="A986" s="9" t="s">
        <v>1970</v>
      </c>
      <c r="B986" s="9" t="s">
        <v>35</v>
      </c>
      <c r="C986" s="9" t="s">
        <v>35</v>
      </c>
      <c r="D986" s="9" t="s">
        <v>37</v>
      </c>
      <c r="E986" s="9" t="s">
        <v>1322</v>
      </c>
      <c r="F986" s="9" t="s">
        <v>1969</v>
      </c>
    </row>
    <row r="987" spans="1:6" x14ac:dyDescent="0.25">
      <c r="A987" s="9" t="s">
        <v>1971</v>
      </c>
      <c r="B987" s="9" t="s">
        <v>34</v>
      </c>
      <c r="C987" s="9" t="s">
        <v>39</v>
      </c>
      <c r="D987" s="9" t="s">
        <v>37</v>
      </c>
      <c r="E987" s="9" t="s">
        <v>257</v>
      </c>
      <c r="F987" s="9" t="s">
        <v>1972</v>
      </c>
    </row>
    <row r="988" spans="1:6" x14ac:dyDescent="0.25">
      <c r="A988" s="9" t="s">
        <v>1973</v>
      </c>
      <c r="B988" s="9" t="s">
        <v>56</v>
      </c>
      <c r="C988" s="9" t="s">
        <v>35</v>
      </c>
      <c r="D988" s="9" t="s">
        <v>37</v>
      </c>
      <c r="E988" s="9" t="s">
        <v>109</v>
      </c>
      <c r="F988" s="9" t="s">
        <v>1974</v>
      </c>
    </row>
    <row r="989" spans="1:6" x14ac:dyDescent="0.25">
      <c r="A989" s="9" t="s">
        <v>1975</v>
      </c>
      <c r="B989" s="9" t="s">
        <v>40</v>
      </c>
      <c r="C989" s="9" t="s">
        <v>37</v>
      </c>
      <c r="D989" s="9" t="s">
        <v>38</v>
      </c>
      <c r="E989" s="9" t="s">
        <v>786</v>
      </c>
      <c r="F989" s="9" t="s">
        <v>1974</v>
      </c>
    </row>
    <row r="990" spans="1:6" x14ac:dyDescent="0.25">
      <c r="A990" s="9" t="s">
        <v>1976</v>
      </c>
      <c r="B990" s="9" t="s">
        <v>56</v>
      </c>
      <c r="C990" s="9" t="s">
        <v>40</v>
      </c>
      <c r="D990" s="9" t="s">
        <v>34</v>
      </c>
      <c r="E990" s="9" t="s">
        <v>639</v>
      </c>
      <c r="F990" s="9" t="s">
        <v>1977</v>
      </c>
    </row>
    <row r="991" spans="1:6" x14ac:dyDescent="0.25">
      <c r="A991" s="9" t="s">
        <v>1978</v>
      </c>
      <c r="B991" s="9" t="s">
        <v>36</v>
      </c>
      <c r="C991" s="9" t="s">
        <v>34</v>
      </c>
      <c r="D991" s="9" t="s">
        <v>36</v>
      </c>
      <c r="E991" s="9" t="s">
        <v>1073</v>
      </c>
      <c r="F991" s="9" t="s">
        <v>1977</v>
      </c>
    </row>
    <row r="992" spans="1:6" x14ac:dyDescent="0.25">
      <c r="A992" s="9" t="s">
        <v>1979</v>
      </c>
      <c r="B992" s="9" t="s">
        <v>38</v>
      </c>
      <c r="C992" s="9" t="s">
        <v>35</v>
      </c>
      <c r="D992" s="9" t="s">
        <v>38</v>
      </c>
      <c r="E992" s="9" t="s">
        <v>249</v>
      </c>
      <c r="F992" s="9" t="s">
        <v>1980</v>
      </c>
    </row>
    <row r="993" spans="1:6" x14ac:dyDescent="0.25">
      <c r="A993" s="9" t="s">
        <v>1981</v>
      </c>
      <c r="B993" s="9" t="s">
        <v>59</v>
      </c>
      <c r="C993" s="9" t="s">
        <v>38</v>
      </c>
      <c r="D993" s="9" t="s">
        <v>39</v>
      </c>
      <c r="E993" s="9" t="s">
        <v>652</v>
      </c>
      <c r="F993" s="9" t="s">
        <v>1982</v>
      </c>
    </row>
    <row r="994" spans="1:6" x14ac:dyDescent="0.25">
      <c r="A994" s="9" t="s">
        <v>1983</v>
      </c>
      <c r="B994" s="9" t="s">
        <v>37</v>
      </c>
      <c r="C994" s="9" t="s">
        <v>34</v>
      </c>
      <c r="D994" s="9" t="s">
        <v>36</v>
      </c>
      <c r="E994" s="9" t="s">
        <v>736</v>
      </c>
      <c r="F994" s="9" t="s">
        <v>1984</v>
      </c>
    </row>
    <row r="995" spans="1:6" x14ac:dyDescent="0.25">
      <c r="A995" s="9" t="s">
        <v>1985</v>
      </c>
      <c r="B995" s="9" t="s">
        <v>39</v>
      </c>
      <c r="C995" s="9" t="s">
        <v>39</v>
      </c>
      <c r="D995" s="9" t="s">
        <v>35</v>
      </c>
      <c r="E995" s="9" t="s">
        <v>236</v>
      </c>
      <c r="F995" s="9" t="s">
        <v>1986</v>
      </c>
    </row>
    <row r="996" spans="1:6" x14ac:dyDescent="0.25">
      <c r="A996" s="9" t="s">
        <v>1987</v>
      </c>
      <c r="B996" s="9" t="s">
        <v>38</v>
      </c>
      <c r="C996" s="9" t="s">
        <v>37</v>
      </c>
      <c r="D996" s="9" t="s">
        <v>34</v>
      </c>
      <c r="E996" s="9" t="s">
        <v>249</v>
      </c>
      <c r="F996" s="9" t="s">
        <v>1988</v>
      </c>
    </row>
    <row r="997" spans="1:6" x14ac:dyDescent="0.25">
      <c r="A997" s="9" t="s">
        <v>1989</v>
      </c>
      <c r="B997" s="9" t="s">
        <v>56</v>
      </c>
      <c r="C997" s="9" t="s">
        <v>36</v>
      </c>
      <c r="D997" s="9" t="s">
        <v>36</v>
      </c>
      <c r="E997" s="9" t="s">
        <v>343</v>
      </c>
      <c r="F997" s="9" t="s">
        <v>1990</v>
      </c>
    </row>
    <row r="998" spans="1:6" x14ac:dyDescent="0.25">
      <c r="A998" s="9" t="s">
        <v>1991</v>
      </c>
      <c r="B998" s="9" t="s">
        <v>39</v>
      </c>
      <c r="C998" s="9" t="s">
        <v>40</v>
      </c>
      <c r="D998" s="9" t="s">
        <v>37</v>
      </c>
      <c r="E998" s="9" t="s">
        <v>600</v>
      </c>
      <c r="F998" s="9" t="s">
        <v>1992</v>
      </c>
    </row>
    <row r="999" spans="1:6" x14ac:dyDescent="0.25">
      <c r="A999" s="9" t="s">
        <v>1993</v>
      </c>
      <c r="B999" s="9" t="s">
        <v>34</v>
      </c>
      <c r="C999" s="9" t="s">
        <v>38</v>
      </c>
      <c r="D999" s="9" t="s">
        <v>36</v>
      </c>
      <c r="E999" s="9" t="s">
        <v>964</v>
      </c>
      <c r="F999" s="9" t="s">
        <v>1994</v>
      </c>
    </row>
    <row r="1000" spans="1:6" x14ac:dyDescent="0.25">
      <c r="A1000" s="9" t="s">
        <v>1995</v>
      </c>
      <c r="B1000" s="9" t="s">
        <v>38</v>
      </c>
      <c r="C1000" s="9" t="s">
        <v>34</v>
      </c>
      <c r="D1000" s="9" t="s">
        <v>37</v>
      </c>
      <c r="E1000" s="9" t="s">
        <v>93</v>
      </c>
      <c r="F1000" s="9" t="s">
        <v>1996</v>
      </c>
    </row>
    <row r="1001" spans="1:6" x14ac:dyDescent="0.25">
      <c r="A1001" s="9" t="s">
        <v>1997</v>
      </c>
      <c r="B1001" s="9" t="s">
        <v>39</v>
      </c>
      <c r="C1001" s="9" t="s">
        <v>40</v>
      </c>
      <c r="D1001" s="9" t="s">
        <v>38</v>
      </c>
      <c r="E1001" s="9" t="s">
        <v>727</v>
      </c>
      <c r="F1001" s="9" t="s">
        <v>1998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DC63-BB4A-40DB-9BFE-01345B5541E9}">
  <dimension ref="A1:F1001"/>
  <sheetViews>
    <sheetView workbookViewId="0">
      <selection sqref="A1:F1048576"/>
    </sheetView>
  </sheetViews>
  <sheetFormatPr defaultRowHeight="15.75" x14ac:dyDescent="0.25"/>
  <cols>
    <col min="1" max="16384" width="9" style="9"/>
  </cols>
  <sheetData>
    <row r="1" spans="1:6" x14ac:dyDescent="0.25">
      <c r="A1" s="9" t="s">
        <v>9</v>
      </c>
      <c r="B1" s="9" t="s">
        <v>1999</v>
      </c>
      <c r="C1" s="9" t="s">
        <v>71</v>
      </c>
      <c r="D1" s="9" t="s">
        <v>72</v>
      </c>
      <c r="E1" s="9" t="s">
        <v>2000</v>
      </c>
      <c r="F1" s="9" t="s">
        <v>2001</v>
      </c>
    </row>
    <row r="2" spans="1:6" x14ac:dyDescent="0.25">
      <c r="A2" s="9" t="s">
        <v>34</v>
      </c>
      <c r="B2" s="9" t="s">
        <v>18</v>
      </c>
      <c r="C2" s="9" t="s">
        <v>73</v>
      </c>
      <c r="D2" s="9" t="s">
        <v>2002</v>
      </c>
      <c r="E2" s="9" t="s">
        <v>67</v>
      </c>
      <c r="F2" s="9" t="s">
        <v>61</v>
      </c>
    </row>
    <row r="3" spans="1:6" x14ac:dyDescent="0.25">
      <c r="A3" s="9" t="s">
        <v>35</v>
      </c>
      <c r="B3" s="9" t="s">
        <v>22</v>
      </c>
      <c r="C3" s="9" t="s">
        <v>75</v>
      </c>
      <c r="D3" s="9" t="s">
        <v>2003</v>
      </c>
      <c r="E3" s="9" t="s">
        <v>65</v>
      </c>
      <c r="F3" s="9" t="s">
        <v>49</v>
      </c>
    </row>
    <row r="4" spans="1:6" x14ac:dyDescent="0.25">
      <c r="A4" s="9" t="s">
        <v>36</v>
      </c>
      <c r="B4" s="9" t="s">
        <v>12</v>
      </c>
      <c r="C4" s="9" t="s">
        <v>77</v>
      </c>
      <c r="D4" s="9" t="s">
        <v>2004</v>
      </c>
      <c r="E4" s="9" t="s">
        <v>64</v>
      </c>
      <c r="F4" s="9" t="s">
        <v>45</v>
      </c>
    </row>
    <row r="5" spans="1:6" x14ac:dyDescent="0.25">
      <c r="A5" s="9" t="s">
        <v>37</v>
      </c>
      <c r="B5" s="9" t="s">
        <v>16</v>
      </c>
      <c r="C5" s="9" t="s">
        <v>79</v>
      </c>
      <c r="D5" s="9" t="s">
        <v>2005</v>
      </c>
      <c r="E5" s="9" t="s">
        <v>64</v>
      </c>
      <c r="F5" s="9" t="s">
        <v>58</v>
      </c>
    </row>
    <row r="6" spans="1:6" x14ac:dyDescent="0.25">
      <c r="A6" s="9" t="s">
        <v>38</v>
      </c>
      <c r="B6" s="9" t="s">
        <v>20</v>
      </c>
      <c r="C6" s="9" t="s">
        <v>81</v>
      </c>
      <c r="D6" s="9" t="s">
        <v>2005</v>
      </c>
      <c r="E6" s="9" t="s">
        <v>63</v>
      </c>
      <c r="F6" s="9" t="s">
        <v>43</v>
      </c>
    </row>
    <row r="7" spans="1:6" x14ac:dyDescent="0.25">
      <c r="A7" s="9" t="s">
        <v>39</v>
      </c>
      <c r="B7" s="9" t="s">
        <v>14</v>
      </c>
      <c r="C7" s="9" t="s">
        <v>82</v>
      </c>
      <c r="D7" s="9" t="s">
        <v>2006</v>
      </c>
      <c r="E7" s="9" t="s">
        <v>65</v>
      </c>
      <c r="F7" s="9" t="s">
        <v>53</v>
      </c>
    </row>
    <row r="8" spans="1:6" x14ac:dyDescent="0.25">
      <c r="A8" s="9" t="s">
        <v>40</v>
      </c>
      <c r="B8" s="9" t="s">
        <v>12</v>
      </c>
      <c r="C8" s="9" t="s">
        <v>84</v>
      </c>
      <c r="D8" s="9" t="s">
        <v>2007</v>
      </c>
      <c r="E8" s="9" t="s">
        <v>62</v>
      </c>
      <c r="F8" s="9" t="s">
        <v>55</v>
      </c>
    </row>
    <row r="9" spans="1:6" x14ac:dyDescent="0.25">
      <c r="A9" s="9" t="s">
        <v>56</v>
      </c>
      <c r="B9" s="9" t="s">
        <v>12</v>
      </c>
      <c r="C9" s="9" t="s">
        <v>86</v>
      </c>
      <c r="D9" s="9" t="s">
        <v>2008</v>
      </c>
      <c r="E9" s="9" t="s">
        <v>64</v>
      </c>
      <c r="F9" s="9" t="s">
        <v>61</v>
      </c>
    </row>
    <row r="10" spans="1:6" x14ac:dyDescent="0.25">
      <c r="A10" s="9" t="s">
        <v>59</v>
      </c>
      <c r="B10" s="9" t="s">
        <v>16</v>
      </c>
      <c r="C10" s="9" t="s">
        <v>88</v>
      </c>
      <c r="D10" s="9" t="s">
        <v>2009</v>
      </c>
      <c r="E10" s="9" t="s">
        <v>66</v>
      </c>
      <c r="F10" s="9" t="s">
        <v>49</v>
      </c>
    </row>
    <row r="11" spans="1:6" x14ac:dyDescent="0.25">
      <c r="A11" s="9" t="s">
        <v>90</v>
      </c>
      <c r="B11" s="9" t="s">
        <v>16</v>
      </c>
      <c r="C11" s="9" t="s">
        <v>91</v>
      </c>
      <c r="D11" s="9" t="s">
        <v>2009</v>
      </c>
      <c r="E11" s="9" t="s">
        <v>62</v>
      </c>
      <c r="F11" s="9" t="s">
        <v>45</v>
      </c>
    </row>
    <row r="12" spans="1:6" x14ac:dyDescent="0.25">
      <c r="A12" s="9" t="s">
        <v>92</v>
      </c>
      <c r="B12" s="9" t="s">
        <v>22</v>
      </c>
      <c r="C12" s="9" t="s">
        <v>93</v>
      </c>
      <c r="D12" s="9" t="s">
        <v>2009</v>
      </c>
      <c r="E12" s="9" t="s">
        <v>67</v>
      </c>
      <c r="F12" s="9" t="s">
        <v>58</v>
      </c>
    </row>
    <row r="13" spans="1:6" x14ac:dyDescent="0.25">
      <c r="A13" s="9" t="s">
        <v>94</v>
      </c>
      <c r="B13" s="9" t="s">
        <v>14</v>
      </c>
      <c r="C13" s="9" t="s">
        <v>95</v>
      </c>
      <c r="D13" s="9" t="s">
        <v>2010</v>
      </c>
      <c r="E13" s="9" t="s">
        <v>64</v>
      </c>
      <c r="F13" s="9" t="s">
        <v>58</v>
      </c>
    </row>
    <row r="14" spans="1:6" x14ac:dyDescent="0.25">
      <c r="A14" s="9" t="s">
        <v>97</v>
      </c>
      <c r="B14" s="9" t="s">
        <v>18</v>
      </c>
      <c r="C14" s="9" t="s">
        <v>98</v>
      </c>
      <c r="D14" s="9" t="s">
        <v>2010</v>
      </c>
      <c r="E14" s="9" t="s">
        <v>64</v>
      </c>
      <c r="F14" s="9" t="s">
        <v>55</v>
      </c>
    </row>
    <row r="15" spans="1:6" x14ac:dyDescent="0.25">
      <c r="A15" s="9" t="s">
        <v>99</v>
      </c>
      <c r="B15" s="9" t="s">
        <v>20</v>
      </c>
      <c r="C15" s="9" t="s">
        <v>100</v>
      </c>
      <c r="D15" s="9" t="s">
        <v>2011</v>
      </c>
      <c r="E15" s="9" t="s">
        <v>63</v>
      </c>
      <c r="F15" s="9" t="s">
        <v>45</v>
      </c>
    </row>
    <row r="16" spans="1:6" x14ac:dyDescent="0.25">
      <c r="A16" s="9" t="s">
        <v>102</v>
      </c>
      <c r="B16" s="9" t="s">
        <v>22</v>
      </c>
      <c r="C16" s="9" t="s">
        <v>103</v>
      </c>
      <c r="D16" s="9" t="s">
        <v>2011</v>
      </c>
      <c r="E16" s="9" t="s">
        <v>65</v>
      </c>
      <c r="F16" s="9" t="s">
        <v>51</v>
      </c>
    </row>
    <row r="17" spans="1:6" x14ac:dyDescent="0.25">
      <c r="A17" s="9" t="s">
        <v>104</v>
      </c>
      <c r="B17" s="9" t="s">
        <v>14</v>
      </c>
      <c r="C17" s="9" t="s">
        <v>105</v>
      </c>
      <c r="D17" s="9" t="s">
        <v>2011</v>
      </c>
      <c r="E17" s="9" t="s">
        <v>66</v>
      </c>
      <c r="F17" s="9" t="s">
        <v>61</v>
      </c>
    </row>
    <row r="18" spans="1:6" x14ac:dyDescent="0.25">
      <c r="A18" s="9" t="s">
        <v>106</v>
      </c>
      <c r="B18" s="9" t="s">
        <v>16</v>
      </c>
      <c r="C18" s="9" t="s">
        <v>107</v>
      </c>
      <c r="D18" s="9" t="s">
        <v>2011</v>
      </c>
      <c r="E18" s="9" t="s">
        <v>62</v>
      </c>
      <c r="F18" s="9" t="s">
        <v>61</v>
      </c>
    </row>
    <row r="19" spans="1:6" x14ac:dyDescent="0.25">
      <c r="A19" s="9" t="s">
        <v>108</v>
      </c>
      <c r="B19" s="9" t="s">
        <v>22</v>
      </c>
      <c r="C19" s="9" t="s">
        <v>109</v>
      </c>
      <c r="D19" s="9" t="s">
        <v>2012</v>
      </c>
      <c r="E19" s="9" t="s">
        <v>65</v>
      </c>
      <c r="F19" s="9" t="s">
        <v>45</v>
      </c>
    </row>
    <row r="20" spans="1:6" x14ac:dyDescent="0.25">
      <c r="A20" s="9" t="s">
        <v>111</v>
      </c>
      <c r="B20" s="9" t="s">
        <v>22</v>
      </c>
      <c r="C20" s="9" t="s">
        <v>112</v>
      </c>
      <c r="D20" s="9" t="s">
        <v>2012</v>
      </c>
      <c r="E20" s="9" t="s">
        <v>62</v>
      </c>
      <c r="F20" s="9" t="s">
        <v>45</v>
      </c>
    </row>
    <row r="21" spans="1:6" x14ac:dyDescent="0.25">
      <c r="A21" s="9" t="s">
        <v>113</v>
      </c>
      <c r="B21" s="9" t="s">
        <v>14</v>
      </c>
      <c r="C21" s="9" t="s">
        <v>114</v>
      </c>
      <c r="D21" s="9" t="s">
        <v>2013</v>
      </c>
      <c r="E21" s="9" t="s">
        <v>66</v>
      </c>
      <c r="F21" s="9" t="s">
        <v>49</v>
      </c>
    </row>
    <row r="22" spans="1:6" x14ac:dyDescent="0.25">
      <c r="A22" s="9" t="s">
        <v>116</v>
      </c>
      <c r="B22" s="9" t="s">
        <v>16</v>
      </c>
      <c r="C22" s="9" t="s">
        <v>117</v>
      </c>
      <c r="D22" s="9" t="s">
        <v>2013</v>
      </c>
      <c r="E22" s="9" t="s">
        <v>65</v>
      </c>
      <c r="F22" s="9" t="s">
        <v>45</v>
      </c>
    </row>
    <row r="23" spans="1:6" x14ac:dyDescent="0.25">
      <c r="A23" s="9" t="s">
        <v>118</v>
      </c>
      <c r="B23" s="9" t="s">
        <v>22</v>
      </c>
      <c r="C23" s="9" t="s">
        <v>119</v>
      </c>
      <c r="D23" s="9" t="s">
        <v>2014</v>
      </c>
      <c r="E23" s="9" t="s">
        <v>67</v>
      </c>
      <c r="F23" s="9" t="s">
        <v>49</v>
      </c>
    </row>
    <row r="24" spans="1:6" x14ac:dyDescent="0.25">
      <c r="A24" s="9" t="s">
        <v>121</v>
      </c>
      <c r="B24" s="9" t="s">
        <v>14</v>
      </c>
      <c r="C24" s="9" t="s">
        <v>122</v>
      </c>
      <c r="D24" s="9" t="s">
        <v>2014</v>
      </c>
      <c r="E24" s="9" t="s">
        <v>66</v>
      </c>
      <c r="F24" s="9" t="s">
        <v>51</v>
      </c>
    </row>
    <row r="25" spans="1:6" x14ac:dyDescent="0.25">
      <c r="A25" s="9" t="s">
        <v>123</v>
      </c>
      <c r="B25" s="9" t="s">
        <v>18</v>
      </c>
      <c r="C25" s="9" t="s">
        <v>124</v>
      </c>
      <c r="D25" s="9" t="s">
        <v>2014</v>
      </c>
      <c r="E25" s="9" t="s">
        <v>63</v>
      </c>
      <c r="F25" s="9" t="s">
        <v>47</v>
      </c>
    </row>
    <row r="26" spans="1:6" x14ac:dyDescent="0.25">
      <c r="A26" s="9" t="s">
        <v>125</v>
      </c>
      <c r="B26" s="9" t="s">
        <v>16</v>
      </c>
      <c r="C26" s="9" t="s">
        <v>126</v>
      </c>
      <c r="D26" s="9" t="s">
        <v>2014</v>
      </c>
      <c r="E26" s="9" t="s">
        <v>62</v>
      </c>
      <c r="F26" s="9" t="s">
        <v>45</v>
      </c>
    </row>
    <row r="27" spans="1:6" x14ac:dyDescent="0.25">
      <c r="A27" s="9" t="s">
        <v>127</v>
      </c>
      <c r="B27" s="9" t="s">
        <v>14</v>
      </c>
      <c r="C27" s="9" t="s">
        <v>128</v>
      </c>
      <c r="D27" s="9" t="s">
        <v>2015</v>
      </c>
      <c r="E27" s="9" t="s">
        <v>63</v>
      </c>
      <c r="F27" s="9" t="s">
        <v>49</v>
      </c>
    </row>
    <row r="28" spans="1:6" x14ac:dyDescent="0.25">
      <c r="A28" s="9" t="s">
        <v>130</v>
      </c>
      <c r="B28" s="9" t="s">
        <v>22</v>
      </c>
      <c r="C28" s="9" t="s">
        <v>131</v>
      </c>
      <c r="D28" s="9" t="s">
        <v>2016</v>
      </c>
      <c r="E28" s="9" t="s">
        <v>63</v>
      </c>
      <c r="F28" s="9" t="s">
        <v>47</v>
      </c>
    </row>
    <row r="29" spans="1:6" x14ac:dyDescent="0.25">
      <c r="A29" s="9" t="s">
        <v>133</v>
      </c>
      <c r="B29" s="9" t="s">
        <v>12</v>
      </c>
      <c r="C29" s="9" t="s">
        <v>134</v>
      </c>
      <c r="D29" s="9" t="s">
        <v>2017</v>
      </c>
      <c r="E29" s="9" t="s">
        <v>64</v>
      </c>
      <c r="F29" s="9" t="s">
        <v>45</v>
      </c>
    </row>
    <row r="30" spans="1:6" x14ac:dyDescent="0.25">
      <c r="A30" s="9" t="s">
        <v>136</v>
      </c>
      <c r="B30" s="9" t="s">
        <v>20</v>
      </c>
      <c r="C30" s="9" t="s">
        <v>137</v>
      </c>
      <c r="D30" s="9" t="s">
        <v>2017</v>
      </c>
      <c r="E30" s="9" t="s">
        <v>64</v>
      </c>
      <c r="F30" s="9" t="s">
        <v>51</v>
      </c>
    </row>
    <row r="31" spans="1:6" x14ac:dyDescent="0.25">
      <c r="A31" s="9" t="s">
        <v>138</v>
      </c>
      <c r="B31" s="9" t="s">
        <v>14</v>
      </c>
      <c r="C31" s="9" t="s">
        <v>139</v>
      </c>
      <c r="D31" s="9" t="s">
        <v>2018</v>
      </c>
      <c r="E31" s="9" t="s">
        <v>62</v>
      </c>
      <c r="F31" s="9" t="s">
        <v>45</v>
      </c>
    </row>
    <row r="32" spans="1:6" x14ac:dyDescent="0.25">
      <c r="A32" s="9" t="s">
        <v>141</v>
      </c>
      <c r="B32" s="9" t="s">
        <v>24</v>
      </c>
      <c r="C32" s="9" t="s">
        <v>142</v>
      </c>
      <c r="D32" s="9" t="s">
        <v>2019</v>
      </c>
      <c r="E32" s="9" t="s">
        <v>64</v>
      </c>
      <c r="F32" s="9" t="s">
        <v>43</v>
      </c>
    </row>
    <row r="33" spans="1:6" x14ac:dyDescent="0.25">
      <c r="A33" s="9" t="s">
        <v>144</v>
      </c>
      <c r="B33" s="9" t="s">
        <v>22</v>
      </c>
      <c r="C33" s="9" t="s">
        <v>145</v>
      </c>
      <c r="D33" s="9" t="s">
        <v>2019</v>
      </c>
      <c r="E33" s="9" t="s">
        <v>63</v>
      </c>
      <c r="F33" s="9" t="s">
        <v>47</v>
      </c>
    </row>
    <row r="34" spans="1:6" x14ac:dyDescent="0.25">
      <c r="A34" s="9" t="s">
        <v>146</v>
      </c>
      <c r="B34" s="9" t="s">
        <v>22</v>
      </c>
      <c r="C34" s="9" t="s">
        <v>147</v>
      </c>
      <c r="D34" s="9" t="s">
        <v>2020</v>
      </c>
      <c r="E34" s="9" t="s">
        <v>66</v>
      </c>
      <c r="F34" s="9" t="s">
        <v>58</v>
      </c>
    </row>
    <row r="35" spans="1:6" x14ac:dyDescent="0.25">
      <c r="A35" s="9" t="s">
        <v>149</v>
      </c>
      <c r="B35" s="9" t="s">
        <v>12</v>
      </c>
      <c r="C35" s="9" t="s">
        <v>150</v>
      </c>
      <c r="D35" s="9" t="s">
        <v>2020</v>
      </c>
      <c r="E35" s="9" t="s">
        <v>66</v>
      </c>
      <c r="F35" s="9" t="s">
        <v>43</v>
      </c>
    </row>
    <row r="36" spans="1:6" x14ac:dyDescent="0.25">
      <c r="A36" s="9" t="s">
        <v>151</v>
      </c>
      <c r="B36" s="9" t="s">
        <v>24</v>
      </c>
      <c r="C36" s="9" t="s">
        <v>152</v>
      </c>
      <c r="D36" s="9" t="s">
        <v>2021</v>
      </c>
      <c r="E36" s="9" t="s">
        <v>67</v>
      </c>
      <c r="F36" s="9" t="s">
        <v>45</v>
      </c>
    </row>
    <row r="37" spans="1:6" x14ac:dyDescent="0.25">
      <c r="A37" s="9" t="s">
        <v>154</v>
      </c>
      <c r="B37" s="9" t="s">
        <v>14</v>
      </c>
      <c r="C37" s="9" t="s">
        <v>155</v>
      </c>
      <c r="D37" s="9" t="s">
        <v>2022</v>
      </c>
      <c r="E37" s="9" t="s">
        <v>67</v>
      </c>
      <c r="F37" s="9" t="s">
        <v>61</v>
      </c>
    </row>
    <row r="38" spans="1:6" x14ac:dyDescent="0.25">
      <c r="A38" s="9" t="s">
        <v>157</v>
      </c>
      <c r="B38" s="9" t="s">
        <v>18</v>
      </c>
      <c r="C38" s="9" t="s">
        <v>158</v>
      </c>
      <c r="D38" s="9" t="s">
        <v>2022</v>
      </c>
      <c r="E38" s="9" t="s">
        <v>64</v>
      </c>
      <c r="F38" s="9" t="s">
        <v>53</v>
      </c>
    </row>
    <row r="39" spans="1:6" x14ac:dyDescent="0.25">
      <c r="A39" s="9" t="s">
        <v>159</v>
      </c>
      <c r="B39" s="9" t="s">
        <v>16</v>
      </c>
      <c r="C39" s="9" t="s">
        <v>160</v>
      </c>
      <c r="D39" s="9" t="s">
        <v>2023</v>
      </c>
      <c r="E39" s="9" t="s">
        <v>63</v>
      </c>
      <c r="F39" s="9" t="s">
        <v>49</v>
      </c>
    </row>
    <row r="40" spans="1:6" x14ac:dyDescent="0.25">
      <c r="A40" s="9" t="s">
        <v>162</v>
      </c>
      <c r="B40" s="9" t="s">
        <v>14</v>
      </c>
      <c r="C40" s="9" t="s">
        <v>163</v>
      </c>
      <c r="D40" s="9" t="s">
        <v>2023</v>
      </c>
      <c r="E40" s="9" t="s">
        <v>67</v>
      </c>
      <c r="F40" s="9" t="s">
        <v>51</v>
      </c>
    </row>
    <row r="41" spans="1:6" x14ac:dyDescent="0.25">
      <c r="A41" s="9" t="s">
        <v>164</v>
      </c>
      <c r="B41" s="9" t="s">
        <v>18</v>
      </c>
      <c r="C41" s="9" t="s">
        <v>165</v>
      </c>
      <c r="D41" s="9" t="s">
        <v>2024</v>
      </c>
      <c r="E41" s="9" t="s">
        <v>67</v>
      </c>
      <c r="F41" s="9" t="s">
        <v>58</v>
      </c>
    </row>
    <row r="42" spans="1:6" x14ac:dyDescent="0.25">
      <c r="A42" s="9" t="s">
        <v>167</v>
      </c>
      <c r="B42" s="9" t="s">
        <v>12</v>
      </c>
      <c r="C42" s="9" t="s">
        <v>168</v>
      </c>
      <c r="D42" s="9" t="s">
        <v>2025</v>
      </c>
      <c r="E42" s="9" t="s">
        <v>67</v>
      </c>
      <c r="F42" s="9" t="s">
        <v>58</v>
      </c>
    </row>
    <row r="43" spans="1:6" x14ac:dyDescent="0.25">
      <c r="A43" s="9" t="s">
        <v>170</v>
      </c>
      <c r="B43" s="9" t="s">
        <v>12</v>
      </c>
      <c r="C43" s="9" t="s">
        <v>171</v>
      </c>
      <c r="D43" s="9" t="s">
        <v>2026</v>
      </c>
      <c r="E43" s="9" t="s">
        <v>62</v>
      </c>
      <c r="F43" s="9" t="s">
        <v>53</v>
      </c>
    </row>
    <row r="44" spans="1:6" x14ac:dyDescent="0.25">
      <c r="A44" s="9" t="s">
        <v>173</v>
      </c>
      <c r="B44" s="9" t="s">
        <v>22</v>
      </c>
      <c r="C44" s="9" t="s">
        <v>174</v>
      </c>
      <c r="D44" s="9" t="s">
        <v>2027</v>
      </c>
      <c r="E44" s="9" t="s">
        <v>66</v>
      </c>
      <c r="F44" s="9" t="s">
        <v>45</v>
      </c>
    </row>
    <row r="45" spans="1:6" x14ac:dyDescent="0.25">
      <c r="A45" s="9" t="s">
        <v>176</v>
      </c>
      <c r="B45" s="9" t="s">
        <v>20</v>
      </c>
      <c r="C45" s="9" t="s">
        <v>177</v>
      </c>
      <c r="D45" s="9" t="s">
        <v>2028</v>
      </c>
      <c r="E45" s="9" t="s">
        <v>67</v>
      </c>
      <c r="F45" s="9" t="s">
        <v>51</v>
      </c>
    </row>
    <row r="46" spans="1:6" x14ac:dyDescent="0.25">
      <c r="A46" s="9" t="s">
        <v>179</v>
      </c>
      <c r="B46" s="9" t="s">
        <v>22</v>
      </c>
      <c r="C46" s="9" t="s">
        <v>180</v>
      </c>
      <c r="D46" s="9" t="s">
        <v>2029</v>
      </c>
      <c r="E46" s="9" t="s">
        <v>64</v>
      </c>
      <c r="F46" s="9" t="s">
        <v>58</v>
      </c>
    </row>
    <row r="47" spans="1:6" x14ac:dyDescent="0.25">
      <c r="A47" s="9" t="s">
        <v>182</v>
      </c>
      <c r="B47" s="9" t="s">
        <v>12</v>
      </c>
      <c r="C47" s="9" t="s">
        <v>183</v>
      </c>
      <c r="D47" s="9" t="s">
        <v>2029</v>
      </c>
      <c r="E47" s="9" t="s">
        <v>62</v>
      </c>
      <c r="F47" s="9" t="s">
        <v>61</v>
      </c>
    </row>
    <row r="48" spans="1:6" x14ac:dyDescent="0.25">
      <c r="A48" s="9" t="s">
        <v>184</v>
      </c>
      <c r="B48" s="9" t="s">
        <v>20</v>
      </c>
      <c r="C48" s="9" t="s">
        <v>185</v>
      </c>
      <c r="D48" s="9" t="s">
        <v>2030</v>
      </c>
      <c r="E48" s="9" t="s">
        <v>66</v>
      </c>
      <c r="F48" s="9" t="s">
        <v>53</v>
      </c>
    </row>
    <row r="49" spans="1:6" x14ac:dyDescent="0.25">
      <c r="A49" s="9" t="s">
        <v>187</v>
      </c>
      <c r="B49" s="9" t="s">
        <v>12</v>
      </c>
      <c r="C49" s="9" t="s">
        <v>188</v>
      </c>
      <c r="D49" s="9" t="s">
        <v>2031</v>
      </c>
      <c r="E49" s="9" t="s">
        <v>67</v>
      </c>
      <c r="F49" s="9" t="s">
        <v>55</v>
      </c>
    </row>
    <row r="50" spans="1:6" x14ac:dyDescent="0.25">
      <c r="A50" s="9" t="s">
        <v>190</v>
      </c>
      <c r="B50" s="9" t="s">
        <v>20</v>
      </c>
      <c r="C50" s="9" t="s">
        <v>191</v>
      </c>
      <c r="D50" s="9" t="s">
        <v>2032</v>
      </c>
      <c r="E50" s="9" t="s">
        <v>66</v>
      </c>
      <c r="F50" s="9" t="s">
        <v>47</v>
      </c>
    </row>
    <row r="51" spans="1:6" x14ac:dyDescent="0.25">
      <c r="A51" s="9" t="s">
        <v>193</v>
      </c>
      <c r="B51" s="9" t="s">
        <v>20</v>
      </c>
      <c r="C51" s="9" t="s">
        <v>194</v>
      </c>
      <c r="D51" s="9" t="s">
        <v>2033</v>
      </c>
      <c r="E51" s="9" t="s">
        <v>63</v>
      </c>
      <c r="F51" s="9" t="s">
        <v>61</v>
      </c>
    </row>
    <row r="52" spans="1:6" x14ac:dyDescent="0.25">
      <c r="A52" s="9" t="s">
        <v>196</v>
      </c>
      <c r="B52" s="9" t="s">
        <v>16</v>
      </c>
      <c r="C52" s="9" t="s">
        <v>109</v>
      </c>
      <c r="D52" s="9" t="s">
        <v>2034</v>
      </c>
      <c r="E52" s="9" t="s">
        <v>63</v>
      </c>
      <c r="F52" s="9" t="s">
        <v>53</v>
      </c>
    </row>
    <row r="53" spans="1:6" x14ac:dyDescent="0.25">
      <c r="A53" s="9" t="s">
        <v>198</v>
      </c>
      <c r="B53" s="9" t="s">
        <v>14</v>
      </c>
      <c r="C53" s="9" t="s">
        <v>199</v>
      </c>
      <c r="D53" s="9" t="s">
        <v>2035</v>
      </c>
      <c r="E53" s="9" t="s">
        <v>63</v>
      </c>
      <c r="F53" s="9" t="s">
        <v>47</v>
      </c>
    </row>
    <row r="54" spans="1:6" x14ac:dyDescent="0.25">
      <c r="A54" s="9" t="s">
        <v>201</v>
      </c>
      <c r="B54" s="9" t="s">
        <v>22</v>
      </c>
      <c r="C54" s="9" t="s">
        <v>202</v>
      </c>
      <c r="D54" s="9" t="s">
        <v>2035</v>
      </c>
      <c r="E54" s="9" t="s">
        <v>62</v>
      </c>
      <c r="F54" s="9" t="s">
        <v>47</v>
      </c>
    </row>
    <row r="55" spans="1:6" x14ac:dyDescent="0.25">
      <c r="A55" s="9" t="s">
        <v>203</v>
      </c>
      <c r="B55" s="9" t="s">
        <v>18</v>
      </c>
      <c r="C55" s="9" t="s">
        <v>204</v>
      </c>
      <c r="D55" s="9" t="s">
        <v>2036</v>
      </c>
      <c r="E55" s="9" t="s">
        <v>63</v>
      </c>
      <c r="F55" s="9" t="s">
        <v>43</v>
      </c>
    </row>
    <row r="56" spans="1:6" x14ac:dyDescent="0.25">
      <c r="A56" s="9" t="s">
        <v>206</v>
      </c>
      <c r="B56" s="9" t="s">
        <v>20</v>
      </c>
      <c r="C56" s="9" t="s">
        <v>207</v>
      </c>
      <c r="D56" s="9" t="s">
        <v>2037</v>
      </c>
      <c r="E56" s="9" t="s">
        <v>63</v>
      </c>
      <c r="F56" s="9" t="s">
        <v>53</v>
      </c>
    </row>
    <row r="57" spans="1:6" x14ac:dyDescent="0.25">
      <c r="A57" s="9" t="s">
        <v>209</v>
      </c>
      <c r="B57" s="9" t="s">
        <v>12</v>
      </c>
      <c r="C57" s="9" t="s">
        <v>107</v>
      </c>
      <c r="D57" s="9" t="s">
        <v>2037</v>
      </c>
      <c r="E57" s="9" t="s">
        <v>66</v>
      </c>
      <c r="F57" s="9" t="s">
        <v>43</v>
      </c>
    </row>
    <row r="58" spans="1:6" x14ac:dyDescent="0.25">
      <c r="A58" s="9" t="s">
        <v>210</v>
      </c>
      <c r="B58" s="9" t="s">
        <v>24</v>
      </c>
      <c r="C58" s="9" t="s">
        <v>211</v>
      </c>
      <c r="D58" s="9" t="s">
        <v>2038</v>
      </c>
      <c r="E58" s="9" t="s">
        <v>67</v>
      </c>
      <c r="F58" s="9" t="s">
        <v>61</v>
      </c>
    </row>
    <row r="59" spans="1:6" x14ac:dyDescent="0.25">
      <c r="A59" s="9" t="s">
        <v>213</v>
      </c>
      <c r="B59" s="9" t="s">
        <v>14</v>
      </c>
      <c r="C59" s="9" t="s">
        <v>214</v>
      </c>
      <c r="D59" s="9" t="s">
        <v>2039</v>
      </c>
      <c r="E59" s="9" t="s">
        <v>67</v>
      </c>
      <c r="F59" s="9" t="s">
        <v>58</v>
      </c>
    </row>
    <row r="60" spans="1:6" x14ac:dyDescent="0.25">
      <c r="A60" s="9" t="s">
        <v>216</v>
      </c>
      <c r="B60" s="9" t="s">
        <v>16</v>
      </c>
      <c r="C60" s="9" t="s">
        <v>217</v>
      </c>
      <c r="D60" s="9" t="s">
        <v>2039</v>
      </c>
      <c r="E60" s="9" t="s">
        <v>62</v>
      </c>
      <c r="F60" s="9" t="s">
        <v>49</v>
      </c>
    </row>
    <row r="61" spans="1:6" x14ac:dyDescent="0.25">
      <c r="A61" s="9" t="s">
        <v>218</v>
      </c>
      <c r="B61" s="9" t="s">
        <v>14</v>
      </c>
      <c r="C61" s="9" t="s">
        <v>219</v>
      </c>
      <c r="D61" s="9" t="s">
        <v>2039</v>
      </c>
      <c r="E61" s="9" t="s">
        <v>64</v>
      </c>
      <c r="F61" s="9" t="s">
        <v>58</v>
      </c>
    </row>
    <row r="62" spans="1:6" x14ac:dyDescent="0.25">
      <c r="A62" s="9" t="s">
        <v>220</v>
      </c>
      <c r="B62" s="9" t="s">
        <v>24</v>
      </c>
      <c r="C62" s="9" t="s">
        <v>112</v>
      </c>
      <c r="D62" s="9" t="s">
        <v>2039</v>
      </c>
      <c r="E62" s="9" t="s">
        <v>62</v>
      </c>
      <c r="F62" s="9" t="s">
        <v>45</v>
      </c>
    </row>
    <row r="63" spans="1:6" x14ac:dyDescent="0.25">
      <c r="A63" s="9" t="s">
        <v>221</v>
      </c>
      <c r="B63" s="9" t="s">
        <v>16</v>
      </c>
      <c r="C63" s="9" t="s">
        <v>222</v>
      </c>
      <c r="D63" s="9" t="s">
        <v>2040</v>
      </c>
      <c r="E63" s="9" t="s">
        <v>65</v>
      </c>
      <c r="F63" s="9" t="s">
        <v>61</v>
      </c>
    </row>
    <row r="64" spans="1:6" x14ac:dyDescent="0.25">
      <c r="A64" s="9" t="s">
        <v>224</v>
      </c>
      <c r="B64" s="9" t="s">
        <v>16</v>
      </c>
      <c r="C64" s="9" t="s">
        <v>225</v>
      </c>
      <c r="D64" s="9" t="s">
        <v>2041</v>
      </c>
      <c r="E64" s="9" t="s">
        <v>64</v>
      </c>
      <c r="F64" s="9" t="s">
        <v>45</v>
      </c>
    </row>
    <row r="65" spans="1:6" x14ac:dyDescent="0.25">
      <c r="A65" s="9" t="s">
        <v>227</v>
      </c>
      <c r="B65" s="9" t="s">
        <v>18</v>
      </c>
      <c r="C65" s="9" t="s">
        <v>228</v>
      </c>
      <c r="D65" s="9" t="s">
        <v>2041</v>
      </c>
      <c r="E65" s="9" t="s">
        <v>66</v>
      </c>
      <c r="F65" s="9" t="s">
        <v>49</v>
      </c>
    </row>
    <row r="66" spans="1:6" x14ac:dyDescent="0.25">
      <c r="A66" s="9" t="s">
        <v>229</v>
      </c>
      <c r="B66" s="9" t="s">
        <v>16</v>
      </c>
      <c r="C66" s="9" t="s">
        <v>230</v>
      </c>
      <c r="D66" s="9" t="s">
        <v>2042</v>
      </c>
      <c r="E66" s="9" t="s">
        <v>63</v>
      </c>
      <c r="F66" s="9" t="s">
        <v>55</v>
      </c>
    </row>
    <row r="67" spans="1:6" x14ac:dyDescent="0.25">
      <c r="A67" s="9" t="s">
        <v>232</v>
      </c>
      <c r="B67" s="9" t="s">
        <v>20</v>
      </c>
      <c r="C67" s="9" t="s">
        <v>233</v>
      </c>
      <c r="D67" s="9" t="s">
        <v>2043</v>
      </c>
      <c r="E67" s="9" t="s">
        <v>63</v>
      </c>
      <c r="F67" s="9" t="s">
        <v>58</v>
      </c>
    </row>
    <row r="68" spans="1:6" x14ac:dyDescent="0.25">
      <c r="A68" s="9" t="s">
        <v>235</v>
      </c>
      <c r="B68" s="9" t="s">
        <v>14</v>
      </c>
      <c r="C68" s="9" t="s">
        <v>236</v>
      </c>
      <c r="D68" s="9" t="s">
        <v>2044</v>
      </c>
      <c r="E68" s="9" t="s">
        <v>67</v>
      </c>
      <c r="F68" s="9" t="s">
        <v>49</v>
      </c>
    </row>
    <row r="69" spans="1:6" x14ac:dyDescent="0.25">
      <c r="A69" s="9" t="s">
        <v>238</v>
      </c>
      <c r="B69" s="9" t="s">
        <v>20</v>
      </c>
      <c r="C69" s="9" t="s">
        <v>239</v>
      </c>
      <c r="D69" s="9" t="s">
        <v>2045</v>
      </c>
      <c r="E69" s="9" t="s">
        <v>64</v>
      </c>
      <c r="F69" s="9" t="s">
        <v>45</v>
      </c>
    </row>
    <row r="70" spans="1:6" x14ac:dyDescent="0.25">
      <c r="A70" s="9" t="s">
        <v>241</v>
      </c>
      <c r="B70" s="9" t="s">
        <v>18</v>
      </c>
      <c r="C70" s="9" t="s">
        <v>242</v>
      </c>
      <c r="D70" s="9" t="s">
        <v>2045</v>
      </c>
      <c r="E70" s="9" t="s">
        <v>66</v>
      </c>
      <c r="F70" s="9" t="s">
        <v>61</v>
      </c>
    </row>
    <row r="71" spans="1:6" x14ac:dyDescent="0.25">
      <c r="A71" s="9" t="s">
        <v>243</v>
      </c>
      <c r="B71" s="9" t="s">
        <v>16</v>
      </c>
      <c r="C71" s="9" t="s">
        <v>244</v>
      </c>
      <c r="D71" s="9" t="s">
        <v>2046</v>
      </c>
      <c r="E71" s="9" t="s">
        <v>65</v>
      </c>
      <c r="F71" s="9" t="s">
        <v>45</v>
      </c>
    </row>
    <row r="72" spans="1:6" x14ac:dyDescent="0.25">
      <c r="A72" s="9" t="s">
        <v>246</v>
      </c>
      <c r="B72" s="9" t="s">
        <v>18</v>
      </c>
      <c r="C72" s="9" t="s">
        <v>247</v>
      </c>
      <c r="D72" s="9" t="s">
        <v>2046</v>
      </c>
      <c r="E72" s="9" t="s">
        <v>67</v>
      </c>
      <c r="F72" s="9" t="s">
        <v>47</v>
      </c>
    </row>
    <row r="73" spans="1:6" x14ac:dyDescent="0.25">
      <c r="A73" s="9" t="s">
        <v>248</v>
      </c>
      <c r="B73" s="9" t="s">
        <v>14</v>
      </c>
      <c r="C73" s="9" t="s">
        <v>249</v>
      </c>
      <c r="D73" s="9" t="s">
        <v>2047</v>
      </c>
      <c r="E73" s="9" t="s">
        <v>63</v>
      </c>
      <c r="F73" s="9" t="s">
        <v>51</v>
      </c>
    </row>
    <row r="74" spans="1:6" x14ac:dyDescent="0.25">
      <c r="A74" s="9" t="s">
        <v>251</v>
      </c>
      <c r="B74" s="9" t="s">
        <v>14</v>
      </c>
      <c r="C74" s="9" t="s">
        <v>252</v>
      </c>
      <c r="D74" s="9" t="s">
        <v>2047</v>
      </c>
      <c r="E74" s="9" t="s">
        <v>67</v>
      </c>
      <c r="F74" s="9" t="s">
        <v>58</v>
      </c>
    </row>
    <row r="75" spans="1:6" x14ac:dyDescent="0.25">
      <c r="A75" s="9" t="s">
        <v>253</v>
      </c>
      <c r="B75" s="9" t="s">
        <v>20</v>
      </c>
      <c r="C75" s="9" t="s">
        <v>254</v>
      </c>
      <c r="D75" s="9" t="s">
        <v>2048</v>
      </c>
      <c r="E75" s="9" t="s">
        <v>62</v>
      </c>
      <c r="F75" s="9" t="s">
        <v>49</v>
      </c>
    </row>
    <row r="76" spans="1:6" x14ac:dyDescent="0.25">
      <c r="A76" s="9" t="s">
        <v>256</v>
      </c>
      <c r="B76" s="9" t="s">
        <v>18</v>
      </c>
      <c r="C76" s="9" t="s">
        <v>257</v>
      </c>
      <c r="D76" s="9" t="s">
        <v>2049</v>
      </c>
      <c r="E76" s="9" t="s">
        <v>65</v>
      </c>
      <c r="F76" s="9" t="s">
        <v>51</v>
      </c>
    </row>
    <row r="77" spans="1:6" x14ac:dyDescent="0.25">
      <c r="A77" s="9" t="s">
        <v>259</v>
      </c>
      <c r="B77" s="9" t="s">
        <v>20</v>
      </c>
      <c r="C77" s="9" t="s">
        <v>260</v>
      </c>
      <c r="D77" s="9" t="s">
        <v>2049</v>
      </c>
      <c r="E77" s="9" t="s">
        <v>67</v>
      </c>
      <c r="F77" s="9" t="s">
        <v>53</v>
      </c>
    </row>
    <row r="78" spans="1:6" x14ac:dyDescent="0.25">
      <c r="A78" s="9" t="s">
        <v>261</v>
      </c>
      <c r="B78" s="9" t="s">
        <v>14</v>
      </c>
      <c r="C78" s="9" t="s">
        <v>262</v>
      </c>
      <c r="D78" s="9" t="s">
        <v>2049</v>
      </c>
      <c r="E78" s="9" t="s">
        <v>66</v>
      </c>
      <c r="F78" s="9" t="s">
        <v>45</v>
      </c>
    </row>
    <row r="79" spans="1:6" x14ac:dyDescent="0.25">
      <c r="A79" s="9" t="s">
        <v>263</v>
      </c>
      <c r="B79" s="9" t="s">
        <v>18</v>
      </c>
      <c r="C79" s="9" t="s">
        <v>264</v>
      </c>
      <c r="D79" s="9" t="s">
        <v>2050</v>
      </c>
      <c r="E79" s="9" t="s">
        <v>65</v>
      </c>
      <c r="F79" s="9" t="s">
        <v>45</v>
      </c>
    </row>
    <row r="80" spans="1:6" x14ac:dyDescent="0.25">
      <c r="A80" s="9" t="s">
        <v>266</v>
      </c>
      <c r="B80" s="9" t="s">
        <v>22</v>
      </c>
      <c r="C80" s="9" t="s">
        <v>267</v>
      </c>
      <c r="D80" s="9" t="s">
        <v>2051</v>
      </c>
      <c r="E80" s="9" t="s">
        <v>65</v>
      </c>
      <c r="F80" s="9" t="s">
        <v>55</v>
      </c>
    </row>
    <row r="81" spans="1:6" x14ac:dyDescent="0.25">
      <c r="A81" s="9" t="s">
        <v>269</v>
      </c>
      <c r="B81" s="9" t="s">
        <v>16</v>
      </c>
      <c r="C81" s="9" t="s">
        <v>270</v>
      </c>
      <c r="D81" s="9" t="s">
        <v>2052</v>
      </c>
      <c r="E81" s="9" t="s">
        <v>65</v>
      </c>
      <c r="F81" s="9" t="s">
        <v>53</v>
      </c>
    </row>
    <row r="82" spans="1:6" x14ac:dyDescent="0.25">
      <c r="A82" s="9" t="s">
        <v>272</v>
      </c>
      <c r="B82" s="9" t="s">
        <v>24</v>
      </c>
      <c r="C82" s="9" t="s">
        <v>194</v>
      </c>
      <c r="D82" s="9" t="s">
        <v>2053</v>
      </c>
      <c r="E82" s="9" t="s">
        <v>65</v>
      </c>
      <c r="F82" s="9" t="s">
        <v>49</v>
      </c>
    </row>
    <row r="83" spans="1:6" x14ac:dyDescent="0.25">
      <c r="A83" s="9" t="s">
        <v>274</v>
      </c>
      <c r="B83" s="9" t="s">
        <v>14</v>
      </c>
      <c r="C83" s="9" t="s">
        <v>275</v>
      </c>
      <c r="D83" s="9" t="s">
        <v>2054</v>
      </c>
      <c r="E83" s="9" t="s">
        <v>67</v>
      </c>
      <c r="F83" s="9" t="s">
        <v>47</v>
      </c>
    </row>
    <row r="84" spans="1:6" x14ac:dyDescent="0.25">
      <c r="A84" s="9" t="s">
        <v>277</v>
      </c>
      <c r="B84" s="9" t="s">
        <v>18</v>
      </c>
      <c r="C84" s="9" t="s">
        <v>278</v>
      </c>
      <c r="D84" s="9" t="s">
        <v>2054</v>
      </c>
      <c r="E84" s="9" t="s">
        <v>65</v>
      </c>
      <c r="F84" s="9" t="s">
        <v>43</v>
      </c>
    </row>
    <row r="85" spans="1:6" x14ac:dyDescent="0.25">
      <c r="A85" s="9" t="s">
        <v>279</v>
      </c>
      <c r="B85" s="9" t="s">
        <v>22</v>
      </c>
      <c r="C85" s="9" t="s">
        <v>280</v>
      </c>
      <c r="D85" s="9" t="s">
        <v>2055</v>
      </c>
      <c r="E85" s="9" t="s">
        <v>63</v>
      </c>
      <c r="F85" s="9" t="s">
        <v>61</v>
      </c>
    </row>
    <row r="86" spans="1:6" x14ac:dyDescent="0.25">
      <c r="A86" s="9" t="s">
        <v>282</v>
      </c>
      <c r="B86" s="9" t="s">
        <v>24</v>
      </c>
      <c r="C86" s="9" t="s">
        <v>134</v>
      </c>
      <c r="D86" s="9" t="s">
        <v>2055</v>
      </c>
      <c r="E86" s="9" t="s">
        <v>63</v>
      </c>
      <c r="F86" s="9" t="s">
        <v>43</v>
      </c>
    </row>
    <row r="87" spans="1:6" x14ac:dyDescent="0.25">
      <c r="A87" s="9" t="s">
        <v>283</v>
      </c>
      <c r="B87" s="9" t="s">
        <v>24</v>
      </c>
      <c r="C87" s="9" t="s">
        <v>284</v>
      </c>
      <c r="D87" s="9" t="s">
        <v>2055</v>
      </c>
      <c r="E87" s="9" t="s">
        <v>63</v>
      </c>
      <c r="F87" s="9" t="s">
        <v>55</v>
      </c>
    </row>
    <row r="88" spans="1:6" x14ac:dyDescent="0.25">
      <c r="A88" s="9" t="s">
        <v>285</v>
      </c>
      <c r="B88" s="9" t="s">
        <v>24</v>
      </c>
      <c r="C88" s="9" t="s">
        <v>286</v>
      </c>
      <c r="D88" s="9" t="s">
        <v>2056</v>
      </c>
      <c r="E88" s="9" t="s">
        <v>62</v>
      </c>
      <c r="F88" s="9" t="s">
        <v>53</v>
      </c>
    </row>
    <row r="89" spans="1:6" x14ac:dyDescent="0.25">
      <c r="A89" s="9" t="s">
        <v>288</v>
      </c>
      <c r="B89" s="9" t="s">
        <v>18</v>
      </c>
      <c r="C89" s="9" t="s">
        <v>289</v>
      </c>
      <c r="D89" s="9" t="s">
        <v>2056</v>
      </c>
      <c r="E89" s="9" t="s">
        <v>63</v>
      </c>
      <c r="F89" s="9" t="s">
        <v>55</v>
      </c>
    </row>
    <row r="90" spans="1:6" x14ac:dyDescent="0.25">
      <c r="A90" s="9" t="s">
        <v>290</v>
      </c>
      <c r="B90" s="9" t="s">
        <v>14</v>
      </c>
      <c r="C90" s="9" t="s">
        <v>291</v>
      </c>
      <c r="D90" s="9" t="s">
        <v>2057</v>
      </c>
      <c r="E90" s="9" t="s">
        <v>67</v>
      </c>
      <c r="F90" s="9" t="s">
        <v>49</v>
      </c>
    </row>
    <row r="91" spans="1:6" x14ac:dyDescent="0.25">
      <c r="A91" s="9" t="s">
        <v>293</v>
      </c>
      <c r="B91" s="9" t="s">
        <v>24</v>
      </c>
      <c r="C91" s="9" t="s">
        <v>81</v>
      </c>
      <c r="D91" s="9" t="s">
        <v>2057</v>
      </c>
      <c r="E91" s="9" t="s">
        <v>66</v>
      </c>
      <c r="F91" s="9" t="s">
        <v>53</v>
      </c>
    </row>
    <row r="92" spans="1:6" x14ac:dyDescent="0.25">
      <c r="A92" s="9" t="s">
        <v>294</v>
      </c>
      <c r="B92" s="9" t="s">
        <v>22</v>
      </c>
      <c r="C92" s="9" t="s">
        <v>295</v>
      </c>
      <c r="D92" s="9" t="s">
        <v>2057</v>
      </c>
      <c r="E92" s="9" t="s">
        <v>62</v>
      </c>
      <c r="F92" s="9" t="s">
        <v>47</v>
      </c>
    </row>
    <row r="93" spans="1:6" x14ac:dyDescent="0.25">
      <c r="A93" s="9" t="s">
        <v>296</v>
      </c>
      <c r="B93" s="9" t="s">
        <v>24</v>
      </c>
      <c r="C93" s="9" t="s">
        <v>297</v>
      </c>
      <c r="D93" s="9" t="s">
        <v>2058</v>
      </c>
      <c r="E93" s="9" t="s">
        <v>62</v>
      </c>
      <c r="F93" s="9" t="s">
        <v>47</v>
      </c>
    </row>
    <row r="94" spans="1:6" x14ac:dyDescent="0.25">
      <c r="A94" s="9" t="s">
        <v>299</v>
      </c>
      <c r="B94" s="9" t="s">
        <v>14</v>
      </c>
      <c r="C94" s="9" t="s">
        <v>300</v>
      </c>
      <c r="D94" s="9" t="s">
        <v>2059</v>
      </c>
      <c r="E94" s="9" t="s">
        <v>62</v>
      </c>
      <c r="F94" s="9" t="s">
        <v>47</v>
      </c>
    </row>
    <row r="95" spans="1:6" x14ac:dyDescent="0.25">
      <c r="A95" s="9" t="s">
        <v>302</v>
      </c>
      <c r="B95" s="9" t="s">
        <v>20</v>
      </c>
      <c r="C95" s="9" t="s">
        <v>303</v>
      </c>
      <c r="D95" s="9" t="s">
        <v>2060</v>
      </c>
      <c r="E95" s="9" t="s">
        <v>67</v>
      </c>
      <c r="F95" s="9" t="s">
        <v>45</v>
      </c>
    </row>
    <row r="96" spans="1:6" x14ac:dyDescent="0.25">
      <c r="A96" s="9" t="s">
        <v>305</v>
      </c>
      <c r="B96" s="9" t="s">
        <v>14</v>
      </c>
      <c r="C96" s="9" t="s">
        <v>180</v>
      </c>
      <c r="D96" s="9" t="s">
        <v>2060</v>
      </c>
      <c r="E96" s="9" t="s">
        <v>63</v>
      </c>
      <c r="F96" s="9" t="s">
        <v>55</v>
      </c>
    </row>
    <row r="97" spans="1:6" x14ac:dyDescent="0.25">
      <c r="A97" s="9" t="s">
        <v>306</v>
      </c>
      <c r="B97" s="9" t="s">
        <v>14</v>
      </c>
      <c r="C97" s="9" t="s">
        <v>307</v>
      </c>
      <c r="D97" s="9" t="s">
        <v>2061</v>
      </c>
      <c r="E97" s="9" t="s">
        <v>67</v>
      </c>
      <c r="F97" s="9" t="s">
        <v>45</v>
      </c>
    </row>
    <row r="98" spans="1:6" x14ac:dyDescent="0.25">
      <c r="A98" s="9" t="s">
        <v>309</v>
      </c>
      <c r="B98" s="9" t="s">
        <v>20</v>
      </c>
      <c r="C98" s="9" t="s">
        <v>185</v>
      </c>
      <c r="D98" s="9" t="s">
        <v>2062</v>
      </c>
      <c r="E98" s="9" t="s">
        <v>65</v>
      </c>
      <c r="F98" s="9" t="s">
        <v>49</v>
      </c>
    </row>
    <row r="99" spans="1:6" x14ac:dyDescent="0.25">
      <c r="A99" s="9" t="s">
        <v>311</v>
      </c>
      <c r="B99" s="9" t="s">
        <v>16</v>
      </c>
      <c r="C99" s="9" t="s">
        <v>312</v>
      </c>
      <c r="D99" s="9" t="s">
        <v>2063</v>
      </c>
      <c r="E99" s="9" t="s">
        <v>67</v>
      </c>
      <c r="F99" s="9" t="s">
        <v>43</v>
      </c>
    </row>
    <row r="100" spans="1:6" x14ac:dyDescent="0.25">
      <c r="A100" s="9" t="s">
        <v>314</v>
      </c>
      <c r="B100" s="9" t="s">
        <v>22</v>
      </c>
      <c r="C100" s="9" t="s">
        <v>315</v>
      </c>
      <c r="D100" s="9" t="s">
        <v>2064</v>
      </c>
      <c r="E100" s="9" t="s">
        <v>64</v>
      </c>
      <c r="F100" s="9" t="s">
        <v>55</v>
      </c>
    </row>
    <row r="101" spans="1:6" x14ac:dyDescent="0.25">
      <c r="A101" s="9" t="s">
        <v>317</v>
      </c>
      <c r="B101" s="9" t="s">
        <v>16</v>
      </c>
      <c r="C101" s="9" t="s">
        <v>131</v>
      </c>
      <c r="D101" s="9" t="s">
        <v>2065</v>
      </c>
      <c r="E101" s="9" t="s">
        <v>67</v>
      </c>
      <c r="F101" s="9" t="s">
        <v>58</v>
      </c>
    </row>
    <row r="102" spans="1:6" x14ac:dyDescent="0.25">
      <c r="A102" s="9" t="s">
        <v>319</v>
      </c>
      <c r="B102" s="9" t="s">
        <v>24</v>
      </c>
      <c r="C102" s="9" t="s">
        <v>107</v>
      </c>
      <c r="D102" s="9" t="s">
        <v>2066</v>
      </c>
      <c r="E102" s="9" t="s">
        <v>63</v>
      </c>
      <c r="F102" s="9" t="s">
        <v>53</v>
      </c>
    </row>
    <row r="103" spans="1:6" x14ac:dyDescent="0.25">
      <c r="A103" s="9" t="s">
        <v>321</v>
      </c>
      <c r="B103" s="9" t="s">
        <v>12</v>
      </c>
      <c r="C103" s="9" t="s">
        <v>73</v>
      </c>
      <c r="D103" s="9" t="s">
        <v>2067</v>
      </c>
      <c r="E103" s="9" t="s">
        <v>64</v>
      </c>
      <c r="F103" s="9" t="s">
        <v>51</v>
      </c>
    </row>
    <row r="104" spans="1:6" x14ac:dyDescent="0.25">
      <c r="A104" s="9" t="s">
        <v>323</v>
      </c>
      <c r="B104" s="9" t="s">
        <v>14</v>
      </c>
      <c r="C104" s="9" t="s">
        <v>324</v>
      </c>
      <c r="D104" s="9" t="s">
        <v>2067</v>
      </c>
      <c r="E104" s="9" t="s">
        <v>65</v>
      </c>
      <c r="F104" s="9" t="s">
        <v>45</v>
      </c>
    </row>
    <row r="105" spans="1:6" x14ac:dyDescent="0.25">
      <c r="A105" s="9" t="s">
        <v>325</v>
      </c>
      <c r="B105" s="9" t="s">
        <v>14</v>
      </c>
      <c r="C105" s="9" t="s">
        <v>295</v>
      </c>
      <c r="D105" s="9" t="s">
        <v>2068</v>
      </c>
      <c r="E105" s="9" t="s">
        <v>65</v>
      </c>
      <c r="F105" s="9" t="s">
        <v>51</v>
      </c>
    </row>
    <row r="106" spans="1:6" x14ac:dyDescent="0.25">
      <c r="A106" s="9" t="s">
        <v>327</v>
      </c>
      <c r="B106" s="9" t="s">
        <v>12</v>
      </c>
      <c r="C106" s="9" t="s">
        <v>328</v>
      </c>
      <c r="D106" s="9" t="s">
        <v>2069</v>
      </c>
      <c r="E106" s="9" t="s">
        <v>64</v>
      </c>
      <c r="F106" s="9" t="s">
        <v>43</v>
      </c>
    </row>
    <row r="107" spans="1:6" x14ac:dyDescent="0.25">
      <c r="A107" s="9" t="s">
        <v>330</v>
      </c>
      <c r="B107" s="9" t="s">
        <v>22</v>
      </c>
      <c r="C107" s="9" t="s">
        <v>222</v>
      </c>
      <c r="D107" s="9" t="s">
        <v>2070</v>
      </c>
      <c r="E107" s="9" t="s">
        <v>62</v>
      </c>
      <c r="F107" s="9" t="s">
        <v>45</v>
      </c>
    </row>
    <row r="108" spans="1:6" x14ac:dyDescent="0.25">
      <c r="A108" s="9" t="s">
        <v>332</v>
      </c>
      <c r="B108" s="9" t="s">
        <v>14</v>
      </c>
      <c r="C108" s="9" t="s">
        <v>333</v>
      </c>
      <c r="D108" s="9" t="s">
        <v>2071</v>
      </c>
      <c r="E108" s="9" t="s">
        <v>63</v>
      </c>
      <c r="F108" s="9" t="s">
        <v>49</v>
      </c>
    </row>
    <row r="109" spans="1:6" x14ac:dyDescent="0.25">
      <c r="A109" s="9" t="s">
        <v>335</v>
      </c>
      <c r="B109" s="9" t="s">
        <v>22</v>
      </c>
      <c r="C109" s="9" t="s">
        <v>324</v>
      </c>
      <c r="D109" s="9" t="s">
        <v>2072</v>
      </c>
      <c r="E109" s="9" t="s">
        <v>63</v>
      </c>
      <c r="F109" s="9" t="s">
        <v>43</v>
      </c>
    </row>
    <row r="110" spans="1:6" x14ac:dyDescent="0.25">
      <c r="A110" s="9" t="s">
        <v>337</v>
      </c>
      <c r="B110" s="9" t="s">
        <v>24</v>
      </c>
      <c r="C110" s="9" t="s">
        <v>338</v>
      </c>
      <c r="D110" s="9" t="s">
        <v>2072</v>
      </c>
      <c r="E110" s="9" t="s">
        <v>62</v>
      </c>
      <c r="F110" s="9" t="s">
        <v>51</v>
      </c>
    </row>
    <row r="111" spans="1:6" x14ac:dyDescent="0.25">
      <c r="A111" s="9" t="s">
        <v>339</v>
      </c>
      <c r="B111" s="9" t="s">
        <v>14</v>
      </c>
      <c r="C111" s="9" t="s">
        <v>340</v>
      </c>
      <c r="D111" s="9" t="s">
        <v>2073</v>
      </c>
      <c r="E111" s="9" t="s">
        <v>67</v>
      </c>
      <c r="F111" s="9" t="s">
        <v>45</v>
      </c>
    </row>
    <row r="112" spans="1:6" x14ac:dyDescent="0.25">
      <c r="A112" s="9" t="s">
        <v>342</v>
      </c>
      <c r="B112" s="9" t="s">
        <v>18</v>
      </c>
      <c r="C112" s="9" t="s">
        <v>343</v>
      </c>
      <c r="D112" s="9" t="s">
        <v>2074</v>
      </c>
      <c r="E112" s="9" t="s">
        <v>67</v>
      </c>
      <c r="F112" s="9" t="s">
        <v>61</v>
      </c>
    </row>
    <row r="113" spans="1:6" x14ac:dyDescent="0.25">
      <c r="A113" s="9" t="s">
        <v>345</v>
      </c>
      <c r="B113" s="9" t="s">
        <v>14</v>
      </c>
      <c r="C113" s="9" t="s">
        <v>346</v>
      </c>
      <c r="D113" s="9" t="s">
        <v>2075</v>
      </c>
      <c r="E113" s="9" t="s">
        <v>64</v>
      </c>
      <c r="F113" s="9" t="s">
        <v>47</v>
      </c>
    </row>
    <row r="114" spans="1:6" x14ac:dyDescent="0.25">
      <c r="A114" s="9" t="s">
        <v>348</v>
      </c>
      <c r="B114" s="9" t="s">
        <v>18</v>
      </c>
      <c r="C114" s="9" t="s">
        <v>188</v>
      </c>
      <c r="D114" s="9" t="s">
        <v>2076</v>
      </c>
      <c r="E114" s="9" t="s">
        <v>63</v>
      </c>
      <c r="F114" s="9" t="s">
        <v>49</v>
      </c>
    </row>
    <row r="115" spans="1:6" x14ac:dyDescent="0.25">
      <c r="A115" s="9" t="s">
        <v>350</v>
      </c>
      <c r="B115" s="9" t="s">
        <v>24</v>
      </c>
      <c r="C115" s="9" t="s">
        <v>351</v>
      </c>
      <c r="D115" s="9" t="s">
        <v>2077</v>
      </c>
      <c r="E115" s="9" t="s">
        <v>66</v>
      </c>
      <c r="F115" s="9" t="s">
        <v>55</v>
      </c>
    </row>
    <row r="116" spans="1:6" x14ac:dyDescent="0.25">
      <c r="A116" s="9" t="s">
        <v>353</v>
      </c>
      <c r="B116" s="9" t="s">
        <v>20</v>
      </c>
      <c r="C116" s="9" t="s">
        <v>354</v>
      </c>
      <c r="D116" s="9" t="s">
        <v>2077</v>
      </c>
      <c r="E116" s="9" t="s">
        <v>62</v>
      </c>
      <c r="F116" s="9" t="s">
        <v>53</v>
      </c>
    </row>
    <row r="117" spans="1:6" x14ac:dyDescent="0.25">
      <c r="A117" s="9" t="s">
        <v>355</v>
      </c>
      <c r="B117" s="9" t="s">
        <v>12</v>
      </c>
      <c r="C117" s="9" t="s">
        <v>107</v>
      </c>
      <c r="D117" s="9" t="s">
        <v>2078</v>
      </c>
      <c r="E117" s="9" t="s">
        <v>67</v>
      </c>
      <c r="F117" s="9" t="s">
        <v>61</v>
      </c>
    </row>
    <row r="118" spans="1:6" x14ac:dyDescent="0.25">
      <c r="A118" s="9" t="s">
        <v>357</v>
      </c>
      <c r="B118" s="9" t="s">
        <v>20</v>
      </c>
      <c r="C118" s="9" t="s">
        <v>188</v>
      </c>
      <c r="D118" s="9" t="s">
        <v>2078</v>
      </c>
      <c r="E118" s="9" t="s">
        <v>62</v>
      </c>
      <c r="F118" s="9" t="s">
        <v>43</v>
      </c>
    </row>
    <row r="119" spans="1:6" x14ac:dyDescent="0.25">
      <c r="A119" s="9" t="s">
        <v>358</v>
      </c>
      <c r="B119" s="9" t="s">
        <v>16</v>
      </c>
      <c r="C119" s="9" t="s">
        <v>280</v>
      </c>
      <c r="D119" s="9" t="s">
        <v>2078</v>
      </c>
      <c r="E119" s="9" t="s">
        <v>66</v>
      </c>
      <c r="F119" s="9" t="s">
        <v>49</v>
      </c>
    </row>
    <row r="120" spans="1:6" x14ac:dyDescent="0.25">
      <c r="A120" s="9" t="s">
        <v>359</v>
      </c>
      <c r="B120" s="9" t="s">
        <v>18</v>
      </c>
      <c r="C120" s="9" t="s">
        <v>112</v>
      </c>
      <c r="D120" s="9" t="s">
        <v>2079</v>
      </c>
      <c r="E120" s="9" t="s">
        <v>67</v>
      </c>
      <c r="F120" s="9" t="s">
        <v>45</v>
      </c>
    </row>
    <row r="121" spans="1:6" x14ac:dyDescent="0.25">
      <c r="A121" s="9" t="s">
        <v>361</v>
      </c>
      <c r="B121" s="9" t="s">
        <v>12</v>
      </c>
      <c r="C121" s="9" t="s">
        <v>95</v>
      </c>
      <c r="D121" s="9" t="s">
        <v>2079</v>
      </c>
      <c r="E121" s="9" t="s">
        <v>62</v>
      </c>
      <c r="F121" s="9" t="s">
        <v>61</v>
      </c>
    </row>
    <row r="122" spans="1:6" x14ac:dyDescent="0.25">
      <c r="A122" s="9" t="s">
        <v>362</v>
      </c>
      <c r="B122" s="9" t="s">
        <v>22</v>
      </c>
      <c r="C122" s="9" t="s">
        <v>363</v>
      </c>
      <c r="D122" s="9" t="s">
        <v>2079</v>
      </c>
      <c r="E122" s="9" t="s">
        <v>64</v>
      </c>
      <c r="F122" s="9" t="s">
        <v>53</v>
      </c>
    </row>
    <row r="123" spans="1:6" x14ac:dyDescent="0.25">
      <c r="A123" s="9" t="s">
        <v>364</v>
      </c>
      <c r="B123" s="9" t="s">
        <v>22</v>
      </c>
      <c r="C123" s="9" t="s">
        <v>365</v>
      </c>
      <c r="D123" s="9" t="s">
        <v>2080</v>
      </c>
      <c r="E123" s="9" t="s">
        <v>66</v>
      </c>
      <c r="F123" s="9" t="s">
        <v>51</v>
      </c>
    </row>
    <row r="124" spans="1:6" x14ac:dyDescent="0.25">
      <c r="A124" s="9" t="s">
        <v>367</v>
      </c>
      <c r="B124" s="9" t="s">
        <v>16</v>
      </c>
      <c r="C124" s="9" t="s">
        <v>114</v>
      </c>
      <c r="D124" s="9" t="s">
        <v>2081</v>
      </c>
      <c r="E124" s="9" t="s">
        <v>67</v>
      </c>
      <c r="F124" s="9" t="s">
        <v>49</v>
      </c>
    </row>
    <row r="125" spans="1:6" x14ac:dyDescent="0.25">
      <c r="A125" s="9" t="s">
        <v>369</v>
      </c>
      <c r="B125" s="9" t="s">
        <v>12</v>
      </c>
      <c r="C125" s="9" t="s">
        <v>333</v>
      </c>
      <c r="D125" s="9" t="s">
        <v>2081</v>
      </c>
      <c r="E125" s="9" t="s">
        <v>64</v>
      </c>
      <c r="F125" s="9" t="s">
        <v>49</v>
      </c>
    </row>
    <row r="126" spans="1:6" x14ac:dyDescent="0.25">
      <c r="A126" s="9" t="s">
        <v>370</v>
      </c>
      <c r="B126" s="9" t="s">
        <v>12</v>
      </c>
      <c r="C126" s="9" t="s">
        <v>371</v>
      </c>
      <c r="D126" s="9" t="s">
        <v>2082</v>
      </c>
      <c r="E126" s="9" t="s">
        <v>66</v>
      </c>
      <c r="F126" s="9" t="s">
        <v>58</v>
      </c>
    </row>
    <row r="127" spans="1:6" x14ac:dyDescent="0.25">
      <c r="A127" s="9" t="s">
        <v>373</v>
      </c>
      <c r="B127" s="9" t="s">
        <v>14</v>
      </c>
      <c r="C127" s="9" t="s">
        <v>374</v>
      </c>
      <c r="D127" s="9" t="s">
        <v>2082</v>
      </c>
      <c r="E127" s="9" t="s">
        <v>64</v>
      </c>
      <c r="F127" s="9" t="s">
        <v>53</v>
      </c>
    </row>
    <row r="128" spans="1:6" x14ac:dyDescent="0.25">
      <c r="A128" s="9" t="s">
        <v>375</v>
      </c>
      <c r="B128" s="9" t="s">
        <v>20</v>
      </c>
      <c r="C128" s="9" t="s">
        <v>185</v>
      </c>
      <c r="D128" s="9" t="s">
        <v>2083</v>
      </c>
      <c r="E128" s="9" t="s">
        <v>65</v>
      </c>
      <c r="F128" s="9" t="s">
        <v>53</v>
      </c>
    </row>
    <row r="129" spans="1:6" x14ac:dyDescent="0.25">
      <c r="A129" s="9" t="s">
        <v>377</v>
      </c>
      <c r="B129" s="9" t="s">
        <v>18</v>
      </c>
      <c r="C129" s="9" t="s">
        <v>378</v>
      </c>
      <c r="D129" s="9" t="s">
        <v>2083</v>
      </c>
      <c r="E129" s="9" t="s">
        <v>66</v>
      </c>
      <c r="F129" s="9" t="s">
        <v>58</v>
      </c>
    </row>
    <row r="130" spans="1:6" x14ac:dyDescent="0.25">
      <c r="A130" s="9" t="s">
        <v>379</v>
      </c>
      <c r="B130" s="9" t="s">
        <v>12</v>
      </c>
      <c r="C130" s="9" t="s">
        <v>211</v>
      </c>
      <c r="D130" s="9" t="s">
        <v>2084</v>
      </c>
      <c r="E130" s="9" t="s">
        <v>63</v>
      </c>
      <c r="F130" s="9" t="s">
        <v>53</v>
      </c>
    </row>
    <row r="131" spans="1:6" x14ac:dyDescent="0.25">
      <c r="A131" s="9" t="s">
        <v>381</v>
      </c>
      <c r="B131" s="9" t="s">
        <v>14</v>
      </c>
      <c r="C131" s="9" t="s">
        <v>382</v>
      </c>
      <c r="D131" s="9" t="s">
        <v>2085</v>
      </c>
      <c r="E131" s="9" t="s">
        <v>66</v>
      </c>
      <c r="F131" s="9" t="s">
        <v>45</v>
      </c>
    </row>
    <row r="132" spans="1:6" x14ac:dyDescent="0.25">
      <c r="A132" s="9" t="s">
        <v>384</v>
      </c>
      <c r="B132" s="9" t="s">
        <v>12</v>
      </c>
      <c r="C132" s="9" t="s">
        <v>385</v>
      </c>
      <c r="D132" s="9" t="s">
        <v>2085</v>
      </c>
      <c r="E132" s="9" t="s">
        <v>62</v>
      </c>
      <c r="F132" s="9" t="s">
        <v>53</v>
      </c>
    </row>
    <row r="133" spans="1:6" x14ac:dyDescent="0.25">
      <c r="A133" s="9" t="s">
        <v>386</v>
      </c>
      <c r="B133" s="9" t="s">
        <v>22</v>
      </c>
      <c r="C133" s="9" t="s">
        <v>387</v>
      </c>
      <c r="D133" s="9" t="s">
        <v>2086</v>
      </c>
      <c r="E133" s="9" t="s">
        <v>65</v>
      </c>
      <c r="F133" s="9" t="s">
        <v>55</v>
      </c>
    </row>
    <row r="134" spans="1:6" x14ac:dyDescent="0.25">
      <c r="A134" s="9" t="s">
        <v>389</v>
      </c>
      <c r="B134" s="9" t="s">
        <v>18</v>
      </c>
      <c r="C134" s="9" t="s">
        <v>390</v>
      </c>
      <c r="D134" s="9" t="s">
        <v>2086</v>
      </c>
      <c r="E134" s="9" t="s">
        <v>62</v>
      </c>
      <c r="F134" s="9" t="s">
        <v>53</v>
      </c>
    </row>
    <row r="135" spans="1:6" x14ac:dyDescent="0.25">
      <c r="A135" s="9" t="s">
        <v>391</v>
      </c>
      <c r="B135" s="9" t="s">
        <v>14</v>
      </c>
      <c r="C135" s="9" t="s">
        <v>328</v>
      </c>
      <c r="D135" s="9" t="s">
        <v>2087</v>
      </c>
      <c r="E135" s="9" t="s">
        <v>62</v>
      </c>
      <c r="F135" s="9" t="s">
        <v>61</v>
      </c>
    </row>
    <row r="136" spans="1:6" x14ac:dyDescent="0.25">
      <c r="A136" s="9" t="s">
        <v>393</v>
      </c>
      <c r="B136" s="9" t="s">
        <v>16</v>
      </c>
      <c r="C136" s="9" t="s">
        <v>363</v>
      </c>
      <c r="D136" s="9" t="s">
        <v>2087</v>
      </c>
      <c r="E136" s="9" t="s">
        <v>66</v>
      </c>
      <c r="F136" s="9" t="s">
        <v>61</v>
      </c>
    </row>
    <row r="137" spans="1:6" x14ac:dyDescent="0.25">
      <c r="A137" s="9" t="s">
        <v>394</v>
      </c>
      <c r="B137" s="9" t="s">
        <v>12</v>
      </c>
      <c r="C137" s="9" t="s">
        <v>88</v>
      </c>
      <c r="D137" s="9" t="s">
        <v>2088</v>
      </c>
      <c r="E137" s="9" t="s">
        <v>62</v>
      </c>
      <c r="F137" s="9" t="s">
        <v>51</v>
      </c>
    </row>
    <row r="138" spans="1:6" x14ac:dyDescent="0.25">
      <c r="A138" s="9" t="s">
        <v>396</v>
      </c>
      <c r="B138" s="9" t="s">
        <v>24</v>
      </c>
      <c r="C138" s="9" t="s">
        <v>397</v>
      </c>
      <c r="D138" s="9" t="s">
        <v>2089</v>
      </c>
      <c r="E138" s="9" t="s">
        <v>62</v>
      </c>
      <c r="F138" s="9" t="s">
        <v>47</v>
      </c>
    </row>
    <row r="139" spans="1:6" x14ac:dyDescent="0.25">
      <c r="A139" s="9" t="s">
        <v>399</v>
      </c>
      <c r="B139" s="9" t="s">
        <v>18</v>
      </c>
      <c r="C139" s="9" t="s">
        <v>400</v>
      </c>
      <c r="D139" s="9" t="s">
        <v>2089</v>
      </c>
      <c r="E139" s="9" t="s">
        <v>64</v>
      </c>
      <c r="F139" s="9" t="s">
        <v>43</v>
      </c>
    </row>
    <row r="140" spans="1:6" x14ac:dyDescent="0.25">
      <c r="A140" s="9" t="s">
        <v>401</v>
      </c>
      <c r="B140" s="9" t="s">
        <v>14</v>
      </c>
      <c r="C140" s="9" t="s">
        <v>134</v>
      </c>
      <c r="D140" s="9" t="s">
        <v>2090</v>
      </c>
      <c r="E140" s="9" t="s">
        <v>62</v>
      </c>
      <c r="F140" s="9" t="s">
        <v>55</v>
      </c>
    </row>
    <row r="141" spans="1:6" x14ac:dyDescent="0.25">
      <c r="A141" s="9" t="s">
        <v>403</v>
      </c>
      <c r="B141" s="9" t="s">
        <v>14</v>
      </c>
      <c r="C141" s="9" t="s">
        <v>286</v>
      </c>
      <c r="D141" s="9" t="s">
        <v>2091</v>
      </c>
      <c r="E141" s="9" t="s">
        <v>66</v>
      </c>
      <c r="F141" s="9" t="s">
        <v>61</v>
      </c>
    </row>
    <row r="142" spans="1:6" x14ac:dyDescent="0.25">
      <c r="A142" s="9" t="s">
        <v>405</v>
      </c>
      <c r="B142" s="9" t="s">
        <v>24</v>
      </c>
      <c r="C142" s="9" t="s">
        <v>117</v>
      </c>
      <c r="D142" s="9" t="s">
        <v>2091</v>
      </c>
      <c r="E142" s="9" t="s">
        <v>63</v>
      </c>
      <c r="F142" s="9" t="s">
        <v>45</v>
      </c>
    </row>
    <row r="143" spans="1:6" x14ac:dyDescent="0.25">
      <c r="A143" s="9" t="s">
        <v>406</v>
      </c>
      <c r="B143" s="9" t="s">
        <v>14</v>
      </c>
      <c r="C143" s="9" t="s">
        <v>160</v>
      </c>
      <c r="D143" s="9" t="s">
        <v>2092</v>
      </c>
      <c r="E143" s="9" t="s">
        <v>62</v>
      </c>
      <c r="F143" s="9" t="s">
        <v>43</v>
      </c>
    </row>
    <row r="144" spans="1:6" x14ac:dyDescent="0.25">
      <c r="A144" s="9" t="s">
        <v>408</v>
      </c>
      <c r="B144" s="9" t="s">
        <v>14</v>
      </c>
      <c r="C144" s="9" t="s">
        <v>409</v>
      </c>
      <c r="D144" s="9" t="s">
        <v>2092</v>
      </c>
      <c r="E144" s="9" t="s">
        <v>63</v>
      </c>
      <c r="F144" s="9" t="s">
        <v>53</v>
      </c>
    </row>
    <row r="145" spans="1:6" x14ac:dyDescent="0.25">
      <c r="A145" s="9" t="s">
        <v>410</v>
      </c>
      <c r="B145" s="9" t="s">
        <v>14</v>
      </c>
      <c r="C145" s="9" t="s">
        <v>411</v>
      </c>
      <c r="D145" s="9" t="s">
        <v>2092</v>
      </c>
      <c r="E145" s="9" t="s">
        <v>62</v>
      </c>
      <c r="F145" s="9" t="s">
        <v>51</v>
      </c>
    </row>
    <row r="146" spans="1:6" x14ac:dyDescent="0.25">
      <c r="A146" s="9" t="s">
        <v>412</v>
      </c>
      <c r="B146" s="9" t="s">
        <v>18</v>
      </c>
      <c r="C146" s="9" t="s">
        <v>413</v>
      </c>
      <c r="D146" s="9" t="s">
        <v>2093</v>
      </c>
      <c r="E146" s="9" t="s">
        <v>66</v>
      </c>
      <c r="F146" s="9" t="s">
        <v>47</v>
      </c>
    </row>
    <row r="147" spans="1:6" x14ac:dyDescent="0.25">
      <c r="A147" s="9" t="s">
        <v>415</v>
      </c>
      <c r="B147" s="9" t="s">
        <v>22</v>
      </c>
      <c r="C147" s="9" t="s">
        <v>222</v>
      </c>
      <c r="D147" s="9" t="s">
        <v>2094</v>
      </c>
      <c r="E147" s="9" t="s">
        <v>64</v>
      </c>
      <c r="F147" s="9" t="s">
        <v>61</v>
      </c>
    </row>
    <row r="148" spans="1:6" x14ac:dyDescent="0.25">
      <c r="A148" s="9" t="s">
        <v>417</v>
      </c>
      <c r="B148" s="9" t="s">
        <v>24</v>
      </c>
      <c r="C148" s="9" t="s">
        <v>418</v>
      </c>
      <c r="D148" s="9" t="s">
        <v>2095</v>
      </c>
      <c r="E148" s="9" t="s">
        <v>65</v>
      </c>
      <c r="F148" s="9" t="s">
        <v>53</v>
      </c>
    </row>
    <row r="149" spans="1:6" x14ac:dyDescent="0.25">
      <c r="A149" s="9" t="s">
        <v>420</v>
      </c>
      <c r="B149" s="9" t="s">
        <v>12</v>
      </c>
      <c r="C149" s="9" t="s">
        <v>421</v>
      </c>
      <c r="D149" s="9" t="s">
        <v>2095</v>
      </c>
      <c r="E149" s="9" t="s">
        <v>67</v>
      </c>
      <c r="F149" s="9" t="s">
        <v>45</v>
      </c>
    </row>
    <row r="150" spans="1:6" x14ac:dyDescent="0.25">
      <c r="A150" s="9" t="s">
        <v>422</v>
      </c>
      <c r="B150" s="9" t="s">
        <v>16</v>
      </c>
      <c r="C150" s="9" t="s">
        <v>423</v>
      </c>
      <c r="D150" s="9" t="s">
        <v>2096</v>
      </c>
      <c r="E150" s="9" t="s">
        <v>63</v>
      </c>
      <c r="F150" s="9" t="s">
        <v>53</v>
      </c>
    </row>
    <row r="151" spans="1:6" x14ac:dyDescent="0.25">
      <c r="A151" s="9" t="s">
        <v>425</v>
      </c>
      <c r="B151" s="9" t="s">
        <v>16</v>
      </c>
      <c r="C151" s="9" t="s">
        <v>109</v>
      </c>
      <c r="D151" s="9" t="s">
        <v>2097</v>
      </c>
      <c r="E151" s="9" t="s">
        <v>67</v>
      </c>
      <c r="F151" s="9" t="s">
        <v>45</v>
      </c>
    </row>
    <row r="152" spans="1:6" x14ac:dyDescent="0.25">
      <c r="A152" s="9" t="s">
        <v>427</v>
      </c>
      <c r="B152" s="9" t="s">
        <v>18</v>
      </c>
      <c r="C152" s="9" t="s">
        <v>423</v>
      </c>
      <c r="D152" s="9" t="s">
        <v>2097</v>
      </c>
      <c r="E152" s="9" t="s">
        <v>62</v>
      </c>
      <c r="F152" s="9" t="s">
        <v>51</v>
      </c>
    </row>
    <row r="153" spans="1:6" x14ac:dyDescent="0.25">
      <c r="A153" s="9" t="s">
        <v>428</v>
      </c>
      <c r="B153" s="9" t="s">
        <v>20</v>
      </c>
      <c r="C153" s="9" t="s">
        <v>236</v>
      </c>
      <c r="D153" s="9" t="s">
        <v>2098</v>
      </c>
      <c r="E153" s="9" t="s">
        <v>65</v>
      </c>
      <c r="F153" s="9" t="s">
        <v>55</v>
      </c>
    </row>
    <row r="154" spans="1:6" x14ac:dyDescent="0.25">
      <c r="A154" s="9" t="s">
        <v>430</v>
      </c>
      <c r="B154" s="9" t="s">
        <v>18</v>
      </c>
      <c r="C154" s="9" t="s">
        <v>387</v>
      </c>
      <c r="D154" s="9" t="s">
        <v>2098</v>
      </c>
      <c r="E154" s="9" t="s">
        <v>66</v>
      </c>
      <c r="F154" s="9" t="s">
        <v>43</v>
      </c>
    </row>
    <row r="155" spans="1:6" x14ac:dyDescent="0.25">
      <c r="A155" s="9" t="s">
        <v>431</v>
      </c>
      <c r="B155" s="9" t="s">
        <v>14</v>
      </c>
      <c r="C155" s="9" t="s">
        <v>134</v>
      </c>
      <c r="D155" s="9" t="s">
        <v>2099</v>
      </c>
      <c r="E155" s="9" t="s">
        <v>65</v>
      </c>
      <c r="F155" s="9" t="s">
        <v>53</v>
      </c>
    </row>
    <row r="156" spans="1:6" x14ac:dyDescent="0.25">
      <c r="A156" s="9" t="s">
        <v>433</v>
      </c>
      <c r="B156" s="9" t="s">
        <v>20</v>
      </c>
      <c r="C156" s="9" t="s">
        <v>434</v>
      </c>
      <c r="D156" s="9" t="s">
        <v>2100</v>
      </c>
      <c r="E156" s="9" t="s">
        <v>63</v>
      </c>
      <c r="F156" s="9" t="s">
        <v>43</v>
      </c>
    </row>
    <row r="157" spans="1:6" x14ac:dyDescent="0.25">
      <c r="A157" s="9" t="s">
        <v>436</v>
      </c>
      <c r="B157" s="9" t="s">
        <v>12</v>
      </c>
      <c r="C157" s="9" t="s">
        <v>145</v>
      </c>
      <c r="D157" s="9" t="s">
        <v>2101</v>
      </c>
      <c r="E157" s="9" t="s">
        <v>63</v>
      </c>
      <c r="F157" s="9" t="s">
        <v>49</v>
      </c>
    </row>
    <row r="158" spans="1:6" x14ac:dyDescent="0.25">
      <c r="A158" s="9" t="s">
        <v>438</v>
      </c>
      <c r="B158" s="9" t="s">
        <v>12</v>
      </c>
      <c r="C158" s="9" t="s">
        <v>183</v>
      </c>
      <c r="D158" s="9" t="s">
        <v>2102</v>
      </c>
      <c r="E158" s="9" t="s">
        <v>65</v>
      </c>
      <c r="F158" s="9" t="s">
        <v>49</v>
      </c>
    </row>
    <row r="159" spans="1:6" x14ac:dyDescent="0.25">
      <c r="A159" s="9" t="s">
        <v>440</v>
      </c>
      <c r="B159" s="9" t="s">
        <v>20</v>
      </c>
      <c r="C159" s="9" t="s">
        <v>183</v>
      </c>
      <c r="D159" s="9" t="s">
        <v>2103</v>
      </c>
      <c r="E159" s="9" t="s">
        <v>64</v>
      </c>
      <c r="F159" s="9" t="s">
        <v>49</v>
      </c>
    </row>
    <row r="160" spans="1:6" x14ac:dyDescent="0.25">
      <c r="A160" s="9" t="s">
        <v>442</v>
      </c>
      <c r="B160" s="9" t="s">
        <v>14</v>
      </c>
      <c r="C160" s="9" t="s">
        <v>443</v>
      </c>
      <c r="D160" s="9" t="s">
        <v>2104</v>
      </c>
      <c r="E160" s="9" t="s">
        <v>66</v>
      </c>
      <c r="F160" s="9" t="s">
        <v>47</v>
      </c>
    </row>
    <row r="161" spans="1:6" x14ac:dyDescent="0.25">
      <c r="A161" s="9" t="s">
        <v>445</v>
      </c>
      <c r="B161" s="9" t="s">
        <v>18</v>
      </c>
      <c r="C161" s="9" t="s">
        <v>446</v>
      </c>
      <c r="D161" s="9" t="s">
        <v>2104</v>
      </c>
      <c r="E161" s="9" t="s">
        <v>63</v>
      </c>
      <c r="F161" s="9" t="s">
        <v>53</v>
      </c>
    </row>
    <row r="162" spans="1:6" x14ac:dyDescent="0.25">
      <c r="A162" s="9" t="s">
        <v>447</v>
      </c>
      <c r="B162" s="9" t="s">
        <v>20</v>
      </c>
      <c r="C162" s="9" t="s">
        <v>114</v>
      </c>
      <c r="D162" s="9" t="s">
        <v>2104</v>
      </c>
      <c r="E162" s="9" t="s">
        <v>63</v>
      </c>
      <c r="F162" s="9" t="s">
        <v>53</v>
      </c>
    </row>
    <row r="163" spans="1:6" x14ac:dyDescent="0.25">
      <c r="A163" s="9" t="s">
        <v>448</v>
      </c>
      <c r="B163" s="9" t="s">
        <v>24</v>
      </c>
      <c r="C163" s="9" t="s">
        <v>233</v>
      </c>
      <c r="D163" s="9" t="s">
        <v>2105</v>
      </c>
      <c r="E163" s="9" t="s">
        <v>63</v>
      </c>
      <c r="F163" s="9" t="s">
        <v>51</v>
      </c>
    </row>
    <row r="164" spans="1:6" x14ac:dyDescent="0.25">
      <c r="A164" s="9" t="s">
        <v>450</v>
      </c>
      <c r="B164" s="9" t="s">
        <v>24</v>
      </c>
      <c r="C164" s="9" t="s">
        <v>374</v>
      </c>
      <c r="D164" s="9" t="s">
        <v>2106</v>
      </c>
      <c r="E164" s="9" t="s">
        <v>63</v>
      </c>
      <c r="F164" s="9" t="s">
        <v>49</v>
      </c>
    </row>
    <row r="165" spans="1:6" x14ac:dyDescent="0.25">
      <c r="A165" s="9" t="s">
        <v>452</v>
      </c>
      <c r="B165" s="9" t="s">
        <v>12</v>
      </c>
      <c r="C165" s="9" t="s">
        <v>453</v>
      </c>
      <c r="D165" s="9" t="s">
        <v>2107</v>
      </c>
      <c r="E165" s="9" t="s">
        <v>67</v>
      </c>
      <c r="F165" s="9" t="s">
        <v>51</v>
      </c>
    </row>
    <row r="166" spans="1:6" x14ac:dyDescent="0.25">
      <c r="A166" s="9" t="s">
        <v>455</v>
      </c>
      <c r="B166" s="9" t="s">
        <v>14</v>
      </c>
      <c r="C166" s="9" t="s">
        <v>456</v>
      </c>
      <c r="D166" s="9" t="s">
        <v>2107</v>
      </c>
      <c r="E166" s="9" t="s">
        <v>64</v>
      </c>
      <c r="F166" s="9" t="s">
        <v>43</v>
      </c>
    </row>
    <row r="167" spans="1:6" x14ac:dyDescent="0.25">
      <c r="A167" s="9" t="s">
        <v>457</v>
      </c>
      <c r="B167" s="9" t="s">
        <v>24</v>
      </c>
      <c r="C167" s="9" t="s">
        <v>264</v>
      </c>
      <c r="D167" s="9" t="s">
        <v>2107</v>
      </c>
      <c r="E167" s="9" t="s">
        <v>62</v>
      </c>
      <c r="F167" s="9" t="s">
        <v>49</v>
      </c>
    </row>
    <row r="168" spans="1:6" x14ac:dyDescent="0.25">
      <c r="A168" s="9" t="s">
        <v>458</v>
      </c>
      <c r="B168" s="9" t="s">
        <v>18</v>
      </c>
      <c r="C168" s="9" t="s">
        <v>214</v>
      </c>
      <c r="D168" s="9" t="s">
        <v>2108</v>
      </c>
      <c r="E168" s="9" t="s">
        <v>64</v>
      </c>
      <c r="F168" s="9" t="s">
        <v>47</v>
      </c>
    </row>
    <row r="169" spans="1:6" x14ac:dyDescent="0.25">
      <c r="A169" s="9" t="s">
        <v>460</v>
      </c>
      <c r="B169" s="9" t="s">
        <v>18</v>
      </c>
      <c r="C169" s="9" t="s">
        <v>387</v>
      </c>
      <c r="D169" s="9" t="s">
        <v>2108</v>
      </c>
      <c r="E169" s="9" t="s">
        <v>67</v>
      </c>
      <c r="F169" s="9" t="s">
        <v>55</v>
      </c>
    </row>
    <row r="170" spans="1:6" x14ac:dyDescent="0.25">
      <c r="A170" s="9" t="s">
        <v>461</v>
      </c>
      <c r="B170" s="9" t="s">
        <v>22</v>
      </c>
      <c r="C170" s="9" t="s">
        <v>79</v>
      </c>
      <c r="D170" s="9" t="s">
        <v>2109</v>
      </c>
      <c r="E170" s="9" t="s">
        <v>63</v>
      </c>
      <c r="F170" s="9" t="s">
        <v>61</v>
      </c>
    </row>
    <row r="171" spans="1:6" x14ac:dyDescent="0.25">
      <c r="A171" s="9" t="s">
        <v>463</v>
      </c>
      <c r="B171" s="9" t="s">
        <v>24</v>
      </c>
      <c r="C171" s="9" t="s">
        <v>119</v>
      </c>
      <c r="D171" s="9" t="s">
        <v>2110</v>
      </c>
      <c r="E171" s="9" t="s">
        <v>66</v>
      </c>
      <c r="F171" s="9" t="s">
        <v>53</v>
      </c>
    </row>
    <row r="172" spans="1:6" x14ac:dyDescent="0.25">
      <c r="A172" s="9" t="s">
        <v>465</v>
      </c>
      <c r="B172" s="9" t="s">
        <v>14</v>
      </c>
      <c r="C172" s="9" t="s">
        <v>466</v>
      </c>
      <c r="D172" s="9" t="s">
        <v>2110</v>
      </c>
      <c r="E172" s="9" t="s">
        <v>62</v>
      </c>
      <c r="F172" s="9" t="s">
        <v>47</v>
      </c>
    </row>
    <row r="173" spans="1:6" x14ac:dyDescent="0.25">
      <c r="A173" s="9" t="s">
        <v>467</v>
      </c>
      <c r="B173" s="9" t="s">
        <v>22</v>
      </c>
      <c r="C173" s="9" t="s">
        <v>145</v>
      </c>
      <c r="D173" s="9" t="s">
        <v>2111</v>
      </c>
      <c r="E173" s="9" t="s">
        <v>65</v>
      </c>
      <c r="F173" s="9" t="s">
        <v>43</v>
      </c>
    </row>
    <row r="174" spans="1:6" x14ac:dyDescent="0.25">
      <c r="A174" s="9" t="s">
        <v>469</v>
      </c>
      <c r="B174" s="9" t="s">
        <v>20</v>
      </c>
      <c r="C174" s="9" t="s">
        <v>470</v>
      </c>
      <c r="D174" s="9" t="s">
        <v>2112</v>
      </c>
      <c r="E174" s="9" t="s">
        <v>63</v>
      </c>
      <c r="F174" s="9" t="s">
        <v>47</v>
      </c>
    </row>
    <row r="175" spans="1:6" x14ac:dyDescent="0.25">
      <c r="A175" s="9" t="s">
        <v>472</v>
      </c>
      <c r="B175" s="9" t="s">
        <v>18</v>
      </c>
      <c r="C175" s="9" t="s">
        <v>338</v>
      </c>
      <c r="D175" s="9" t="s">
        <v>2112</v>
      </c>
      <c r="E175" s="9" t="s">
        <v>65</v>
      </c>
      <c r="F175" s="9" t="s">
        <v>45</v>
      </c>
    </row>
    <row r="176" spans="1:6" x14ac:dyDescent="0.25">
      <c r="A176" s="9" t="s">
        <v>473</v>
      </c>
      <c r="B176" s="9" t="s">
        <v>12</v>
      </c>
      <c r="C176" s="9" t="s">
        <v>225</v>
      </c>
      <c r="D176" s="9" t="s">
        <v>2113</v>
      </c>
      <c r="E176" s="9" t="s">
        <v>67</v>
      </c>
      <c r="F176" s="9" t="s">
        <v>43</v>
      </c>
    </row>
    <row r="177" spans="1:6" x14ac:dyDescent="0.25">
      <c r="A177" s="9" t="s">
        <v>475</v>
      </c>
      <c r="B177" s="9" t="s">
        <v>12</v>
      </c>
      <c r="C177" s="9" t="s">
        <v>233</v>
      </c>
      <c r="D177" s="9" t="s">
        <v>2114</v>
      </c>
      <c r="E177" s="9" t="s">
        <v>63</v>
      </c>
      <c r="F177" s="9" t="s">
        <v>47</v>
      </c>
    </row>
    <row r="178" spans="1:6" x14ac:dyDescent="0.25">
      <c r="A178" s="9" t="s">
        <v>477</v>
      </c>
      <c r="B178" s="9" t="s">
        <v>18</v>
      </c>
      <c r="C178" s="9" t="s">
        <v>478</v>
      </c>
      <c r="D178" s="9" t="s">
        <v>2115</v>
      </c>
      <c r="E178" s="9" t="s">
        <v>66</v>
      </c>
      <c r="F178" s="9" t="s">
        <v>61</v>
      </c>
    </row>
    <row r="179" spans="1:6" x14ac:dyDescent="0.25">
      <c r="A179" s="9" t="s">
        <v>480</v>
      </c>
      <c r="B179" s="9" t="s">
        <v>18</v>
      </c>
      <c r="C179" s="9" t="s">
        <v>481</v>
      </c>
      <c r="D179" s="9" t="s">
        <v>2116</v>
      </c>
      <c r="E179" s="9" t="s">
        <v>64</v>
      </c>
      <c r="F179" s="9" t="s">
        <v>58</v>
      </c>
    </row>
    <row r="180" spans="1:6" x14ac:dyDescent="0.25">
      <c r="A180" s="9" t="s">
        <v>483</v>
      </c>
      <c r="B180" s="9" t="s">
        <v>20</v>
      </c>
      <c r="C180" s="9" t="s">
        <v>484</v>
      </c>
      <c r="D180" s="9" t="s">
        <v>2116</v>
      </c>
      <c r="E180" s="9" t="s">
        <v>67</v>
      </c>
      <c r="F180" s="9" t="s">
        <v>55</v>
      </c>
    </row>
    <row r="181" spans="1:6" x14ac:dyDescent="0.25">
      <c r="A181" s="9" t="s">
        <v>485</v>
      </c>
      <c r="B181" s="9" t="s">
        <v>24</v>
      </c>
      <c r="C181" s="9" t="s">
        <v>423</v>
      </c>
      <c r="D181" s="9" t="s">
        <v>2116</v>
      </c>
      <c r="E181" s="9" t="s">
        <v>62</v>
      </c>
      <c r="F181" s="9" t="s">
        <v>61</v>
      </c>
    </row>
    <row r="182" spans="1:6" x14ac:dyDescent="0.25">
      <c r="A182" s="9" t="s">
        <v>486</v>
      </c>
      <c r="B182" s="9" t="s">
        <v>12</v>
      </c>
      <c r="C182" s="9" t="s">
        <v>155</v>
      </c>
      <c r="D182" s="9" t="s">
        <v>2116</v>
      </c>
      <c r="E182" s="9" t="s">
        <v>64</v>
      </c>
      <c r="F182" s="9" t="s">
        <v>55</v>
      </c>
    </row>
    <row r="183" spans="1:6" x14ac:dyDescent="0.25">
      <c r="A183" s="9" t="s">
        <v>487</v>
      </c>
      <c r="B183" s="9" t="s">
        <v>18</v>
      </c>
      <c r="C183" s="9" t="s">
        <v>81</v>
      </c>
      <c r="D183" s="9" t="s">
        <v>2116</v>
      </c>
      <c r="E183" s="9" t="s">
        <v>63</v>
      </c>
      <c r="F183" s="9" t="s">
        <v>53</v>
      </c>
    </row>
    <row r="184" spans="1:6" x14ac:dyDescent="0.25">
      <c r="A184" s="9" t="s">
        <v>488</v>
      </c>
      <c r="B184" s="9" t="s">
        <v>14</v>
      </c>
      <c r="C184" s="9" t="s">
        <v>489</v>
      </c>
      <c r="D184" s="9" t="s">
        <v>2117</v>
      </c>
      <c r="E184" s="9" t="s">
        <v>62</v>
      </c>
      <c r="F184" s="9" t="s">
        <v>49</v>
      </c>
    </row>
    <row r="185" spans="1:6" x14ac:dyDescent="0.25">
      <c r="A185" s="9" t="s">
        <v>491</v>
      </c>
      <c r="B185" s="9" t="s">
        <v>18</v>
      </c>
      <c r="C185" s="9" t="s">
        <v>492</v>
      </c>
      <c r="D185" s="9" t="s">
        <v>2117</v>
      </c>
      <c r="E185" s="9" t="s">
        <v>65</v>
      </c>
      <c r="F185" s="9" t="s">
        <v>58</v>
      </c>
    </row>
    <row r="186" spans="1:6" x14ac:dyDescent="0.25">
      <c r="A186" s="9" t="s">
        <v>493</v>
      </c>
      <c r="B186" s="9" t="s">
        <v>16</v>
      </c>
      <c r="C186" s="9" t="s">
        <v>494</v>
      </c>
      <c r="D186" s="9" t="s">
        <v>2118</v>
      </c>
      <c r="E186" s="9" t="s">
        <v>64</v>
      </c>
      <c r="F186" s="9" t="s">
        <v>45</v>
      </c>
    </row>
    <row r="187" spans="1:6" x14ac:dyDescent="0.25">
      <c r="A187" s="9" t="s">
        <v>496</v>
      </c>
      <c r="B187" s="9" t="s">
        <v>24</v>
      </c>
      <c r="C187" s="9" t="s">
        <v>497</v>
      </c>
      <c r="D187" s="9" t="s">
        <v>2118</v>
      </c>
      <c r="E187" s="9" t="s">
        <v>62</v>
      </c>
      <c r="F187" s="9" t="s">
        <v>61</v>
      </c>
    </row>
    <row r="188" spans="1:6" x14ac:dyDescent="0.25">
      <c r="A188" s="9" t="s">
        <v>498</v>
      </c>
      <c r="B188" s="9" t="s">
        <v>16</v>
      </c>
      <c r="C188" s="9" t="s">
        <v>312</v>
      </c>
      <c r="D188" s="9" t="s">
        <v>2119</v>
      </c>
      <c r="E188" s="9" t="s">
        <v>66</v>
      </c>
      <c r="F188" s="9" t="s">
        <v>58</v>
      </c>
    </row>
    <row r="189" spans="1:6" x14ac:dyDescent="0.25">
      <c r="A189" s="9" t="s">
        <v>500</v>
      </c>
      <c r="B189" s="9" t="s">
        <v>20</v>
      </c>
      <c r="C189" s="9" t="s">
        <v>501</v>
      </c>
      <c r="D189" s="9" t="s">
        <v>2119</v>
      </c>
      <c r="E189" s="9" t="s">
        <v>63</v>
      </c>
      <c r="F189" s="9" t="s">
        <v>47</v>
      </c>
    </row>
    <row r="190" spans="1:6" x14ac:dyDescent="0.25">
      <c r="A190" s="9" t="s">
        <v>502</v>
      </c>
      <c r="B190" s="9" t="s">
        <v>16</v>
      </c>
      <c r="C190" s="9" t="s">
        <v>503</v>
      </c>
      <c r="D190" s="9" t="s">
        <v>2120</v>
      </c>
      <c r="E190" s="9" t="s">
        <v>67</v>
      </c>
      <c r="F190" s="9" t="s">
        <v>53</v>
      </c>
    </row>
    <row r="191" spans="1:6" x14ac:dyDescent="0.25">
      <c r="A191" s="9" t="s">
        <v>505</v>
      </c>
      <c r="B191" s="9" t="s">
        <v>14</v>
      </c>
      <c r="C191" s="9" t="s">
        <v>82</v>
      </c>
      <c r="D191" s="9" t="s">
        <v>2120</v>
      </c>
      <c r="E191" s="9" t="s">
        <v>66</v>
      </c>
      <c r="F191" s="9" t="s">
        <v>51</v>
      </c>
    </row>
    <row r="192" spans="1:6" x14ac:dyDescent="0.25">
      <c r="A192" s="9" t="s">
        <v>506</v>
      </c>
      <c r="B192" s="9" t="s">
        <v>12</v>
      </c>
      <c r="C192" s="9" t="s">
        <v>507</v>
      </c>
      <c r="D192" s="9" t="s">
        <v>2121</v>
      </c>
      <c r="E192" s="9" t="s">
        <v>63</v>
      </c>
      <c r="F192" s="9" t="s">
        <v>45</v>
      </c>
    </row>
    <row r="193" spans="1:6" x14ac:dyDescent="0.25">
      <c r="A193" s="9" t="s">
        <v>509</v>
      </c>
      <c r="B193" s="9" t="s">
        <v>12</v>
      </c>
      <c r="C193" s="9" t="s">
        <v>242</v>
      </c>
      <c r="D193" s="9" t="s">
        <v>2122</v>
      </c>
      <c r="E193" s="9" t="s">
        <v>66</v>
      </c>
      <c r="F193" s="9" t="s">
        <v>58</v>
      </c>
    </row>
    <row r="194" spans="1:6" x14ac:dyDescent="0.25">
      <c r="A194" s="9" t="s">
        <v>511</v>
      </c>
      <c r="B194" s="9" t="s">
        <v>14</v>
      </c>
      <c r="C194" s="9" t="s">
        <v>512</v>
      </c>
      <c r="D194" s="9" t="s">
        <v>2123</v>
      </c>
      <c r="E194" s="9" t="s">
        <v>62</v>
      </c>
      <c r="F194" s="9" t="s">
        <v>45</v>
      </c>
    </row>
    <row r="195" spans="1:6" x14ac:dyDescent="0.25">
      <c r="A195" s="9" t="s">
        <v>514</v>
      </c>
      <c r="B195" s="9" t="s">
        <v>20</v>
      </c>
      <c r="C195" s="9" t="s">
        <v>515</v>
      </c>
      <c r="D195" s="9" t="s">
        <v>2123</v>
      </c>
      <c r="E195" s="9" t="s">
        <v>62</v>
      </c>
      <c r="F195" s="9" t="s">
        <v>43</v>
      </c>
    </row>
    <row r="196" spans="1:6" x14ac:dyDescent="0.25">
      <c r="A196" s="9" t="s">
        <v>516</v>
      </c>
      <c r="B196" s="9" t="s">
        <v>18</v>
      </c>
      <c r="C196" s="9" t="s">
        <v>517</v>
      </c>
      <c r="D196" s="9" t="s">
        <v>2124</v>
      </c>
      <c r="E196" s="9" t="s">
        <v>65</v>
      </c>
      <c r="F196" s="9" t="s">
        <v>61</v>
      </c>
    </row>
    <row r="197" spans="1:6" x14ac:dyDescent="0.25">
      <c r="A197" s="9" t="s">
        <v>519</v>
      </c>
      <c r="B197" s="9" t="s">
        <v>18</v>
      </c>
      <c r="C197" s="9" t="s">
        <v>124</v>
      </c>
      <c r="D197" s="9" t="s">
        <v>2125</v>
      </c>
      <c r="E197" s="9" t="s">
        <v>62</v>
      </c>
      <c r="F197" s="9" t="s">
        <v>45</v>
      </c>
    </row>
    <row r="198" spans="1:6" x14ac:dyDescent="0.25">
      <c r="A198" s="9" t="s">
        <v>521</v>
      </c>
      <c r="B198" s="9" t="s">
        <v>12</v>
      </c>
      <c r="C198" s="9" t="s">
        <v>522</v>
      </c>
      <c r="D198" s="9" t="s">
        <v>2126</v>
      </c>
      <c r="E198" s="9" t="s">
        <v>62</v>
      </c>
      <c r="F198" s="9" t="s">
        <v>53</v>
      </c>
    </row>
    <row r="199" spans="1:6" x14ac:dyDescent="0.25">
      <c r="A199" s="9" t="s">
        <v>524</v>
      </c>
      <c r="B199" s="9" t="s">
        <v>24</v>
      </c>
      <c r="C199" s="9" t="s">
        <v>446</v>
      </c>
      <c r="D199" s="9" t="s">
        <v>2126</v>
      </c>
      <c r="E199" s="9" t="s">
        <v>67</v>
      </c>
      <c r="F199" s="9" t="s">
        <v>49</v>
      </c>
    </row>
    <row r="200" spans="1:6" x14ac:dyDescent="0.25">
      <c r="A200" s="9" t="s">
        <v>525</v>
      </c>
      <c r="B200" s="9" t="s">
        <v>18</v>
      </c>
      <c r="C200" s="9" t="s">
        <v>363</v>
      </c>
      <c r="D200" s="9" t="s">
        <v>2127</v>
      </c>
      <c r="E200" s="9" t="s">
        <v>66</v>
      </c>
      <c r="F200" s="9" t="s">
        <v>51</v>
      </c>
    </row>
    <row r="201" spans="1:6" x14ac:dyDescent="0.25">
      <c r="A201" s="9" t="s">
        <v>527</v>
      </c>
      <c r="B201" s="9" t="s">
        <v>14</v>
      </c>
      <c r="C201" s="9" t="s">
        <v>371</v>
      </c>
      <c r="D201" s="9" t="s">
        <v>2128</v>
      </c>
      <c r="E201" s="9" t="s">
        <v>65</v>
      </c>
      <c r="F201" s="9" t="s">
        <v>58</v>
      </c>
    </row>
    <row r="202" spans="1:6" x14ac:dyDescent="0.25">
      <c r="A202" s="9" t="s">
        <v>529</v>
      </c>
      <c r="B202" s="9" t="s">
        <v>22</v>
      </c>
      <c r="C202" s="9" t="s">
        <v>530</v>
      </c>
      <c r="D202" s="9" t="s">
        <v>2128</v>
      </c>
      <c r="E202" s="9" t="s">
        <v>67</v>
      </c>
      <c r="F202" s="9" t="s">
        <v>53</v>
      </c>
    </row>
    <row r="203" spans="1:6" x14ac:dyDescent="0.25">
      <c r="A203" s="9" t="s">
        <v>531</v>
      </c>
      <c r="B203" s="9" t="s">
        <v>16</v>
      </c>
      <c r="C203" s="9" t="s">
        <v>497</v>
      </c>
      <c r="D203" s="9" t="s">
        <v>2128</v>
      </c>
      <c r="E203" s="9" t="s">
        <v>66</v>
      </c>
      <c r="F203" s="9" t="s">
        <v>53</v>
      </c>
    </row>
    <row r="204" spans="1:6" x14ac:dyDescent="0.25">
      <c r="A204" s="9" t="s">
        <v>532</v>
      </c>
      <c r="B204" s="9" t="s">
        <v>22</v>
      </c>
      <c r="C204" s="9" t="s">
        <v>390</v>
      </c>
      <c r="D204" s="9" t="s">
        <v>2129</v>
      </c>
      <c r="E204" s="9" t="s">
        <v>63</v>
      </c>
      <c r="F204" s="9" t="s">
        <v>55</v>
      </c>
    </row>
    <row r="205" spans="1:6" x14ac:dyDescent="0.25">
      <c r="A205" s="9" t="s">
        <v>534</v>
      </c>
      <c r="B205" s="9" t="s">
        <v>18</v>
      </c>
      <c r="C205" s="9" t="s">
        <v>535</v>
      </c>
      <c r="D205" s="9" t="s">
        <v>2129</v>
      </c>
      <c r="E205" s="9" t="s">
        <v>64</v>
      </c>
      <c r="F205" s="9" t="s">
        <v>43</v>
      </c>
    </row>
    <row r="206" spans="1:6" x14ac:dyDescent="0.25">
      <c r="A206" s="9" t="s">
        <v>536</v>
      </c>
      <c r="B206" s="9" t="s">
        <v>18</v>
      </c>
      <c r="C206" s="9" t="s">
        <v>202</v>
      </c>
      <c r="D206" s="9" t="s">
        <v>2130</v>
      </c>
      <c r="E206" s="9" t="s">
        <v>66</v>
      </c>
      <c r="F206" s="9" t="s">
        <v>53</v>
      </c>
    </row>
    <row r="207" spans="1:6" x14ac:dyDescent="0.25">
      <c r="A207" s="9" t="s">
        <v>538</v>
      </c>
      <c r="B207" s="9" t="s">
        <v>20</v>
      </c>
      <c r="C207" s="9" t="s">
        <v>539</v>
      </c>
      <c r="D207" s="9" t="s">
        <v>2131</v>
      </c>
      <c r="E207" s="9" t="s">
        <v>63</v>
      </c>
      <c r="F207" s="9" t="s">
        <v>45</v>
      </c>
    </row>
    <row r="208" spans="1:6" x14ac:dyDescent="0.25">
      <c r="A208" s="9" t="s">
        <v>541</v>
      </c>
      <c r="B208" s="9" t="s">
        <v>20</v>
      </c>
      <c r="C208" s="9" t="s">
        <v>542</v>
      </c>
      <c r="D208" s="9" t="s">
        <v>2132</v>
      </c>
      <c r="E208" s="9" t="s">
        <v>64</v>
      </c>
      <c r="F208" s="9" t="s">
        <v>49</v>
      </c>
    </row>
    <row r="209" spans="1:6" x14ac:dyDescent="0.25">
      <c r="A209" s="9" t="s">
        <v>544</v>
      </c>
      <c r="B209" s="9" t="s">
        <v>12</v>
      </c>
      <c r="C209" s="9" t="s">
        <v>545</v>
      </c>
      <c r="D209" s="9" t="s">
        <v>2132</v>
      </c>
      <c r="E209" s="9" t="s">
        <v>65</v>
      </c>
      <c r="F209" s="9" t="s">
        <v>58</v>
      </c>
    </row>
    <row r="210" spans="1:6" x14ac:dyDescent="0.25">
      <c r="A210" s="9" t="s">
        <v>546</v>
      </c>
      <c r="B210" s="9" t="s">
        <v>20</v>
      </c>
      <c r="C210" s="9" t="s">
        <v>547</v>
      </c>
      <c r="D210" s="9" t="s">
        <v>2133</v>
      </c>
      <c r="E210" s="9" t="s">
        <v>65</v>
      </c>
      <c r="F210" s="9" t="s">
        <v>51</v>
      </c>
    </row>
    <row r="211" spans="1:6" x14ac:dyDescent="0.25">
      <c r="A211" s="9" t="s">
        <v>549</v>
      </c>
      <c r="B211" s="9" t="s">
        <v>14</v>
      </c>
      <c r="C211" s="9" t="s">
        <v>75</v>
      </c>
      <c r="D211" s="9" t="s">
        <v>2134</v>
      </c>
      <c r="E211" s="9" t="s">
        <v>62</v>
      </c>
      <c r="F211" s="9" t="s">
        <v>51</v>
      </c>
    </row>
    <row r="212" spans="1:6" x14ac:dyDescent="0.25">
      <c r="A212" s="9" t="s">
        <v>551</v>
      </c>
      <c r="B212" s="9" t="s">
        <v>20</v>
      </c>
      <c r="C212" s="9" t="s">
        <v>552</v>
      </c>
      <c r="D212" s="9" t="s">
        <v>2135</v>
      </c>
      <c r="E212" s="9" t="s">
        <v>63</v>
      </c>
      <c r="F212" s="9" t="s">
        <v>61</v>
      </c>
    </row>
    <row r="213" spans="1:6" x14ac:dyDescent="0.25">
      <c r="A213" s="9" t="s">
        <v>554</v>
      </c>
      <c r="B213" s="9" t="s">
        <v>16</v>
      </c>
      <c r="C213" s="9" t="s">
        <v>145</v>
      </c>
      <c r="D213" s="9" t="s">
        <v>2136</v>
      </c>
      <c r="E213" s="9" t="s">
        <v>63</v>
      </c>
      <c r="F213" s="9" t="s">
        <v>43</v>
      </c>
    </row>
    <row r="214" spans="1:6" x14ac:dyDescent="0.25">
      <c r="A214" s="9" t="s">
        <v>556</v>
      </c>
      <c r="B214" s="9" t="s">
        <v>20</v>
      </c>
      <c r="C214" s="9" t="s">
        <v>81</v>
      </c>
      <c r="D214" s="9" t="s">
        <v>2137</v>
      </c>
      <c r="E214" s="9" t="s">
        <v>65</v>
      </c>
      <c r="F214" s="9" t="s">
        <v>45</v>
      </c>
    </row>
    <row r="215" spans="1:6" x14ac:dyDescent="0.25">
      <c r="A215" s="9" t="s">
        <v>558</v>
      </c>
      <c r="B215" s="9" t="s">
        <v>18</v>
      </c>
      <c r="C215" s="9" t="s">
        <v>559</v>
      </c>
      <c r="D215" s="9" t="s">
        <v>2137</v>
      </c>
      <c r="E215" s="9" t="s">
        <v>65</v>
      </c>
      <c r="F215" s="9" t="s">
        <v>51</v>
      </c>
    </row>
    <row r="216" spans="1:6" x14ac:dyDescent="0.25">
      <c r="A216" s="9" t="s">
        <v>560</v>
      </c>
      <c r="B216" s="9" t="s">
        <v>16</v>
      </c>
      <c r="C216" s="9" t="s">
        <v>171</v>
      </c>
      <c r="D216" s="9" t="s">
        <v>2137</v>
      </c>
      <c r="E216" s="9" t="s">
        <v>66</v>
      </c>
      <c r="F216" s="9" t="s">
        <v>55</v>
      </c>
    </row>
    <row r="217" spans="1:6" x14ac:dyDescent="0.25">
      <c r="A217" s="9" t="s">
        <v>561</v>
      </c>
      <c r="B217" s="9" t="s">
        <v>12</v>
      </c>
      <c r="C217" s="9" t="s">
        <v>409</v>
      </c>
      <c r="D217" s="9" t="s">
        <v>2138</v>
      </c>
      <c r="E217" s="9" t="s">
        <v>63</v>
      </c>
      <c r="F217" s="9" t="s">
        <v>49</v>
      </c>
    </row>
    <row r="218" spans="1:6" x14ac:dyDescent="0.25">
      <c r="A218" s="9" t="s">
        <v>563</v>
      </c>
      <c r="B218" s="9" t="s">
        <v>20</v>
      </c>
      <c r="C218" s="9" t="s">
        <v>390</v>
      </c>
      <c r="D218" s="9" t="s">
        <v>2138</v>
      </c>
      <c r="E218" s="9" t="s">
        <v>62</v>
      </c>
      <c r="F218" s="9" t="s">
        <v>55</v>
      </c>
    </row>
    <row r="219" spans="1:6" x14ac:dyDescent="0.25">
      <c r="A219" s="9" t="s">
        <v>564</v>
      </c>
      <c r="B219" s="9" t="s">
        <v>24</v>
      </c>
      <c r="C219" s="9" t="s">
        <v>565</v>
      </c>
      <c r="D219" s="9" t="s">
        <v>2139</v>
      </c>
      <c r="E219" s="9" t="s">
        <v>66</v>
      </c>
      <c r="F219" s="9" t="s">
        <v>47</v>
      </c>
    </row>
    <row r="220" spans="1:6" x14ac:dyDescent="0.25">
      <c r="A220" s="9" t="s">
        <v>567</v>
      </c>
      <c r="B220" s="9" t="s">
        <v>14</v>
      </c>
      <c r="C220" s="9" t="s">
        <v>155</v>
      </c>
      <c r="D220" s="9" t="s">
        <v>2140</v>
      </c>
      <c r="E220" s="9" t="s">
        <v>67</v>
      </c>
      <c r="F220" s="9" t="s">
        <v>61</v>
      </c>
    </row>
    <row r="221" spans="1:6" x14ac:dyDescent="0.25">
      <c r="A221" s="9" t="s">
        <v>569</v>
      </c>
      <c r="B221" s="9" t="s">
        <v>18</v>
      </c>
      <c r="C221" s="9" t="s">
        <v>494</v>
      </c>
      <c r="D221" s="9" t="s">
        <v>2140</v>
      </c>
      <c r="E221" s="9" t="s">
        <v>63</v>
      </c>
      <c r="F221" s="9" t="s">
        <v>45</v>
      </c>
    </row>
    <row r="222" spans="1:6" x14ac:dyDescent="0.25">
      <c r="A222" s="9" t="s">
        <v>570</v>
      </c>
      <c r="B222" s="9" t="s">
        <v>22</v>
      </c>
      <c r="C222" s="9" t="s">
        <v>343</v>
      </c>
      <c r="D222" s="9" t="s">
        <v>2141</v>
      </c>
      <c r="E222" s="9" t="s">
        <v>63</v>
      </c>
      <c r="F222" s="9" t="s">
        <v>58</v>
      </c>
    </row>
    <row r="223" spans="1:6" x14ac:dyDescent="0.25">
      <c r="A223" s="9" t="s">
        <v>572</v>
      </c>
      <c r="B223" s="9" t="s">
        <v>20</v>
      </c>
      <c r="C223" s="9" t="s">
        <v>191</v>
      </c>
      <c r="D223" s="9" t="s">
        <v>2142</v>
      </c>
      <c r="E223" s="9" t="s">
        <v>63</v>
      </c>
      <c r="F223" s="9" t="s">
        <v>49</v>
      </c>
    </row>
    <row r="224" spans="1:6" x14ac:dyDescent="0.25">
      <c r="A224" s="9" t="s">
        <v>574</v>
      </c>
      <c r="B224" s="9" t="s">
        <v>16</v>
      </c>
      <c r="C224" s="9" t="s">
        <v>91</v>
      </c>
      <c r="D224" s="9" t="s">
        <v>2142</v>
      </c>
      <c r="E224" s="9" t="s">
        <v>66</v>
      </c>
      <c r="F224" s="9" t="s">
        <v>58</v>
      </c>
    </row>
    <row r="225" spans="1:6" x14ac:dyDescent="0.25">
      <c r="A225" s="9" t="s">
        <v>575</v>
      </c>
      <c r="B225" s="9" t="s">
        <v>18</v>
      </c>
      <c r="C225" s="9" t="s">
        <v>163</v>
      </c>
      <c r="D225" s="9" t="s">
        <v>2142</v>
      </c>
      <c r="E225" s="9" t="s">
        <v>64</v>
      </c>
      <c r="F225" s="9" t="s">
        <v>55</v>
      </c>
    </row>
    <row r="226" spans="1:6" x14ac:dyDescent="0.25">
      <c r="A226" s="9" t="s">
        <v>576</v>
      </c>
      <c r="B226" s="9" t="s">
        <v>20</v>
      </c>
      <c r="C226" s="9" t="s">
        <v>446</v>
      </c>
      <c r="D226" s="9" t="s">
        <v>2143</v>
      </c>
      <c r="E226" s="9" t="s">
        <v>66</v>
      </c>
      <c r="F226" s="9" t="s">
        <v>47</v>
      </c>
    </row>
    <row r="227" spans="1:6" x14ac:dyDescent="0.25">
      <c r="A227" s="9" t="s">
        <v>578</v>
      </c>
      <c r="B227" s="9" t="s">
        <v>20</v>
      </c>
      <c r="C227" s="9" t="s">
        <v>222</v>
      </c>
      <c r="D227" s="9" t="s">
        <v>2143</v>
      </c>
      <c r="E227" s="9" t="s">
        <v>65</v>
      </c>
      <c r="F227" s="9" t="s">
        <v>51</v>
      </c>
    </row>
    <row r="228" spans="1:6" x14ac:dyDescent="0.25">
      <c r="A228" s="9" t="s">
        <v>579</v>
      </c>
      <c r="B228" s="9" t="s">
        <v>20</v>
      </c>
      <c r="C228" s="9" t="s">
        <v>580</v>
      </c>
      <c r="D228" s="9" t="s">
        <v>2144</v>
      </c>
      <c r="E228" s="9" t="s">
        <v>65</v>
      </c>
      <c r="F228" s="9" t="s">
        <v>43</v>
      </c>
    </row>
    <row r="229" spans="1:6" x14ac:dyDescent="0.25">
      <c r="A229" s="9" t="s">
        <v>582</v>
      </c>
      <c r="B229" s="9" t="s">
        <v>16</v>
      </c>
      <c r="C229" s="9" t="s">
        <v>77</v>
      </c>
      <c r="D229" s="9" t="s">
        <v>2145</v>
      </c>
      <c r="E229" s="9" t="s">
        <v>67</v>
      </c>
      <c r="F229" s="9" t="s">
        <v>49</v>
      </c>
    </row>
    <row r="230" spans="1:6" x14ac:dyDescent="0.25">
      <c r="A230" s="9" t="s">
        <v>584</v>
      </c>
      <c r="B230" s="9" t="s">
        <v>18</v>
      </c>
      <c r="C230" s="9" t="s">
        <v>346</v>
      </c>
      <c r="D230" s="9" t="s">
        <v>2145</v>
      </c>
      <c r="E230" s="9" t="s">
        <v>67</v>
      </c>
      <c r="F230" s="9" t="s">
        <v>61</v>
      </c>
    </row>
    <row r="231" spans="1:6" x14ac:dyDescent="0.25">
      <c r="A231" s="9" t="s">
        <v>585</v>
      </c>
      <c r="B231" s="9" t="s">
        <v>20</v>
      </c>
      <c r="C231" s="9" t="s">
        <v>466</v>
      </c>
      <c r="D231" s="9" t="s">
        <v>2146</v>
      </c>
      <c r="E231" s="9" t="s">
        <v>62</v>
      </c>
      <c r="F231" s="9" t="s">
        <v>43</v>
      </c>
    </row>
    <row r="232" spans="1:6" x14ac:dyDescent="0.25">
      <c r="A232" s="9" t="s">
        <v>587</v>
      </c>
      <c r="B232" s="9" t="s">
        <v>18</v>
      </c>
      <c r="C232" s="9" t="s">
        <v>307</v>
      </c>
      <c r="D232" s="9" t="s">
        <v>2146</v>
      </c>
      <c r="E232" s="9" t="s">
        <v>63</v>
      </c>
      <c r="F232" s="9" t="s">
        <v>53</v>
      </c>
    </row>
    <row r="233" spans="1:6" x14ac:dyDescent="0.25">
      <c r="A233" s="9" t="s">
        <v>588</v>
      </c>
      <c r="B233" s="9" t="s">
        <v>18</v>
      </c>
      <c r="C233" s="9" t="s">
        <v>589</v>
      </c>
      <c r="D233" s="9" t="s">
        <v>2147</v>
      </c>
      <c r="E233" s="9" t="s">
        <v>62</v>
      </c>
      <c r="F233" s="9" t="s">
        <v>51</v>
      </c>
    </row>
    <row r="234" spans="1:6" x14ac:dyDescent="0.25">
      <c r="A234" s="9" t="s">
        <v>591</v>
      </c>
      <c r="B234" s="9" t="s">
        <v>22</v>
      </c>
      <c r="C234" s="9" t="s">
        <v>225</v>
      </c>
      <c r="D234" s="9" t="s">
        <v>2148</v>
      </c>
      <c r="E234" s="9" t="s">
        <v>66</v>
      </c>
      <c r="F234" s="9" t="s">
        <v>55</v>
      </c>
    </row>
    <row r="235" spans="1:6" x14ac:dyDescent="0.25">
      <c r="A235" s="9" t="s">
        <v>593</v>
      </c>
      <c r="B235" s="9" t="s">
        <v>20</v>
      </c>
      <c r="C235" s="9" t="s">
        <v>594</v>
      </c>
      <c r="D235" s="9" t="s">
        <v>2148</v>
      </c>
      <c r="E235" s="9" t="s">
        <v>67</v>
      </c>
      <c r="F235" s="9" t="s">
        <v>49</v>
      </c>
    </row>
    <row r="236" spans="1:6" x14ac:dyDescent="0.25">
      <c r="A236" s="9" t="s">
        <v>595</v>
      </c>
      <c r="B236" s="9" t="s">
        <v>12</v>
      </c>
      <c r="C236" s="9" t="s">
        <v>174</v>
      </c>
      <c r="D236" s="9" t="s">
        <v>2149</v>
      </c>
      <c r="E236" s="9" t="s">
        <v>62</v>
      </c>
      <c r="F236" s="9" t="s">
        <v>45</v>
      </c>
    </row>
    <row r="237" spans="1:6" x14ac:dyDescent="0.25">
      <c r="A237" s="9" t="s">
        <v>597</v>
      </c>
      <c r="B237" s="9" t="s">
        <v>12</v>
      </c>
      <c r="C237" s="9" t="s">
        <v>312</v>
      </c>
      <c r="D237" s="9" t="s">
        <v>2150</v>
      </c>
      <c r="E237" s="9" t="s">
        <v>62</v>
      </c>
      <c r="F237" s="9" t="s">
        <v>43</v>
      </c>
    </row>
    <row r="238" spans="1:6" x14ac:dyDescent="0.25">
      <c r="A238" s="9" t="s">
        <v>599</v>
      </c>
      <c r="B238" s="9" t="s">
        <v>22</v>
      </c>
      <c r="C238" s="9" t="s">
        <v>600</v>
      </c>
      <c r="D238" s="9" t="s">
        <v>2151</v>
      </c>
      <c r="E238" s="9" t="s">
        <v>64</v>
      </c>
      <c r="F238" s="9" t="s">
        <v>43</v>
      </c>
    </row>
    <row r="239" spans="1:6" x14ac:dyDescent="0.25">
      <c r="A239" s="9" t="s">
        <v>602</v>
      </c>
      <c r="B239" s="9" t="s">
        <v>24</v>
      </c>
      <c r="C239" s="9" t="s">
        <v>603</v>
      </c>
      <c r="D239" s="9" t="s">
        <v>2152</v>
      </c>
      <c r="E239" s="9" t="s">
        <v>66</v>
      </c>
      <c r="F239" s="9" t="s">
        <v>51</v>
      </c>
    </row>
    <row r="240" spans="1:6" x14ac:dyDescent="0.25">
      <c r="A240" s="9" t="s">
        <v>605</v>
      </c>
      <c r="B240" s="9" t="s">
        <v>16</v>
      </c>
      <c r="C240" s="9" t="s">
        <v>88</v>
      </c>
      <c r="D240" s="9" t="s">
        <v>2153</v>
      </c>
      <c r="E240" s="9" t="s">
        <v>65</v>
      </c>
      <c r="F240" s="9" t="s">
        <v>58</v>
      </c>
    </row>
    <row r="241" spans="1:6" x14ac:dyDescent="0.25">
      <c r="A241" s="9" t="s">
        <v>607</v>
      </c>
      <c r="B241" s="9" t="s">
        <v>18</v>
      </c>
      <c r="C241" s="9" t="s">
        <v>286</v>
      </c>
      <c r="D241" s="9" t="s">
        <v>2154</v>
      </c>
      <c r="E241" s="9" t="s">
        <v>62</v>
      </c>
      <c r="F241" s="9" t="s">
        <v>53</v>
      </c>
    </row>
    <row r="242" spans="1:6" x14ac:dyDescent="0.25">
      <c r="A242" s="9" t="s">
        <v>609</v>
      </c>
      <c r="B242" s="9" t="s">
        <v>24</v>
      </c>
      <c r="C242" s="9" t="s">
        <v>539</v>
      </c>
      <c r="D242" s="9" t="s">
        <v>2154</v>
      </c>
      <c r="E242" s="9" t="s">
        <v>62</v>
      </c>
      <c r="F242" s="9" t="s">
        <v>51</v>
      </c>
    </row>
    <row r="243" spans="1:6" x14ac:dyDescent="0.25">
      <c r="A243" s="9" t="s">
        <v>610</v>
      </c>
      <c r="B243" s="9" t="s">
        <v>16</v>
      </c>
      <c r="C243" s="9" t="s">
        <v>611</v>
      </c>
      <c r="D243" s="9" t="s">
        <v>2155</v>
      </c>
      <c r="E243" s="9" t="s">
        <v>63</v>
      </c>
      <c r="F243" s="9" t="s">
        <v>55</v>
      </c>
    </row>
    <row r="244" spans="1:6" x14ac:dyDescent="0.25">
      <c r="A244" s="9" t="s">
        <v>613</v>
      </c>
      <c r="B244" s="9" t="s">
        <v>12</v>
      </c>
      <c r="C244" s="9" t="s">
        <v>158</v>
      </c>
      <c r="D244" s="9" t="s">
        <v>2155</v>
      </c>
      <c r="E244" s="9" t="s">
        <v>63</v>
      </c>
      <c r="F244" s="9" t="s">
        <v>51</v>
      </c>
    </row>
    <row r="245" spans="1:6" x14ac:dyDescent="0.25">
      <c r="A245" s="9" t="s">
        <v>614</v>
      </c>
      <c r="B245" s="9" t="s">
        <v>22</v>
      </c>
      <c r="C245" s="9" t="s">
        <v>303</v>
      </c>
      <c r="D245" s="9" t="s">
        <v>2156</v>
      </c>
      <c r="E245" s="9" t="s">
        <v>65</v>
      </c>
      <c r="F245" s="9" t="s">
        <v>45</v>
      </c>
    </row>
    <row r="246" spans="1:6" x14ac:dyDescent="0.25">
      <c r="A246" s="9" t="s">
        <v>616</v>
      </c>
      <c r="B246" s="9" t="s">
        <v>20</v>
      </c>
      <c r="C246" s="9" t="s">
        <v>559</v>
      </c>
      <c r="D246" s="9" t="s">
        <v>2156</v>
      </c>
      <c r="E246" s="9" t="s">
        <v>67</v>
      </c>
      <c r="F246" s="9" t="s">
        <v>55</v>
      </c>
    </row>
    <row r="247" spans="1:6" x14ac:dyDescent="0.25">
      <c r="A247" s="9" t="s">
        <v>617</v>
      </c>
      <c r="B247" s="9" t="s">
        <v>22</v>
      </c>
      <c r="C247" s="9" t="s">
        <v>117</v>
      </c>
      <c r="D247" s="9" t="s">
        <v>2157</v>
      </c>
      <c r="E247" s="9" t="s">
        <v>62</v>
      </c>
      <c r="F247" s="9" t="s">
        <v>47</v>
      </c>
    </row>
    <row r="248" spans="1:6" x14ac:dyDescent="0.25">
      <c r="A248" s="9" t="s">
        <v>619</v>
      </c>
      <c r="B248" s="9" t="s">
        <v>24</v>
      </c>
      <c r="C248" s="9" t="s">
        <v>620</v>
      </c>
      <c r="D248" s="9" t="s">
        <v>2157</v>
      </c>
      <c r="E248" s="9" t="s">
        <v>63</v>
      </c>
      <c r="F248" s="9" t="s">
        <v>49</v>
      </c>
    </row>
    <row r="249" spans="1:6" x14ac:dyDescent="0.25">
      <c r="A249" s="9" t="s">
        <v>621</v>
      </c>
      <c r="B249" s="9" t="s">
        <v>18</v>
      </c>
      <c r="C249" s="9" t="s">
        <v>501</v>
      </c>
      <c r="D249" s="9" t="s">
        <v>2158</v>
      </c>
      <c r="E249" s="9" t="s">
        <v>66</v>
      </c>
      <c r="F249" s="9" t="s">
        <v>51</v>
      </c>
    </row>
    <row r="250" spans="1:6" x14ac:dyDescent="0.25">
      <c r="A250" s="9" t="s">
        <v>623</v>
      </c>
      <c r="B250" s="9" t="s">
        <v>12</v>
      </c>
      <c r="C250" s="9" t="s">
        <v>624</v>
      </c>
      <c r="D250" s="9" t="s">
        <v>2158</v>
      </c>
      <c r="E250" s="9" t="s">
        <v>67</v>
      </c>
      <c r="F250" s="9" t="s">
        <v>61</v>
      </c>
    </row>
    <row r="251" spans="1:6" x14ac:dyDescent="0.25">
      <c r="A251" s="9" t="s">
        <v>625</v>
      </c>
      <c r="B251" s="9" t="s">
        <v>16</v>
      </c>
      <c r="C251" s="9" t="s">
        <v>484</v>
      </c>
      <c r="D251" s="9" t="s">
        <v>2159</v>
      </c>
      <c r="E251" s="9" t="s">
        <v>67</v>
      </c>
      <c r="F251" s="9" t="s">
        <v>61</v>
      </c>
    </row>
    <row r="252" spans="1:6" x14ac:dyDescent="0.25">
      <c r="A252" s="9" t="s">
        <v>627</v>
      </c>
      <c r="B252" s="9" t="s">
        <v>14</v>
      </c>
      <c r="C252" s="9" t="s">
        <v>628</v>
      </c>
      <c r="D252" s="9" t="s">
        <v>2160</v>
      </c>
      <c r="E252" s="9" t="s">
        <v>64</v>
      </c>
      <c r="F252" s="9" t="s">
        <v>43</v>
      </c>
    </row>
    <row r="253" spans="1:6" x14ac:dyDescent="0.25">
      <c r="A253" s="9" t="s">
        <v>630</v>
      </c>
      <c r="B253" s="9" t="s">
        <v>18</v>
      </c>
      <c r="C253" s="9" t="s">
        <v>466</v>
      </c>
      <c r="D253" s="9" t="s">
        <v>2161</v>
      </c>
      <c r="E253" s="9" t="s">
        <v>67</v>
      </c>
      <c r="F253" s="9" t="s">
        <v>45</v>
      </c>
    </row>
    <row r="254" spans="1:6" x14ac:dyDescent="0.25">
      <c r="A254" s="9" t="s">
        <v>632</v>
      </c>
      <c r="B254" s="9" t="s">
        <v>16</v>
      </c>
      <c r="C254" s="9" t="s">
        <v>633</v>
      </c>
      <c r="D254" s="9" t="s">
        <v>2162</v>
      </c>
      <c r="E254" s="9" t="s">
        <v>66</v>
      </c>
      <c r="F254" s="9" t="s">
        <v>47</v>
      </c>
    </row>
    <row r="255" spans="1:6" x14ac:dyDescent="0.25">
      <c r="A255" s="9" t="s">
        <v>635</v>
      </c>
      <c r="B255" s="9" t="s">
        <v>18</v>
      </c>
      <c r="C255" s="9" t="s">
        <v>636</v>
      </c>
      <c r="D255" s="9" t="s">
        <v>2162</v>
      </c>
      <c r="E255" s="9" t="s">
        <v>65</v>
      </c>
      <c r="F255" s="9" t="s">
        <v>53</v>
      </c>
    </row>
    <row r="256" spans="1:6" x14ac:dyDescent="0.25">
      <c r="A256" s="9" t="s">
        <v>637</v>
      </c>
      <c r="B256" s="9" t="s">
        <v>12</v>
      </c>
      <c r="C256" s="9" t="s">
        <v>539</v>
      </c>
      <c r="D256" s="9" t="s">
        <v>2162</v>
      </c>
      <c r="E256" s="9" t="s">
        <v>66</v>
      </c>
      <c r="F256" s="9" t="s">
        <v>47</v>
      </c>
    </row>
    <row r="257" spans="1:6" x14ac:dyDescent="0.25">
      <c r="A257" s="9" t="s">
        <v>638</v>
      </c>
      <c r="B257" s="9" t="s">
        <v>16</v>
      </c>
      <c r="C257" s="9" t="s">
        <v>639</v>
      </c>
      <c r="D257" s="9" t="s">
        <v>2162</v>
      </c>
      <c r="E257" s="9" t="s">
        <v>64</v>
      </c>
      <c r="F257" s="9" t="s">
        <v>61</v>
      </c>
    </row>
    <row r="258" spans="1:6" x14ac:dyDescent="0.25">
      <c r="A258" s="9" t="s">
        <v>640</v>
      </c>
      <c r="B258" s="9" t="s">
        <v>12</v>
      </c>
      <c r="C258" s="9" t="s">
        <v>641</v>
      </c>
      <c r="D258" s="9" t="s">
        <v>2163</v>
      </c>
      <c r="E258" s="9" t="s">
        <v>62</v>
      </c>
      <c r="F258" s="9" t="s">
        <v>58</v>
      </c>
    </row>
    <row r="259" spans="1:6" x14ac:dyDescent="0.25">
      <c r="A259" s="9" t="s">
        <v>643</v>
      </c>
      <c r="B259" s="9" t="s">
        <v>20</v>
      </c>
      <c r="C259" s="9" t="s">
        <v>644</v>
      </c>
      <c r="D259" s="9" t="s">
        <v>2164</v>
      </c>
      <c r="E259" s="9" t="s">
        <v>62</v>
      </c>
      <c r="F259" s="9" t="s">
        <v>45</v>
      </c>
    </row>
    <row r="260" spans="1:6" x14ac:dyDescent="0.25">
      <c r="A260" s="9" t="s">
        <v>646</v>
      </c>
      <c r="B260" s="9" t="s">
        <v>12</v>
      </c>
      <c r="C260" s="9" t="s">
        <v>641</v>
      </c>
      <c r="D260" s="9" t="s">
        <v>2165</v>
      </c>
      <c r="E260" s="9" t="s">
        <v>64</v>
      </c>
      <c r="F260" s="9" t="s">
        <v>49</v>
      </c>
    </row>
    <row r="261" spans="1:6" x14ac:dyDescent="0.25">
      <c r="A261" s="9" t="s">
        <v>648</v>
      </c>
      <c r="B261" s="9" t="s">
        <v>22</v>
      </c>
      <c r="C261" s="9" t="s">
        <v>649</v>
      </c>
      <c r="D261" s="9" t="s">
        <v>2166</v>
      </c>
      <c r="E261" s="9" t="s">
        <v>63</v>
      </c>
      <c r="F261" s="9" t="s">
        <v>51</v>
      </c>
    </row>
    <row r="262" spans="1:6" x14ac:dyDescent="0.25">
      <c r="A262" s="9" t="s">
        <v>651</v>
      </c>
      <c r="B262" s="9" t="s">
        <v>22</v>
      </c>
      <c r="C262" s="9" t="s">
        <v>652</v>
      </c>
      <c r="D262" s="9" t="s">
        <v>2167</v>
      </c>
      <c r="E262" s="9" t="s">
        <v>65</v>
      </c>
      <c r="F262" s="9" t="s">
        <v>51</v>
      </c>
    </row>
    <row r="263" spans="1:6" x14ac:dyDescent="0.25">
      <c r="A263" s="9" t="s">
        <v>654</v>
      </c>
      <c r="B263" s="9" t="s">
        <v>20</v>
      </c>
      <c r="C263" s="9" t="s">
        <v>300</v>
      </c>
      <c r="D263" s="9" t="s">
        <v>2168</v>
      </c>
      <c r="E263" s="9" t="s">
        <v>64</v>
      </c>
      <c r="F263" s="9" t="s">
        <v>47</v>
      </c>
    </row>
    <row r="264" spans="1:6" x14ac:dyDescent="0.25">
      <c r="A264" s="9" t="s">
        <v>656</v>
      </c>
      <c r="B264" s="9" t="s">
        <v>22</v>
      </c>
      <c r="C264" s="9" t="s">
        <v>501</v>
      </c>
      <c r="D264" s="9" t="s">
        <v>2169</v>
      </c>
      <c r="E264" s="9" t="s">
        <v>65</v>
      </c>
      <c r="F264" s="9" t="s">
        <v>58</v>
      </c>
    </row>
    <row r="265" spans="1:6" x14ac:dyDescent="0.25">
      <c r="A265" s="9" t="s">
        <v>658</v>
      </c>
      <c r="B265" s="9" t="s">
        <v>12</v>
      </c>
      <c r="C265" s="9" t="s">
        <v>291</v>
      </c>
      <c r="D265" s="9" t="s">
        <v>2170</v>
      </c>
      <c r="E265" s="9" t="s">
        <v>67</v>
      </c>
      <c r="F265" s="9" t="s">
        <v>51</v>
      </c>
    </row>
    <row r="266" spans="1:6" x14ac:dyDescent="0.25">
      <c r="A266" s="9" t="s">
        <v>660</v>
      </c>
      <c r="B266" s="9" t="s">
        <v>18</v>
      </c>
      <c r="C266" s="9" t="s">
        <v>515</v>
      </c>
      <c r="D266" s="9" t="s">
        <v>2170</v>
      </c>
      <c r="E266" s="9" t="s">
        <v>62</v>
      </c>
      <c r="F266" s="9" t="s">
        <v>58</v>
      </c>
    </row>
    <row r="267" spans="1:6" x14ac:dyDescent="0.25">
      <c r="A267" s="9" t="s">
        <v>661</v>
      </c>
      <c r="B267" s="9" t="s">
        <v>16</v>
      </c>
      <c r="C267" s="9" t="s">
        <v>662</v>
      </c>
      <c r="D267" s="9" t="s">
        <v>2171</v>
      </c>
      <c r="E267" s="9" t="s">
        <v>67</v>
      </c>
      <c r="F267" s="9" t="s">
        <v>47</v>
      </c>
    </row>
    <row r="268" spans="1:6" x14ac:dyDescent="0.25">
      <c r="A268" s="9" t="s">
        <v>664</v>
      </c>
      <c r="B268" s="9" t="s">
        <v>20</v>
      </c>
      <c r="C268" s="9" t="s">
        <v>228</v>
      </c>
      <c r="D268" s="9" t="s">
        <v>2172</v>
      </c>
      <c r="E268" s="9" t="s">
        <v>62</v>
      </c>
      <c r="F268" s="9" t="s">
        <v>58</v>
      </c>
    </row>
    <row r="269" spans="1:6" x14ac:dyDescent="0.25">
      <c r="A269" s="9" t="s">
        <v>666</v>
      </c>
      <c r="B269" s="9" t="s">
        <v>24</v>
      </c>
      <c r="C269" s="9" t="s">
        <v>103</v>
      </c>
      <c r="D269" s="9" t="s">
        <v>2172</v>
      </c>
      <c r="E269" s="9" t="s">
        <v>62</v>
      </c>
      <c r="F269" s="9" t="s">
        <v>53</v>
      </c>
    </row>
    <row r="270" spans="1:6" x14ac:dyDescent="0.25">
      <c r="A270" s="9" t="s">
        <v>667</v>
      </c>
      <c r="B270" s="9" t="s">
        <v>22</v>
      </c>
      <c r="C270" s="9" t="s">
        <v>199</v>
      </c>
      <c r="D270" s="9" t="s">
        <v>2173</v>
      </c>
      <c r="E270" s="9" t="s">
        <v>65</v>
      </c>
      <c r="F270" s="9" t="s">
        <v>49</v>
      </c>
    </row>
    <row r="271" spans="1:6" x14ac:dyDescent="0.25">
      <c r="A271" s="9" t="s">
        <v>669</v>
      </c>
      <c r="B271" s="9" t="s">
        <v>20</v>
      </c>
      <c r="C271" s="9" t="s">
        <v>670</v>
      </c>
      <c r="D271" s="9" t="s">
        <v>2174</v>
      </c>
      <c r="E271" s="9" t="s">
        <v>65</v>
      </c>
      <c r="F271" s="9" t="s">
        <v>58</v>
      </c>
    </row>
    <row r="272" spans="1:6" x14ac:dyDescent="0.25">
      <c r="A272" s="9" t="s">
        <v>672</v>
      </c>
      <c r="B272" s="9" t="s">
        <v>22</v>
      </c>
      <c r="C272" s="9" t="s">
        <v>262</v>
      </c>
      <c r="D272" s="9" t="s">
        <v>2174</v>
      </c>
      <c r="E272" s="9" t="s">
        <v>63</v>
      </c>
      <c r="F272" s="9" t="s">
        <v>53</v>
      </c>
    </row>
    <row r="273" spans="1:6" x14ac:dyDescent="0.25">
      <c r="A273" s="9" t="s">
        <v>673</v>
      </c>
      <c r="B273" s="9" t="s">
        <v>22</v>
      </c>
      <c r="C273" s="9" t="s">
        <v>517</v>
      </c>
      <c r="D273" s="9" t="s">
        <v>2174</v>
      </c>
      <c r="E273" s="9" t="s">
        <v>66</v>
      </c>
      <c r="F273" s="9" t="s">
        <v>58</v>
      </c>
    </row>
    <row r="274" spans="1:6" x14ac:dyDescent="0.25">
      <c r="A274" s="9" t="s">
        <v>674</v>
      </c>
      <c r="B274" s="9" t="s">
        <v>18</v>
      </c>
      <c r="C274" s="9" t="s">
        <v>675</v>
      </c>
      <c r="D274" s="9" t="s">
        <v>2175</v>
      </c>
      <c r="E274" s="9" t="s">
        <v>66</v>
      </c>
      <c r="F274" s="9" t="s">
        <v>53</v>
      </c>
    </row>
    <row r="275" spans="1:6" x14ac:dyDescent="0.25">
      <c r="A275" s="9" t="s">
        <v>677</v>
      </c>
      <c r="B275" s="9" t="s">
        <v>18</v>
      </c>
      <c r="C275" s="9" t="s">
        <v>678</v>
      </c>
      <c r="D275" s="9" t="s">
        <v>2176</v>
      </c>
      <c r="E275" s="9" t="s">
        <v>65</v>
      </c>
      <c r="F275" s="9" t="s">
        <v>43</v>
      </c>
    </row>
    <row r="276" spans="1:6" x14ac:dyDescent="0.25">
      <c r="A276" s="9" t="s">
        <v>680</v>
      </c>
      <c r="B276" s="9" t="s">
        <v>20</v>
      </c>
      <c r="C276" s="9" t="s">
        <v>338</v>
      </c>
      <c r="D276" s="9" t="s">
        <v>2177</v>
      </c>
      <c r="E276" s="9" t="s">
        <v>64</v>
      </c>
      <c r="F276" s="9" t="s">
        <v>58</v>
      </c>
    </row>
    <row r="277" spans="1:6" x14ac:dyDescent="0.25">
      <c r="A277" s="9" t="s">
        <v>682</v>
      </c>
      <c r="B277" s="9" t="s">
        <v>20</v>
      </c>
      <c r="C277" s="9" t="s">
        <v>683</v>
      </c>
      <c r="D277" s="9" t="s">
        <v>2178</v>
      </c>
      <c r="E277" s="9" t="s">
        <v>66</v>
      </c>
      <c r="F277" s="9" t="s">
        <v>61</v>
      </c>
    </row>
    <row r="278" spans="1:6" x14ac:dyDescent="0.25">
      <c r="A278" s="9" t="s">
        <v>685</v>
      </c>
      <c r="B278" s="9" t="s">
        <v>16</v>
      </c>
      <c r="C278" s="9" t="s">
        <v>254</v>
      </c>
      <c r="D278" s="9" t="s">
        <v>2179</v>
      </c>
      <c r="E278" s="9" t="s">
        <v>67</v>
      </c>
      <c r="F278" s="9" t="s">
        <v>61</v>
      </c>
    </row>
    <row r="279" spans="1:6" x14ac:dyDescent="0.25">
      <c r="A279" s="9" t="s">
        <v>687</v>
      </c>
      <c r="B279" s="9" t="s">
        <v>14</v>
      </c>
      <c r="C279" s="9" t="s">
        <v>688</v>
      </c>
      <c r="D279" s="9" t="s">
        <v>2180</v>
      </c>
      <c r="E279" s="9" t="s">
        <v>63</v>
      </c>
      <c r="F279" s="9" t="s">
        <v>49</v>
      </c>
    </row>
    <row r="280" spans="1:6" x14ac:dyDescent="0.25">
      <c r="A280" s="9" t="s">
        <v>690</v>
      </c>
      <c r="B280" s="9" t="s">
        <v>22</v>
      </c>
      <c r="C280" s="9" t="s">
        <v>515</v>
      </c>
      <c r="D280" s="9" t="s">
        <v>2180</v>
      </c>
      <c r="E280" s="9" t="s">
        <v>62</v>
      </c>
      <c r="F280" s="9" t="s">
        <v>51</v>
      </c>
    </row>
    <row r="281" spans="1:6" x14ac:dyDescent="0.25">
      <c r="A281" s="9" t="s">
        <v>691</v>
      </c>
      <c r="B281" s="9" t="s">
        <v>16</v>
      </c>
      <c r="C281" s="9" t="s">
        <v>382</v>
      </c>
      <c r="D281" s="9" t="s">
        <v>2181</v>
      </c>
      <c r="E281" s="9" t="s">
        <v>64</v>
      </c>
      <c r="F281" s="9" t="s">
        <v>43</v>
      </c>
    </row>
    <row r="282" spans="1:6" x14ac:dyDescent="0.25">
      <c r="A282" s="9" t="s">
        <v>693</v>
      </c>
      <c r="B282" s="9" t="s">
        <v>22</v>
      </c>
      <c r="C282" s="9" t="s">
        <v>694</v>
      </c>
      <c r="D282" s="9" t="s">
        <v>2182</v>
      </c>
      <c r="E282" s="9" t="s">
        <v>62</v>
      </c>
      <c r="F282" s="9" t="s">
        <v>55</v>
      </c>
    </row>
    <row r="283" spans="1:6" x14ac:dyDescent="0.25">
      <c r="A283" s="9" t="s">
        <v>696</v>
      </c>
      <c r="B283" s="9" t="s">
        <v>20</v>
      </c>
      <c r="C283" s="9" t="s">
        <v>697</v>
      </c>
      <c r="D283" s="9" t="s">
        <v>2183</v>
      </c>
      <c r="E283" s="9" t="s">
        <v>65</v>
      </c>
      <c r="F283" s="9" t="s">
        <v>51</v>
      </c>
    </row>
    <row r="284" spans="1:6" x14ac:dyDescent="0.25">
      <c r="A284" s="9" t="s">
        <v>699</v>
      </c>
      <c r="B284" s="9" t="s">
        <v>18</v>
      </c>
      <c r="C284" s="9" t="s">
        <v>295</v>
      </c>
      <c r="D284" s="9" t="s">
        <v>2184</v>
      </c>
      <c r="E284" s="9" t="s">
        <v>67</v>
      </c>
      <c r="F284" s="9" t="s">
        <v>43</v>
      </c>
    </row>
    <row r="285" spans="1:6" x14ac:dyDescent="0.25">
      <c r="A285" s="9" t="s">
        <v>701</v>
      </c>
      <c r="B285" s="9" t="s">
        <v>16</v>
      </c>
      <c r="C285" s="9" t="s">
        <v>124</v>
      </c>
      <c r="D285" s="9" t="s">
        <v>2184</v>
      </c>
      <c r="E285" s="9" t="s">
        <v>63</v>
      </c>
      <c r="F285" s="9" t="s">
        <v>47</v>
      </c>
    </row>
    <row r="286" spans="1:6" x14ac:dyDescent="0.25">
      <c r="A286" s="9" t="s">
        <v>702</v>
      </c>
      <c r="B286" s="9" t="s">
        <v>24</v>
      </c>
      <c r="C286" s="9" t="s">
        <v>703</v>
      </c>
      <c r="D286" s="9" t="s">
        <v>2184</v>
      </c>
      <c r="E286" s="9" t="s">
        <v>64</v>
      </c>
      <c r="F286" s="9" t="s">
        <v>53</v>
      </c>
    </row>
    <row r="287" spans="1:6" x14ac:dyDescent="0.25">
      <c r="A287" s="9" t="s">
        <v>704</v>
      </c>
      <c r="B287" s="9" t="s">
        <v>12</v>
      </c>
      <c r="C287" s="9" t="s">
        <v>705</v>
      </c>
      <c r="D287" s="9" t="s">
        <v>2184</v>
      </c>
      <c r="E287" s="9" t="s">
        <v>66</v>
      </c>
      <c r="F287" s="9" t="s">
        <v>45</v>
      </c>
    </row>
    <row r="288" spans="1:6" x14ac:dyDescent="0.25">
      <c r="A288" s="9" t="s">
        <v>706</v>
      </c>
      <c r="B288" s="9" t="s">
        <v>12</v>
      </c>
      <c r="C288" s="9" t="s">
        <v>249</v>
      </c>
      <c r="D288" s="9" t="s">
        <v>2185</v>
      </c>
      <c r="E288" s="9" t="s">
        <v>64</v>
      </c>
      <c r="F288" s="9" t="s">
        <v>53</v>
      </c>
    </row>
    <row r="289" spans="1:6" x14ac:dyDescent="0.25">
      <c r="A289" s="9" t="s">
        <v>708</v>
      </c>
      <c r="B289" s="9" t="s">
        <v>24</v>
      </c>
      <c r="C289" s="9" t="s">
        <v>105</v>
      </c>
      <c r="D289" s="9" t="s">
        <v>2186</v>
      </c>
      <c r="E289" s="9" t="s">
        <v>67</v>
      </c>
      <c r="F289" s="9" t="s">
        <v>58</v>
      </c>
    </row>
    <row r="290" spans="1:6" x14ac:dyDescent="0.25">
      <c r="A290" s="9" t="s">
        <v>710</v>
      </c>
      <c r="B290" s="9" t="s">
        <v>20</v>
      </c>
      <c r="C290" s="9" t="s">
        <v>466</v>
      </c>
      <c r="D290" s="9" t="s">
        <v>2187</v>
      </c>
      <c r="E290" s="9" t="s">
        <v>64</v>
      </c>
      <c r="F290" s="9" t="s">
        <v>55</v>
      </c>
    </row>
    <row r="291" spans="1:6" x14ac:dyDescent="0.25">
      <c r="A291" s="9" t="s">
        <v>712</v>
      </c>
      <c r="B291" s="9" t="s">
        <v>22</v>
      </c>
      <c r="C291" s="9" t="s">
        <v>79</v>
      </c>
      <c r="D291" s="9" t="s">
        <v>2188</v>
      </c>
      <c r="E291" s="9" t="s">
        <v>65</v>
      </c>
      <c r="F291" s="9" t="s">
        <v>45</v>
      </c>
    </row>
    <row r="292" spans="1:6" x14ac:dyDescent="0.25">
      <c r="A292" s="9" t="s">
        <v>714</v>
      </c>
      <c r="B292" s="9" t="s">
        <v>16</v>
      </c>
      <c r="C292" s="9" t="s">
        <v>484</v>
      </c>
      <c r="D292" s="9" t="s">
        <v>2188</v>
      </c>
      <c r="E292" s="9" t="s">
        <v>65</v>
      </c>
      <c r="F292" s="9" t="s">
        <v>47</v>
      </c>
    </row>
    <row r="293" spans="1:6" x14ac:dyDescent="0.25">
      <c r="A293" s="9" t="s">
        <v>715</v>
      </c>
      <c r="B293" s="9" t="s">
        <v>12</v>
      </c>
      <c r="C293" s="9" t="s">
        <v>145</v>
      </c>
      <c r="D293" s="9" t="s">
        <v>2189</v>
      </c>
      <c r="E293" s="9" t="s">
        <v>66</v>
      </c>
      <c r="F293" s="9" t="s">
        <v>61</v>
      </c>
    </row>
    <row r="294" spans="1:6" x14ac:dyDescent="0.25">
      <c r="A294" s="9" t="s">
        <v>717</v>
      </c>
      <c r="B294" s="9" t="s">
        <v>12</v>
      </c>
      <c r="C294" s="9" t="s">
        <v>718</v>
      </c>
      <c r="D294" s="9" t="s">
        <v>2190</v>
      </c>
      <c r="E294" s="9" t="s">
        <v>64</v>
      </c>
      <c r="F294" s="9" t="s">
        <v>53</v>
      </c>
    </row>
    <row r="295" spans="1:6" x14ac:dyDescent="0.25">
      <c r="A295" s="9" t="s">
        <v>720</v>
      </c>
      <c r="B295" s="9" t="s">
        <v>16</v>
      </c>
      <c r="C295" s="9" t="s">
        <v>165</v>
      </c>
      <c r="D295" s="9" t="s">
        <v>2190</v>
      </c>
      <c r="E295" s="9" t="s">
        <v>64</v>
      </c>
      <c r="F295" s="9" t="s">
        <v>58</v>
      </c>
    </row>
    <row r="296" spans="1:6" x14ac:dyDescent="0.25">
      <c r="A296" s="9" t="s">
        <v>721</v>
      </c>
      <c r="B296" s="9" t="s">
        <v>22</v>
      </c>
      <c r="C296" s="9" t="s">
        <v>722</v>
      </c>
      <c r="D296" s="9" t="s">
        <v>2191</v>
      </c>
      <c r="E296" s="9" t="s">
        <v>67</v>
      </c>
      <c r="F296" s="9" t="s">
        <v>45</v>
      </c>
    </row>
    <row r="297" spans="1:6" x14ac:dyDescent="0.25">
      <c r="A297" s="9" t="s">
        <v>724</v>
      </c>
      <c r="B297" s="9" t="s">
        <v>20</v>
      </c>
      <c r="C297" s="9" t="s">
        <v>725</v>
      </c>
      <c r="D297" s="9" t="s">
        <v>2191</v>
      </c>
      <c r="E297" s="9" t="s">
        <v>67</v>
      </c>
      <c r="F297" s="9" t="s">
        <v>61</v>
      </c>
    </row>
    <row r="298" spans="1:6" x14ac:dyDescent="0.25">
      <c r="A298" s="9" t="s">
        <v>726</v>
      </c>
      <c r="B298" s="9" t="s">
        <v>18</v>
      </c>
      <c r="C298" s="9" t="s">
        <v>727</v>
      </c>
      <c r="D298" s="9" t="s">
        <v>2192</v>
      </c>
      <c r="E298" s="9" t="s">
        <v>67</v>
      </c>
      <c r="F298" s="9" t="s">
        <v>43</v>
      </c>
    </row>
    <row r="299" spans="1:6" x14ac:dyDescent="0.25">
      <c r="A299" s="9" t="s">
        <v>729</v>
      </c>
      <c r="B299" s="9" t="s">
        <v>16</v>
      </c>
      <c r="C299" s="9" t="s">
        <v>730</v>
      </c>
      <c r="D299" s="9" t="s">
        <v>2192</v>
      </c>
      <c r="E299" s="9" t="s">
        <v>65</v>
      </c>
      <c r="F299" s="9" t="s">
        <v>45</v>
      </c>
    </row>
    <row r="300" spans="1:6" x14ac:dyDescent="0.25">
      <c r="A300" s="9" t="s">
        <v>731</v>
      </c>
      <c r="B300" s="9" t="s">
        <v>24</v>
      </c>
      <c r="C300" s="9" t="s">
        <v>177</v>
      </c>
      <c r="D300" s="9" t="s">
        <v>2193</v>
      </c>
      <c r="E300" s="9" t="s">
        <v>66</v>
      </c>
      <c r="F300" s="9" t="s">
        <v>47</v>
      </c>
    </row>
    <row r="301" spans="1:6" x14ac:dyDescent="0.25">
      <c r="A301" s="9" t="s">
        <v>733</v>
      </c>
      <c r="B301" s="9" t="s">
        <v>16</v>
      </c>
      <c r="C301" s="9" t="s">
        <v>703</v>
      </c>
      <c r="D301" s="9" t="s">
        <v>2194</v>
      </c>
      <c r="E301" s="9" t="s">
        <v>63</v>
      </c>
      <c r="F301" s="9" t="s">
        <v>53</v>
      </c>
    </row>
    <row r="302" spans="1:6" x14ac:dyDescent="0.25">
      <c r="A302" s="9" t="s">
        <v>735</v>
      </c>
      <c r="B302" s="9" t="s">
        <v>14</v>
      </c>
      <c r="C302" s="9" t="s">
        <v>736</v>
      </c>
      <c r="D302" s="9" t="s">
        <v>2194</v>
      </c>
      <c r="E302" s="9" t="s">
        <v>64</v>
      </c>
      <c r="F302" s="9" t="s">
        <v>55</v>
      </c>
    </row>
    <row r="303" spans="1:6" x14ac:dyDescent="0.25">
      <c r="A303" s="9" t="s">
        <v>737</v>
      </c>
      <c r="B303" s="9" t="s">
        <v>24</v>
      </c>
      <c r="C303" s="9" t="s">
        <v>628</v>
      </c>
      <c r="D303" s="9" t="s">
        <v>2195</v>
      </c>
      <c r="E303" s="9" t="s">
        <v>66</v>
      </c>
      <c r="F303" s="9" t="s">
        <v>49</v>
      </c>
    </row>
    <row r="304" spans="1:6" x14ac:dyDescent="0.25">
      <c r="A304" s="9" t="s">
        <v>739</v>
      </c>
      <c r="B304" s="9" t="s">
        <v>14</v>
      </c>
      <c r="C304" s="9" t="s">
        <v>740</v>
      </c>
      <c r="D304" s="9" t="s">
        <v>2195</v>
      </c>
      <c r="E304" s="9" t="s">
        <v>63</v>
      </c>
      <c r="F304" s="9" t="s">
        <v>49</v>
      </c>
    </row>
    <row r="305" spans="1:6" x14ac:dyDescent="0.25">
      <c r="A305" s="9" t="s">
        <v>741</v>
      </c>
      <c r="B305" s="9" t="s">
        <v>12</v>
      </c>
      <c r="C305" s="9" t="s">
        <v>740</v>
      </c>
      <c r="D305" s="9" t="s">
        <v>2195</v>
      </c>
      <c r="E305" s="9" t="s">
        <v>62</v>
      </c>
      <c r="F305" s="9" t="s">
        <v>51</v>
      </c>
    </row>
    <row r="306" spans="1:6" x14ac:dyDescent="0.25">
      <c r="A306" s="9" t="s">
        <v>742</v>
      </c>
      <c r="B306" s="9" t="s">
        <v>16</v>
      </c>
      <c r="C306" s="9" t="s">
        <v>105</v>
      </c>
      <c r="D306" s="9" t="s">
        <v>2196</v>
      </c>
      <c r="E306" s="9" t="s">
        <v>67</v>
      </c>
      <c r="F306" s="9" t="s">
        <v>55</v>
      </c>
    </row>
    <row r="307" spans="1:6" x14ac:dyDescent="0.25">
      <c r="A307" s="9" t="s">
        <v>744</v>
      </c>
      <c r="B307" s="9" t="s">
        <v>18</v>
      </c>
      <c r="C307" s="9" t="s">
        <v>174</v>
      </c>
      <c r="D307" s="9" t="s">
        <v>2197</v>
      </c>
      <c r="E307" s="9" t="s">
        <v>65</v>
      </c>
      <c r="F307" s="9" t="s">
        <v>53</v>
      </c>
    </row>
    <row r="308" spans="1:6" x14ac:dyDescent="0.25">
      <c r="A308" s="9" t="s">
        <v>746</v>
      </c>
      <c r="B308" s="9" t="s">
        <v>24</v>
      </c>
      <c r="C308" s="9" t="s">
        <v>747</v>
      </c>
      <c r="D308" s="9" t="s">
        <v>2198</v>
      </c>
      <c r="E308" s="9" t="s">
        <v>62</v>
      </c>
      <c r="F308" s="9" t="s">
        <v>61</v>
      </c>
    </row>
    <row r="309" spans="1:6" x14ac:dyDescent="0.25">
      <c r="A309" s="9" t="s">
        <v>749</v>
      </c>
      <c r="B309" s="9" t="s">
        <v>16</v>
      </c>
      <c r="C309" s="9" t="s">
        <v>594</v>
      </c>
      <c r="D309" s="9" t="s">
        <v>2198</v>
      </c>
      <c r="E309" s="9" t="s">
        <v>67</v>
      </c>
      <c r="F309" s="9" t="s">
        <v>61</v>
      </c>
    </row>
    <row r="310" spans="1:6" x14ac:dyDescent="0.25">
      <c r="A310" s="9" t="s">
        <v>750</v>
      </c>
      <c r="B310" s="9" t="s">
        <v>22</v>
      </c>
      <c r="C310" s="9" t="s">
        <v>244</v>
      </c>
      <c r="D310" s="9" t="s">
        <v>2198</v>
      </c>
      <c r="E310" s="9" t="s">
        <v>67</v>
      </c>
      <c r="F310" s="9" t="s">
        <v>61</v>
      </c>
    </row>
    <row r="311" spans="1:6" x14ac:dyDescent="0.25">
      <c r="A311" s="9" t="s">
        <v>751</v>
      </c>
      <c r="B311" s="9" t="s">
        <v>20</v>
      </c>
      <c r="C311" s="9" t="s">
        <v>752</v>
      </c>
      <c r="D311" s="9" t="s">
        <v>2198</v>
      </c>
      <c r="E311" s="9" t="s">
        <v>65</v>
      </c>
      <c r="F311" s="9" t="s">
        <v>51</v>
      </c>
    </row>
    <row r="312" spans="1:6" x14ac:dyDescent="0.25">
      <c r="A312" s="9" t="s">
        <v>753</v>
      </c>
      <c r="B312" s="9" t="s">
        <v>18</v>
      </c>
      <c r="C312" s="9" t="s">
        <v>754</v>
      </c>
      <c r="D312" s="9" t="s">
        <v>2199</v>
      </c>
      <c r="E312" s="9" t="s">
        <v>65</v>
      </c>
      <c r="F312" s="9" t="s">
        <v>53</v>
      </c>
    </row>
    <row r="313" spans="1:6" x14ac:dyDescent="0.25">
      <c r="A313" s="9" t="s">
        <v>756</v>
      </c>
      <c r="B313" s="9" t="s">
        <v>12</v>
      </c>
      <c r="C313" s="9" t="s">
        <v>757</v>
      </c>
      <c r="D313" s="9" t="s">
        <v>2200</v>
      </c>
      <c r="E313" s="9" t="s">
        <v>62</v>
      </c>
      <c r="F313" s="9" t="s">
        <v>47</v>
      </c>
    </row>
    <row r="314" spans="1:6" x14ac:dyDescent="0.25">
      <c r="A314" s="9" t="s">
        <v>759</v>
      </c>
      <c r="B314" s="9" t="s">
        <v>22</v>
      </c>
      <c r="C314" s="9" t="s">
        <v>760</v>
      </c>
      <c r="D314" s="9" t="s">
        <v>2201</v>
      </c>
      <c r="E314" s="9" t="s">
        <v>64</v>
      </c>
      <c r="F314" s="9" t="s">
        <v>61</v>
      </c>
    </row>
    <row r="315" spans="1:6" x14ac:dyDescent="0.25">
      <c r="A315" s="9" t="s">
        <v>762</v>
      </c>
      <c r="B315" s="9" t="s">
        <v>14</v>
      </c>
      <c r="C315" s="9" t="s">
        <v>100</v>
      </c>
      <c r="D315" s="9" t="s">
        <v>2202</v>
      </c>
      <c r="E315" s="9" t="s">
        <v>62</v>
      </c>
      <c r="F315" s="9" t="s">
        <v>55</v>
      </c>
    </row>
    <row r="316" spans="1:6" x14ac:dyDescent="0.25">
      <c r="A316" s="9" t="s">
        <v>764</v>
      </c>
      <c r="B316" s="9" t="s">
        <v>14</v>
      </c>
      <c r="C316" s="9" t="s">
        <v>765</v>
      </c>
      <c r="D316" s="9" t="s">
        <v>2203</v>
      </c>
      <c r="E316" s="9" t="s">
        <v>66</v>
      </c>
      <c r="F316" s="9" t="s">
        <v>51</v>
      </c>
    </row>
    <row r="317" spans="1:6" x14ac:dyDescent="0.25">
      <c r="A317" s="9" t="s">
        <v>767</v>
      </c>
      <c r="B317" s="9" t="s">
        <v>20</v>
      </c>
      <c r="C317" s="9" t="s">
        <v>374</v>
      </c>
      <c r="D317" s="9" t="s">
        <v>2203</v>
      </c>
      <c r="E317" s="9" t="s">
        <v>66</v>
      </c>
      <c r="F317" s="9" t="s">
        <v>61</v>
      </c>
    </row>
    <row r="318" spans="1:6" x14ac:dyDescent="0.25">
      <c r="A318" s="9" t="s">
        <v>768</v>
      </c>
      <c r="B318" s="9" t="s">
        <v>14</v>
      </c>
      <c r="C318" s="9" t="s">
        <v>507</v>
      </c>
      <c r="D318" s="9" t="s">
        <v>2204</v>
      </c>
      <c r="E318" s="9" t="s">
        <v>66</v>
      </c>
      <c r="F318" s="9" t="s">
        <v>61</v>
      </c>
    </row>
    <row r="319" spans="1:6" x14ac:dyDescent="0.25">
      <c r="A319" s="9" t="s">
        <v>770</v>
      </c>
      <c r="B319" s="9" t="s">
        <v>24</v>
      </c>
      <c r="C319" s="9" t="s">
        <v>199</v>
      </c>
      <c r="D319" s="9" t="s">
        <v>2204</v>
      </c>
      <c r="E319" s="9" t="s">
        <v>65</v>
      </c>
      <c r="F319" s="9" t="s">
        <v>53</v>
      </c>
    </row>
    <row r="320" spans="1:6" x14ac:dyDescent="0.25">
      <c r="A320" s="9" t="s">
        <v>771</v>
      </c>
      <c r="B320" s="9" t="s">
        <v>12</v>
      </c>
      <c r="C320" s="9" t="s">
        <v>772</v>
      </c>
      <c r="D320" s="9" t="s">
        <v>2205</v>
      </c>
      <c r="E320" s="9" t="s">
        <v>67</v>
      </c>
      <c r="F320" s="9" t="s">
        <v>45</v>
      </c>
    </row>
    <row r="321" spans="1:6" x14ac:dyDescent="0.25">
      <c r="A321" s="9" t="s">
        <v>774</v>
      </c>
      <c r="B321" s="9" t="s">
        <v>12</v>
      </c>
      <c r="C321" s="9" t="s">
        <v>760</v>
      </c>
      <c r="D321" s="9" t="s">
        <v>2206</v>
      </c>
      <c r="E321" s="9" t="s">
        <v>65</v>
      </c>
      <c r="F321" s="9" t="s">
        <v>49</v>
      </c>
    </row>
    <row r="322" spans="1:6" x14ac:dyDescent="0.25">
      <c r="A322" s="9" t="s">
        <v>776</v>
      </c>
      <c r="B322" s="9" t="s">
        <v>18</v>
      </c>
      <c r="C322" s="9" t="s">
        <v>683</v>
      </c>
      <c r="D322" s="9" t="s">
        <v>2207</v>
      </c>
      <c r="E322" s="9" t="s">
        <v>63</v>
      </c>
      <c r="F322" s="9" t="s">
        <v>47</v>
      </c>
    </row>
    <row r="323" spans="1:6" x14ac:dyDescent="0.25">
      <c r="A323" s="9" t="s">
        <v>778</v>
      </c>
      <c r="B323" s="9" t="s">
        <v>18</v>
      </c>
      <c r="C323" s="9" t="s">
        <v>779</v>
      </c>
      <c r="D323" s="9" t="s">
        <v>2207</v>
      </c>
      <c r="E323" s="9" t="s">
        <v>62</v>
      </c>
      <c r="F323" s="9" t="s">
        <v>47</v>
      </c>
    </row>
    <row r="324" spans="1:6" x14ac:dyDescent="0.25">
      <c r="A324" s="9" t="s">
        <v>780</v>
      </c>
      <c r="B324" s="9" t="s">
        <v>16</v>
      </c>
      <c r="C324" s="9" t="s">
        <v>675</v>
      </c>
      <c r="D324" s="9" t="s">
        <v>2208</v>
      </c>
      <c r="E324" s="9" t="s">
        <v>65</v>
      </c>
      <c r="F324" s="9" t="s">
        <v>58</v>
      </c>
    </row>
    <row r="325" spans="1:6" x14ac:dyDescent="0.25">
      <c r="A325" s="9" t="s">
        <v>782</v>
      </c>
      <c r="B325" s="9" t="s">
        <v>22</v>
      </c>
      <c r="C325" s="9" t="s">
        <v>783</v>
      </c>
      <c r="D325" s="9" t="s">
        <v>2209</v>
      </c>
      <c r="E325" s="9" t="s">
        <v>64</v>
      </c>
      <c r="F325" s="9" t="s">
        <v>49</v>
      </c>
    </row>
    <row r="326" spans="1:6" x14ac:dyDescent="0.25">
      <c r="A326" s="9" t="s">
        <v>785</v>
      </c>
      <c r="B326" s="9" t="s">
        <v>22</v>
      </c>
      <c r="C326" s="9" t="s">
        <v>786</v>
      </c>
      <c r="D326" s="9" t="s">
        <v>2210</v>
      </c>
      <c r="E326" s="9" t="s">
        <v>67</v>
      </c>
      <c r="F326" s="9" t="s">
        <v>55</v>
      </c>
    </row>
    <row r="327" spans="1:6" x14ac:dyDescent="0.25">
      <c r="A327" s="9" t="s">
        <v>788</v>
      </c>
      <c r="B327" s="9" t="s">
        <v>18</v>
      </c>
      <c r="C327" s="9" t="s">
        <v>789</v>
      </c>
      <c r="D327" s="9" t="s">
        <v>2211</v>
      </c>
      <c r="E327" s="9" t="s">
        <v>62</v>
      </c>
      <c r="F327" s="9" t="s">
        <v>55</v>
      </c>
    </row>
    <row r="328" spans="1:6" x14ac:dyDescent="0.25">
      <c r="A328" s="9" t="s">
        <v>791</v>
      </c>
      <c r="B328" s="9" t="s">
        <v>18</v>
      </c>
      <c r="C328" s="9" t="s">
        <v>792</v>
      </c>
      <c r="D328" s="9" t="s">
        <v>2212</v>
      </c>
      <c r="E328" s="9" t="s">
        <v>65</v>
      </c>
      <c r="F328" s="9" t="s">
        <v>55</v>
      </c>
    </row>
    <row r="329" spans="1:6" x14ac:dyDescent="0.25">
      <c r="A329" s="9" t="s">
        <v>794</v>
      </c>
      <c r="B329" s="9" t="s">
        <v>12</v>
      </c>
      <c r="C329" s="9" t="s">
        <v>152</v>
      </c>
      <c r="D329" s="9" t="s">
        <v>2212</v>
      </c>
      <c r="E329" s="9" t="s">
        <v>63</v>
      </c>
      <c r="F329" s="9" t="s">
        <v>55</v>
      </c>
    </row>
    <row r="330" spans="1:6" x14ac:dyDescent="0.25">
      <c r="A330" s="9" t="s">
        <v>795</v>
      </c>
      <c r="B330" s="9" t="s">
        <v>16</v>
      </c>
      <c r="C330" s="9" t="s">
        <v>796</v>
      </c>
      <c r="D330" s="9" t="s">
        <v>2213</v>
      </c>
      <c r="E330" s="9" t="s">
        <v>63</v>
      </c>
      <c r="F330" s="9" t="s">
        <v>43</v>
      </c>
    </row>
    <row r="331" spans="1:6" x14ac:dyDescent="0.25">
      <c r="A331" s="9" t="s">
        <v>798</v>
      </c>
      <c r="B331" s="9" t="s">
        <v>22</v>
      </c>
      <c r="C331" s="9" t="s">
        <v>603</v>
      </c>
      <c r="D331" s="9" t="s">
        <v>2214</v>
      </c>
      <c r="E331" s="9" t="s">
        <v>63</v>
      </c>
      <c r="F331" s="9" t="s">
        <v>43</v>
      </c>
    </row>
    <row r="332" spans="1:6" x14ac:dyDescent="0.25">
      <c r="A332" s="9" t="s">
        <v>800</v>
      </c>
      <c r="B332" s="9" t="s">
        <v>16</v>
      </c>
      <c r="C332" s="9" t="s">
        <v>275</v>
      </c>
      <c r="D332" s="9" t="s">
        <v>2215</v>
      </c>
      <c r="E332" s="9" t="s">
        <v>66</v>
      </c>
      <c r="F332" s="9" t="s">
        <v>51</v>
      </c>
    </row>
    <row r="333" spans="1:6" x14ac:dyDescent="0.25">
      <c r="A333" s="9" t="s">
        <v>802</v>
      </c>
      <c r="B333" s="9" t="s">
        <v>18</v>
      </c>
      <c r="C333" s="9" t="s">
        <v>160</v>
      </c>
      <c r="D333" s="9" t="s">
        <v>2215</v>
      </c>
      <c r="E333" s="9" t="s">
        <v>66</v>
      </c>
      <c r="F333" s="9" t="s">
        <v>55</v>
      </c>
    </row>
    <row r="334" spans="1:6" x14ac:dyDescent="0.25">
      <c r="A334" s="9" t="s">
        <v>803</v>
      </c>
      <c r="B334" s="9" t="s">
        <v>18</v>
      </c>
      <c r="C334" s="9" t="s">
        <v>804</v>
      </c>
      <c r="D334" s="9" t="s">
        <v>2215</v>
      </c>
      <c r="E334" s="9" t="s">
        <v>67</v>
      </c>
      <c r="F334" s="9" t="s">
        <v>49</v>
      </c>
    </row>
    <row r="335" spans="1:6" x14ac:dyDescent="0.25">
      <c r="A335" s="9" t="s">
        <v>805</v>
      </c>
      <c r="B335" s="9" t="s">
        <v>18</v>
      </c>
      <c r="C335" s="9" t="s">
        <v>806</v>
      </c>
      <c r="D335" s="9" t="s">
        <v>2216</v>
      </c>
      <c r="E335" s="9" t="s">
        <v>62</v>
      </c>
      <c r="F335" s="9" t="s">
        <v>55</v>
      </c>
    </row>
    <row r="336" spans="1:6" x14ac:dyDescent="0.25">
      <c r="A336" s="9" t="s">
        <v>808</v>
      </c>
      <c r="B336" s="9" t="s">
        <v>18</v>
      </c>
      <c r="C336" s="9" t="s">
        <v>131</v>
      </c>
      <c r="D336" s="9" t="s">
        <v>2216</v>
      </c>
      <c r="E336" s="9" t="s">
        <v>67</v>
      </c>
      <c r="F336" s="9" t="s">
        <v>43</v>
      </c>
    </row>
    <row r="337" spans="1:6" x14ac:dyDescent="0.25">
      <c r="A337" s="9" t="s">
        <v>809</v>
      </c>
      <c r="B337" s="9" t="s">
        <v>20</v>
      </c>
      <c r="C337" s="9" t="s">
        <v>810</v>
      </c>
      <c r="D337" s="9" t="s">
        <v>2217</v>
      </c>
      <c r="E337" s="9" t="s">
        <v>62</v>
      </c>
      <c r="F337" s="9" t="s">
        <v>61</v>
      </c>
    </row>
    <row r="338" spans="1:6" x14ac:dyDescent="0.25">
      <c r="A338" s="9" t="s">
        <v>812</v>
      </c>
      <c r="B338" s="9" t="s">
        <v>12</v>
      </c>
      <c r="C338" s="9" t="s">
        <v>639</v>
      </c>
      <c r="D338" s="9" t="s">
        <v>2218</v>
      </c>
      <c r="E338" s="9" t="s">
        <v>62</v>
      </c>
      <c r="F338" s="9" t="s">
        <v>47</v>
      </c>
    </row>
    <row r="339" spans="1:6" x14ac:dyDescent="0.25">
      <c r="A339" s="9" t="s">
        <v>814</v>
      </c>
      <c r="B339" s="9" t="s">
        <v>20</v>
      </c>
      <c r="C339" s="9" t="s">
        <v>815</v>
      </c>
      <c r="D339" s="9" t="s">
        <v>2218</v>
      </c>
      <c r="E339" s="9" t="s">
        <v>63</v>
      </c>
      <c r="F339" s="9" t="s">
        <v>49</v>
      </c>
    </row>
    <row r="340" spans="1:6" x14ac:dyDescent="0.25">
      <c r="A340" s="9" t="s">
        <v>816</v>
      </c>
      <c r="B340" s="9" t="s">
        <v>18</v>
      </c>
      <c r="C340" s="9" t="s">
        <v>270</v>
      </c>
      <c r="D340" s="9" t="s">
        <v>2219</v>
      </c>
      <c r="E340" s="9" t="s">
        <v>62</v>
      </c>
      <c r="F340" s="9" t="s">
        <v>49</v>
      </c>
    </row>
    <row r="341" spans="1:6" x14ac:dyDescent="0.25">
      <c r="A341" s="9" t="s">
        <v>818</v>
      </c>
      <c r="B341" s="9" t="s">
        <v>24</v>
      </c>
      <c r="C341" s="9" t="s">
        <v>765</v>
      </c>
      <c r="D341" s="9" t="s">
        <v>2219</v>
      </c>
      <c r="E341" s="9" t="s">
        <v>67</v>
      </c>
      <c r="F341" s="9" t="s">
        <v>61</v>
      </c>
    </row>
    <row r="342" spans="1:6" x14ac:dyDescent="0.25">
      <c r="A342" s="9" t="s">
        <v>819</v>
      </c>
      <c r="B342" s="9" t="s">
        <v>12</v>
      </c>
      <c r="C342" s="9" t="s">
        <v>397</v>
      </c>
      <c r="D342" s="9" t="s">
        <v>2220</v>
      </c>
      <c r="E342" s="9" t="s">
        <v>65</v>
      </c>
      <c r="F342" s="9" t="s">
        <v>47</v>
      </c>
    </row>
    <row r="343" spans="1:6" x14ac:dyDescent="0.25">
      <c r="A343" s="9" t="s">
        <v>821</v>
      </c>
      <c r="B343" s="9" t="s">
        <v>16</v>
      </c>
      <c r="C343" s="9" t="s">
        <v>683</v>
      </c>
      <c r="D343" s="9" t="s">
        <v>2221</v>
      </c>
      <c r="E343" s="9" t="s">
        <v>64</v>
      </c>
      <c r="F343" s="9" t="s">
        <v>55</v>
      </c>
    </row>
    <row r="344" spans="1:6" x14ac:dyDescent="0.25">
      <c r="A344" s="9" t="s">
        <v>823</v>
      </c>
      <c r="B344" s="9" t="s">
        <v>14</v>
      </c>
      <c r="C344" s="9" t="s">
        <v>109</v>
      </c>
      <c r="D344" s="9" t="s">
        <v>2221</v>
      </c>
      <c r="E344" s="9" t="s">
        <v>64</v>
      </c>
      <c r="F344" s="9" t="s">
        <v>45</v>
      </c>
    </row>
    <row r="345" spans="1:6" x14ac:dyDescent="0.25">
      <c r="A345" s="9" t="s">
        <v>824</v>
      </c>
      <c r="B345" s="9" t="s">
        <v>12</v>
      </c>
      <c r="C345" s="9" t="s">
        <v>825</v>
      </c>
      <c r="D345" s="9" t="s">
        <v>2222</v>
      </c>
      <c r="E345" s="9" t="s">
        <v>65</v>
      </c>
      <c r="F345" s="9" t="s">
        <v>49</v>
      </c>
    </row>
    <row r="346" spans="1:6" x14ac:dyDescent="0.25">
      <c r="A346" s="9" t="s">
        <v>827</v>
      </c>
      <c r="B346" s="9" t="s">
        <v>14</v>
      </c>
      <c r="C346" s="9" t="s">
        <v>397</v>
      </c>
      <c r="D346" s="9" t="s">
        <v>2222</v>
      </c>
      <c r="E346" s="9" t="s">
        <v>67</v>
      </c>
      <c r="F346" s="9" t="s">
        <v>55</v>
      </c>
    </row>
    <row r="347" spans="1:6" x14ac:dyDescent="0.25">
      <c r="A347" s="9" t="s">
        <v>828</v>
      </c>
      <c r="B347" s="9" t="s">
        <v>14</v>
      </c>
      <c r="C347" s="9" t="s">
        <v>829</v>
      </c>
      <c r="D347" s="9" t="s">
        <v>2223</v>
      </c>
      <c r="E347" s="9" t="s">
        <v>62</v>
      </c>
      <c r="F347" s="9" t="s">
        <v>53</v>
      </c>
    </row>
    <row r="348" spans="1:6" x14ac:dyDescent="0.25">
      <c r="A348" s="9" t="s">
        <v>831</v>
      </c>
      <c r="B348" s="9" t="s">
        <v>18</v>
      </c>
      <c r="C348" s="9" t="s">
        <v>515</v>
      </c>
      <c r="D348" s="9" t="s">
        <v>2223</v>
      </c>
      <c r="E348" s="9" t="s">
        <v>65</v>
      </c>
      <c r="F348" s="9" t="s">
        <v>43</v>
      </c>
    </row>
    <row r="349" spans="1:6" x14ac:dyDescent="0.25">
      <c r="A349" s="9" t="s">
        <v>832</v>
      </c>
      <c r="B349" s="9" t="s">
        <v>16</v>
      </c>
      <c r="C349" s="9" t="s">
        <v>624</v>
      </c>
      <c r="D349" s="9" t="s">
        <v>2224</v>
      </c>
      <c r="E349" s="9" t="s">
        <v>62</v>
      </c>
      <c r="F349" s="9" t="s">
        <v>47</v>
      </c>
    </row>
    <row r="350" spans="1:6" x14ac:dyDescent="0.25">
      <c r="A350" s="9" t="s">
        <v>834</v>
      </c>
      <c r="B350" s="9" t="s">
        <v>18</v>
      </c>
      <c r="C350" s="9" t="s">
        <v>835</v>
      </c>
      <c r="D350" s="9" t="s">
        <v>2225</v>
      </c>
      <c r="E350" s="9" t="s">
        <v>67</v>
      </c>
      <c r="F350" s="9" t="s">
        <v>43</v>
      </c>
    </row>
    <row r="351" spans="1:6" x14ac:dyDescent="0.25">
      <c r="A351" s="9" t="s">
        <v>837</v>
      </c>
      <c r="B351" s="9" t="s">
        <v>18</v>
      </c>
      <c r="C351" s="9" t="s">
        <v>145</v>
      </c>
      <c r="D351" s="9" t="s">
        <v>2226</v>
      </c>
      <c r="E351" s="9" t="s">
        <v>66</v>
      </c>
      <c r="F351" s="9" t="s">
        <v>58</v>
      </c>
    </row>
    <row r="352" spans="1:6" x14ac:dyDescent="0.25">
      <c r="A352" s="9" t="s">
        <v>839</v>
      </c>
      <c r="B352" s="9" t="s">
        <v>24</v>
      </c>
      <c r="C352" s="9" t="s">
        <v>840</v>
      </c>
      <c r="D352" s="9" t="s">
        <v>2227</v>
      </c>
      <c r="E352" s="9" t="s">
        <v>63</v>
      </c>
      <c r="F352" s="9" t="s">
        <v>43</v>
      </c>
    </row>
    <row r="353" spans="1:6" x14ac:dyDescent="0.25">
      <c r="A353" s="9" t="s">
        <v>842</v>
      </c>
      <c r="B353" s="9" t="s">
        <v>20</v>
      </c>
      <c r="C353" s="9" t="s">
        <v>636</v>
      </c>
      <c r="D353" s="9" t="s">
        <v>2228</v>
      </c>
      <c r="E353" s="9" t="s">
        <v>64</v>
      </c>
      <c r="F353" s="9" t="s">
        <v>51</v>
      </c>
    </row>
    <row r="354" spans="1:6" x14ac:dyDescent="0.25">
      <c r="A354" s="9" t="s">
        <v>844</v>
      </c>
      <c r="B354" s="9" t="s">
        <v>14</v>
      </c>
      <c r="C354" s="9" t="s">
        <v>239</v>
      </c>
      <c r="D354" s="9" t="s">
        <v>2228</v>
      </c>
      <c r="E354" s="9" t="s">
        <v>66</v>
      </c>
      <c r="F354" s="9" t="s">
        <v>51</v>
      </c>
    </row>
    <row r="355" spans="1:6" x14ac:dyDescent="0.25">
      <c r="A355" s="9" t="s">
        <v>845</v>
      </c>
      <c r="B355" s="9" t="s">
        <v>20</v>
      </c>
      <c r="C355" s="9" t="s">
        <v>333</v>
      </c>
      <c r="D355" s="9" t="s">
        <v>2228</v>
      </c>
      <c r="E355" s="9" t="s">
        <v>63</v>
      </c>
      <c r="F355" s="9" t="s">
        <v>43</v>
      </c>
    </row>
    <row r="356" spans="1:6" x14ac:dyDescent="0.25">
      <c r="A356" s="9" t="s">
        <v>846</v>
      </c>
      <c r="B356" s="9" t="s">
        <v>22</v>
      </c>
      <c r="C356" s="9" t="s">
        <v>806</v>
      </c>
      <c r="D356" s="9" t="s">
        <v>2229</v>
      </c>
      <c r="E356" s="9" t="s">
        <v>62</v>
      </c>
      <c r="F356" s="9" t="s">
        <v>49</v>
      </c>
    </row>
    <row r="357" spans="1:6" x14ac:dyDescent="0.25">
      <c r="A357" s="9" t="s">
        <v>848</v>
      </c>
      <c r="B357" s="9" t="s">
        <v>22</v>
      </c>
      <c r="C357" s="9" t="s">
        <v>79</v>
      </c>
      <c r="D357" s="9" t="s">
        <v>2229</v>
      </c>
      <c r="E357" s="9" t="s">
        <v>64</v>
      </c>
      <c r="F357" s="9" t="s">
        <v>45</v>
      </c>
    </row>
    <row r="358" spans="1:6" x14ac:dyDescent="0.25">
      <c r="A358" s="9" t="s">
        <v>849</v>
      </c>
      <c r="B358" s="9" t="s">
        <v>22</v>
      </c>
      <c r="C358" s="9" t="s">
        <v>222</v>
      </c>
      <c r="D358" s="9" t="s">
        <v>2230</v>
      </c>
      <c r="E358" s="9" t="s">
        <v>63</v>
      </c>
      <c r="F358" s="9" t="s">
        <v>55</v>
      </c>
    </row>
    <row r="359" spans="1:6" x14ac:dyDescent="0.25">
      <c r="A359" s="9" t="s">
        <v>851</v>
      </c>
      <c r="B359" s="9" t="s">
        <v>22</v>
      </c>
      <c r="C359" s="9" t="s">
        <v>688</v>
      </c>
      <c r="D359" s="9" t="s">
        <v>2230</v>
      </c>
      <c r="E359" s="9" t="s">
        <v>62</v>
      </c>
      <c r="F359" s="9" t="s">
        <v>55</v>
      </c>
    </row>
    <row r="360" spans="1:6" x14ac:dyDescent="0.25">
      <c r="A360" s="9" t="s">
        <v>852</v>
      </c>
      <c r="B360" s="9" t="s">
        <v>22</v>
      </c>
      <c r="C360" s="9" t="s">
        <v>312</v>
      </c>
      <c r="D360" s="9" t="s">
        <v>2231</v>
      </c>
      <c r="E360" s="9" t="s">
        <v>67</v>
      </c>
      <c r="F360" s="9" t="s">
        <v>55</v>
      </c>
    </row>
    <row r="361" spans="1:6" x14ac:dyDescent="0.25">
      <c r="A361" s="9" t="s">
        <v>854</v>
      </c>
      <c r="B361" s="9" t="s">
        <v>20</v>
      </c>
      <c r="C361" s="9" t="s">
        <v>855</v>
      </c>
      <c r="D361" s="9" t="s">
        <v>2232</v>
      </c>
      <c r="E361" s="9" t="s">
        <v>67</v>
      </c>
      <c r="F361" s="9" t="s">
        <v>43</v>
      </c>
    </row>
    <row r="362" spans="1:6" x14ac:dyDescent="0.25">
      <c r="A362" s="9" t="s">
        <v>857</v>
      </c>
      <c r="B362" s="9" t="s">
        <v>12</v>
      </c>
      <c r="C362" s="9" t="s">
        <v>155</v>
      </c>
      <c r="D362" s="9" t="s">
        <v>2233</v>
      </c>
      <c r="E362" s="9" t="s">
        <v>62</v>
      </c>
      <c r="F362" s="9" t="s">
        <v>58</v>
      </c>
    </row>
    <row r="363" spans="1:6" x14ac:dyDescent="0.25">
      <c r="A363" s="9" t="s">
        <v>859</v>
      </c>
      <c r="B363" s="9" t="s">
        <v>20</v>
      </c>
      <c r="C363" s="9" t="s">
        <v>371</v>
      </c>
      <c r="D363" s="9" t="s">
        <v>2233</v>
      </c>
      <c r="E363" s="9" t="s">
        <v>66</v>
      </c>
      <c r="F363" s="9" t="s">
        <v>43</v>
      </c>
    </row>
    <row r="364" spans="1:6" x14ac:dyDescent="0.25">
      <c r="A364" s="9" t="s">
        <v>860</v>
      </c>
      <c r="B364" s="9" t="s">
        <v>24</v>
      </c>
      <c r="C364" s="9" t="s">
        <v>512</v>
      </c>
      <c r="D364" s="9" t="s">
        <v>2234</v>
      </c>
      <c r="E364" s="9" t="s">
        <v>63</v>
      </c>
      <c r="F364" s="9" t="s">
        <v>49</v>
      </c>
    </row>
    <row r="365" spans="1:6" x14ac:dyDescent="0.25">
      <c r="A365" s="9" t="s">
        <v>862</v>
      </c>
      <c r="B365" s="9" t="s">
        <v>12</v>
      </c>
      <c r="C365" s="9" t="s">
        <v>338</v>
      </c>
      <c r="D365" s="9" t="s">
        <v>2235</v>
      </c>
      <c r="E365" s="9" t="s">
        <v>63</v>
      </c>
      <c r="F365" s="9" t="s">
        <v>55</v>
      </c>
    </row>
    <row r="366" spans="1:6" x14ac:dyDescent="0.25">
      <c r="A366" s="9" t="s">
        <v>864</v>
      </c>
      <c r="B366" s="9" t="s">
        <v>14</v>
      </c>
      <c r="C366" s="9" t="s">
        <v>865</v>
      </c>
      <c r="D366" s="9" t="s">
        <v>2236</v>
      </c>
      <c r="E366" s="9" t="s">
        <v>63</v>
      </c>
      <c r="F366" s="9" t="s">
        <v>55</v>
      </c>
    </row>
    <row r="367" spans="1:6" x14ac:dyDescent="0.25">
      <c r="A367" s="9" t="s">
        <v>867</v>
      </c>
      <c r="B367" s="9" t="s">
        <v>14</v>
      </c>
      <c r="C367" s="9" t="s">
        <v>868</v>
      </c>
      <c r="D367" s="9" t="s">
        <v>2236</v>
      </c>
      <c r="E367" s="9" t="s">
        <v>64</v>
      </c>
      <c r="F367" s="9" t="s">
        <v>61</v>
      </c>
    </row>
    <row r="368" spans="1:6" x14ac:dyDescent="0.25">
      <c r="A368" s="9" t="s">
        <v>869</v>
      </c>
      <c r="B368" s="9" t="s">
        <v>18</v>
      </c>
      <c r="C368" s="9" t="s">
        <v>264</v>
      </c>
      <c r="D368" s="9" t="s">
        <v>2237</v>
      </c>
      <c r="E368" s="9" t="s">
        <v>66</v>
      </c>
      <c r="F368" s="9" t="s">
        <v>53</v>
      </c>
    </row>
    <row r="369" spans="1:6" x14ac:dyDescent="0.25">
      <c r="A369" s="9" t="s">
        <v>871</v>
      </c>
      <c r="B369" s="9" t="s">
        <v>18</v>
      </c>
      <c r="C369" s="9" t="s">
        <v>236</v>
      </c>
      <c r="D369" s="9" t="s">
        <v>2238</v>
      </c>
      <c r="E369" s="9" t="s">
        <v>66</v>
      </c>
      <c r="F369" s="9" t="s">
        <v>43</v>
      </c>
    </row>
    <row r="370" spans="1:6" x14ac:dyDescent="0.25">
      <c r="A370" s="9" t="s">
        <v>873</v>
      </c>
      <c r="B370" s="9" t="s">
        <v>12</v>
      </c>
      <c r="C370" s="9" t="s">
        <v>874</v>
      </c>
      <c r="D370" s="9" t="s">
        <v>2239</v>
      </c>
      <c r="E370" s="9" t="s">
        <v>67</v>
      </c>
      <c r="F370" s="9" t="s">
        <v>45</v>
      </c>
    </row>
    <row r="371" spans="1:6" x14ac:dyDescent="0.25">
      <c r="A371" s="9" t="s">
        <v>876</v>
      </c>
      <c r="B371" s="9" t="s">
        <v>22</v>
      </c>
      <c r="C371" s="9" t="s">
        <v>559</v>
      </c>
      <c r="D371" s="9" t="s">
        <v>2240</v>
      </c>
      <c r="E371" s="9" t="s">
        <v>66</v>
      </c>
      <c r="F371" s="9" t="s">
        <v>51</v>
      </c>
    </row>
    <row r="372" spans="1:6" x14ac:dyDescent="0.25">
      <c r="A372" s="9" t="s">
        <v>878</v>
      </c>
      <c r="B372" s="9" t="s">
        <v>18</v>
      </c>
      <c r="C372" s="9" t="s">
        <v>82</v>
      </c>
      <c r="D372" s="9" t="s">
        <v>2240</v>
      </c>
      <c r="E372" s="9" t="s">
        <v>66</v>
      </c>
      <c r="F372" s="9" t="s">
        <v>55</v>
      </c>
    </row>
    <row r="373" spans="1:6" x14ac:dyDescent="0.25">
      <c r="A373" s="9" t="s">
        <v>879</v>
      </c>
      <c r="B373" s="9" t="s">
        <v>22</v>
      </c>
      <c r="C373" s="9" t="s">
        <v>171</v>
      </c>
      <c r="D373" s="9" t="s">
        <v>2240</v>
      </c>
      <c r="E373" s="9" t="s">
        <v>67</v>
      </c>
      <c r="F373" s="9" t="s">
        <v>58</v>
      </c>
    </row>
    <row r="374" spans="1:6" x14ac:dyDescent="0.25">
      <c r="A374" s="9" t="s">
        <v>880</v>
      </c>
      <c r="B374" s="9" t="s">
        <v>12</v>
      </c>
      <c r="C374" s="9" t="s">
        <v>478</v>
      </c>
      <c r="D374" s="9" t="s">
        <v>2241</v>
      </c>
      <c r="E374" s="9" t="s">
        <v>62</v>
      </c>
      <c r="F374" s="9" t="s">
        <v>58</v>
      </c>
    </row>
    <row r="375" spans="1:6" x14ac:dyDescent="0.25">
      <c r="A375" s="9" t="s">
        <v>882</v>
      </c>
      <c r="B375" s="9" t="s">
        <v>18</v>
      </c>
      <c r="C375" s="9" t="s">
        <v>137</v>
      </c>
      <c r="D375" s="9" t="s">
        <v>2242</v>
      </c>
      <c r="E375" s="9" t="s">
        <v>65</v>
      </c>
      <c r="F375" s="9" t="s">
        <v>51</v>
      </c>
    </row>
    <row r="376" spans="1:6" x14ac:dyDescent="0.25">
      <c r="A376" s="9" t="s">
        <v>884</v>
      </c>
      <c r="B376" s="9" t="s">
        <v>22</v>
      </c>
      <c r="C376" s="9" t="s">
        <v>295</v>
      </c>
      <c r="D376" s="9" t="s">
        <v>2243</v>
      </c>
      <c r="E376" s="9" t="s">
        <v>64</v>
      </c>
      <c r="F376" s="9" t="s">
        <v>49</v>
      </c>
    </row>
    <row r="377" spans="1:6" x14ac:dyDescent="0.25">
      <c r="A377" s="9" t="s">
        <v>886</v>
      </c>
      <c r="B377" s="9" t="s">
        <v>12</v>
      </c>
      <c r="C377" s="9" t="s">
        <v>239</v>
      </c>
      <c r="D377" s="9" t="s">
        <v>2243</v>
      </c>
      <c r="E377" s="9" t="s">
        <v>66</v>
      </c>
      <c r="F377" s="9" t="s">
        <v>53</v>
      </c>
    </row>
    <row r="378" spans="1:6" x14ac:dyDescent="0.25">
      <c r="A378" s="9" t="s">
        <v>887</v>
      </c>
      <c r="B378" s="9" t="s">
        <v>12</v>
      </c>
      <c r="C378" s="9" t="s">
        <v>683</v>
      </c>
      <c r="D378" s="9" t="s">
        <v>2244</v>
      </c>
      <c r="E378" s="9" t="s">
        <v>67</v>
      </c>
      <c r="F378" s="9" t="s">
        <v>58</v>
      </c>
    </row>
    <row r="379" spans="1:6" x14ac:dyDescent="0.25">
      <c r="A379" s="9" t="s">
        <v>889</v>
      </c>
      <c r="B379" s="9" t="s">
        <v>18</v>
      </c>
      <c r="C379" s="9" t="s">
        <v>346</v>
      </c>
      <c r="D379" s="9" t="s">
        <v>2245</v>
      </c>
      <c r="E379" s="9" t="s">
        <v>65</v>
      </c>
      <c r="F379" s="9" t="s">
        <v>47</v>
      </c>
    </row>
    <row r="380" spans="1:6" x14ac:dyDescent="0.25">
      <c r="A380" s="9" t="s">
        <v>891</v>
      </c>
      <c r="B380" s="9" t="s">
        <v>12</v>
      </c>
      <c r="C380" s="9" t="s">
        <v>365</v>
      </c>
      <c r="D380" s="9" t="s">
        <v>2246</v>
      </c>
      <c r="E380" s="9" t="s">
        <v>66</v>
      </c>
      <c r="F380" s="9" t="s">
        <v>49</v>
      </c>
    </row>
    <row r="381" spans="1:6" x14ac:dyDescent="0.25">
      <c r="A381" s="9" t="s">
        <v>893</v>
      </c>
      <c r="B381" s="9" t="s">
        <v>18</v>
      </c>
      <c r="C381" s="9" t="s">
        <v>644</v>
      </c>
      <c r="D381" s="9" t="s">
        <v>2247</v>
      </c>
      <c r="E381" s="9" t="s">
        <v>63</v>
      </c>
      <c r="F381" s="9" t="s">
        <v>61</v>
      </c>
    </row>
    <row r="382" spans="1:6" x14ac:dyDescent="0.25">
      <c r="A382" s="9" t="s">
        <v>895</v>
      </c>
      <c r="B382" s="9" t="s">
        <v>14</v>
      </c>
      <c r="C382" s="9" t="s">
        <v>896</v>
      </c>
      <c r="D382" s="9" t="s">
        <v>2247</v>
      </c>
      <c r="E382" s="9" t="s">
        <v>66</v>
      </c>
      <c r="F382" s="9" t="s">
        <v>51</v>
      </c>
    </row>
    <row r="383" spans="1:6" x14ac:dyDescent="0.25">
      <c r="A383" s="9" t="s">
        <v>897</v>
      </c>
      <c r="B383" s="9" t="s">
        <v>14</v>
      </c>
      <c r="C383" s="9" t="s">
        <v>594</v>
      </c>
      <c r="D383" s="9" t="s">
        <v>2248</v>
      </c>
      <c r="E383" s="9" t="s">
        <v>67</v>
      </c>
      <c r="F383" s="9" t="s">
        <v>58</v>
      </c>
    </row>
    <row r="384" spans="1:6" x14ac:dyDescent="0.25">
      <c r="A384" s="9" t="s">
        <v>899</v>
      </c>
      <c r="B384" s="9" t="s">
        <v>22</v>
      </c>
      <c r="C384" s="9" t="s">
        <v>481</v>
      </c>
      <c r="D384" s="9" t="s">
        <v>2248</v>
      </c>
      <c r="E384" s="9" t="s">
        <v>62</v>
      </c>
      <c r="F384" s="9" t="s">
        <v>45</v>
      </c>
    </row>
    <row r="385" spans="1:6" x14ac:dyDescent="0.25">
      <c r="A385" s="9" t="s">
        <v>900</v>
      </c>
      <c r="B385" s="9" t="s">
        <v>20</v>
      </c>
      <c r="C385" s="9" t="s">
        <v>547</v>
      </c>
      <c r="D385" s="9" t="s">
        <v>2249</v>
      </c>
      <c r="E385" s="9" t="s">
        <v>63</v>
      </c>
      <c r="F385" s="9" t="s">
        <v>43</v>
      </c>
    </row>
    <row r="386" spans="1:6" x14ac:dyDescent="0.25">
      <c r="A386" s="9" t="s">
        <v>902</v>
      </c>
      <c r="B386" s="9" t="s">
        <v>18</v>
      </c>
      <c r="C386" s="9" t="s">
        <v>754</v>
      </c>
      <c r="D386" s="9" t="s">
        <v>2249</v>
      </c>
      <c r="E386" s="9" t="s">
        <v>66</v>
      </c>
      <c r="F386" s="9" t="s">
        <v>55</v>
      </c>
    </row>
    <row r="387" spans="1:6" x14ac:dyDescent="0.25">
      <c r="A387" s="9" t="s">
        <v>903</v>
      </c>
      <c r="B387" s="9" t="s">
        <v>22</v>
      </c>
      <c r="C387" s="9" t="s">
        <v>267</v>
      </c>
      <c r="D387" s="9" t="s">
        <v>2250</v>
      </c>
      <c r="E387" s="9" t="s">
        <v>66</v>
      </c>
      <c r="F387" s="9" t="s">
        <v>58</v>
      </c>
    </row>
    <row r="388" spans="1:6" x14ac:dyDescent="0.25">
      <c r="A388" s="9" t="s">
        <v>905</v>
      </c>
      <c r="B388" s="9" t="s">
        <v>16</v>
      </c>
      <c r="C388" s="9" t="s">
        <v>160</v>
      </c>
      <c r="D388" s="9" t="s">
        <v>2251</v>
      </c>
      <c r="E388" s="9" t="s">
        <v>67</v>
      </c>
      <c r="F388" s="9" t="s">
        <v>49</v>
      </c>
    </row>
    <row r="389" spans="1:6" x14ac:dyDescent="0.25">
      <c r="A389" s="9" t="s">
        <v>907</v>
      </c>
      <c r="B389" s="9" t="s">
        <v>24</v>
      </c>
      <c r="C389" s="9" t="s">
        <v>254</v>
      </c>
      <c r="D389" s="9" t="s">
        <v>2252</v>
      </c>
      <c r="E389" s="9" t="s">
        <v>65</v>
      </c>
      <c r="F389" s="9" t="s">
        <v>45</v>
      </c>
    </row>
    <row r="390" spans="1:6" x14ac:dyDescent="0.25">
      <c r="A390" s="9" t="s">
        <v>909</v>
      </c>
      <c r="B390" s="9" t="s">
        <v>20</v>
      </c>
      <c r="C390" s="9" t="s">
        <v>530</v>
      </c>
      <c r="D390" s="9" t="s">
        <v>2253</v>
      </c>
      <c r="E390" s="9" t="s">
        <v>63</v>
      </c>
      <c r="F390" s="9" t="s">
        <v>61</v>
      </c>
    </row>
    <row r="391" spans="1:6" x14ac:dyDescent="0.25">
      <c r="A391" s="9" t="s">
        <v>911</v>
      </c>
      <c r="B391" s="9" t="s">
        <v>18</v>
      </c>
      <c r="C391" s="9" t="s">
        <v>470</v>
      </c>
      <c r="D391" s="9" t="s">
        <v>2254</v>
      </c>
      <c r="E391" s="9" t="s">
        <v>64</v>
      </c>
      <c r="F391" s="9" t="s">
        <v>51</v>
      </c>
    </row>
    <row r="392" spans="1:6" x14ac:dyDescent="0.25">
      <c r="A392" s="9" t="s">
        <v>913</v>
      </c>
      <c r="B392" s="9" t="s">
        <v>14</v>
      </c>
      <c r="C392" s="9" t="s">
        <v>914</v>
      </c>
      <c r="D392" s="9" t="s">
        <v>2255</v>
      </c>
      <c r="E392" s="9" t="s">
        <v>62</v>
      </c>
      <c r="F392" s="9" t="s">
        <v>47</v>
      </c>
    </row>
    <row r="393" spans="1:6" x14ac:dyDescent="0.25">
      <c r="A393" s="9" t="s">
        <v>916</v>
      </c>
      <c r="B393" s="9" t="s">
        <v>16</v>
      </c>
      <c r="C393" s="9" t="s">
        <v>214</v>
      </c>
      <c r="D393" s="9" t="s">
        <v>2255</v>
      </c>
      <c r="E393" s="9" t="s">
        <v>67</v>
      </c>
      <c r="F393" s="9" t="s">
        <v>61</v>
      </c>
    </row>
    <row r="394" spans="1:6" x14ac:dyDescent="0.25">
      <c r="A394" s="9" t="s">
        <v>917</v>
      </c>
      <c r="B394" s="9" t="s">
        <v>24</v>
      </c>
      <c r="C394" s="9" t="s">
        <v>489</v>
      </c>
      <c r="D394" s="9" t="s">
        <v>2256</v>
      </c>
      <c r="E394" s="9" t="s">
        <v>66</v>
      </c>
      <c r="F394" s="9" t="s">
        <v>45</v>
      </c>
    </row>
    <row r="395" spans="1:6" x14ac:dyDescent="0.25">
      <c r="A395" s="9" t="s">
        <v>919</v>
      </c>
      <c r="B395" s="9" t="s">
        <v>22</v>
      </c>
      <c r="C395" s="9" t="s">
        <v>920</v>
      </c>
      <c r="D395" s="9" t="s">
        <v>2256</v>
      </c>
      <c r="E395" s="9" t="s">
        <v>64</v>
      </c>
      <c r="F395" s="9" t="s">
        <v>53</v>
      </c>
    </row>
    <row r="396" spans="1:6" x14ac:dyDescent="0.25">
      <c r="A396" s="9" t="s">
        <v>921</v>
      </c>
      <c r="B396" s="9" t="s">
        <v>12</v>
      </c>
      <c r="C396" s="9" t="s">
        <v>922</v>
      </c>
      <c r="D396" s="9" t="s">
        <v>2257</v>
      </c>
      <c r="E396" s="9" t="s">
        <v>62</v>
      </c>
      <c r="F396" s="9" t="s">
        <v>47</v>
      </c>
    </row>
    <row r="397" spans="1:6" x14ac:dyDescent="0.25">
      <c r="A397" s="9" t="s">
        <v>924</v>
      </c>
      <c r="B397" s="9" t="s">
        <v>24</v>
      </c>
      <c r="C397" s="9" t="s">
        <v>925</v>
      </c>
      <c r="D397" s="9" t="s">
        <v>2258</v>
      </c>
      <c r="E397" s="9" t="s">
        <v>66</v>
      </c>
      <c r="F397" s="9" t="s">
        <v>43</v>
      </c>
    </row>
    <row r="398" spans="1:6" x14ac:dyDescent="0.25">
      <c r="A398" s="9" t="s">
        <v>927</v>
      </c>
      <c r="B398" s="9" t="s">
        <v>20</v>
      </c>
      <c r="C398" s="9" t="s">
        <v>922</v>
      </c>
      <c r="D398" s="9" t="s">
        <v>2258</v>
      </c>
      <c r="E398" s="9" t="s">
        <v>63</v>
      </c>
      <c r="F398" s="9" t="s">
        <v>51</v>
      </c>
    </row>
    <row r="399" spans="1:6" x14ac:dyDescent="0.25">
      <c r="A399" s="9" t="s">
        <v>928</v>
      </c>
      <c r="B399" s="9" t="s">
        <v>18</v>
      </c>
      <c r="C399" s="9" t="s">
        <v>740</v>
      </c>
      <c r="D399" s="9" t="s">
        <v>2259</v>
      </c>
      <c r="E399" s="9" t="s">
        <v>62</v>
      </c>
      <c r="F399" s="9" t="s">
        <v>61</v>
      </c>
    </row>
    <row r="400" spans="1:6" x14ac:dyDescent="0.25">
      <c r="A400" s="9" t="s">
        <v>930</v>
      </c>
      <c r="B400" s="9" t="s">
        <v>16</v>
      </c>
      <c r="C400" s="9" t="s">
        <v>931</v>
      </c>
      <c r="D400" s="9" t="s">
        <v>2260</v>
      </c>
      <c r="E400" s="9" t="s">
        <v>64</v>
      </c>
      <c r="F400" s="9" t="s">
        <v>58</v>
      </c>
    </row>
    <row r="401" spans="1:6" x14ac:dyDescent="0.25">
      <c r="A401" s="9" t="s">
        <v>933</v>
      </c>
      <c r="B401" s="9" t="s">
        <v>20</v>
      </c>
      <c r="C401" s="9" t="s">
        <v>539</v>
      </c>
      <c r="D401" s="9" t="s">
        <v>2261</v>
      </c>
      <c r="E401" s="9" t="s">
        <v>65</v>
      </c>
      <c r="F401" s="9" t="s">
        <v>55</v>
      </c>
    </row>
    <row r="402" spans="1:6" x14ac:dyDescent="0.25">
      <c r="A402" s="9" t="s">
        <v>935</v>
      </c>
      <c r="B402" s="9" t="s">
        <v>12</v>
      </c>
      <c r="C402" s="9" t="s">
        <v>284</v>
      </c>
      <c r="D402" s="9" t="s">
        <v>2262</v>
      </c>
      <c r="E402" s="9" t="s">
        <v>67</v>
      </c>
      <c r="F402" s="9" t="s">
        <v>58</v>
      </c>
    </row>
    <row r="403" spans="1:6" x14ac:dyDescent="0.25">
      <c r="A403" s="9" t="s">
        <v>937</v>
      </c>
      <c r="B403" s="9" t="s">
        <v>12</v>
      </c>
      <c r="C403" s="9" t="s">
        <v>649</v>
      </c>
      <c r="D403" s="9" t="s">
        <v>2263</v>
      </c>
      <c r="E403" s="9" t="s">
        <v>66</v>
      </c>
      <c r="F403" s="9" t="s">
        <v>61</v>
      </c>
    </row>
    <row r="404" spans="1:6" x14ac:dyDescent="0.25">
      <c r="A404" s="9" t="s">
        <v>939</v>
      </c>
      <c r="B404" s="9" t="s">
        <v>12</v>
      </c>
      <c r="C404" s="9" t="s">
        <v>443</v>
      </c>
      <c r="D404" s="9" t="s">
        <v>2264</v>
      </c>
      <c r="E404" s="9" t="s">
        <v>67</v>
      </c>
      <c r="F404" s="9" t="s">
        <v>58</v>
      </c>
    </row>
    <row r="405" spans="1:6" x14ac:dyDescent="0.25">
      <c r="A405" s="9" t="s">
        <v>941</v>
      </c>
      <c r="B405" s="9" t="s">
        <v>18</v>
      </c>
      <c r="C405" s="9" t="s">
        <v>481</v>
      </c>
      <c r="D405" s="9" t="s">
        <v>2265</v>
      </c>
      <c r="E405" s="9" t="s">
        <v>66</v>
      </c>
      <c r="F405" s="9" t="s">
        <v>45</v>
      </c>
    </row>
    <row r="406" spans="1:6" x14ac:dyDescent="0.25">
      <c r="A406" s="9" t="s">
        <v>943</v>
      </c>
      <c r="B406" s="9" t="s">
        <v>20</v>
      </c>
      <c r="C406" s="9" t="s">
        <v>150</v>
      </c>
      <c r="D406" s="9" t="s">
        <v>2265</v>
      </c>
      <c r="E406" s="9" t="s">
        <v>66</v>
      </c>
      <c r="F406" s="9" t="s">
        <v>49</v>
      </c>
    </row>
    <row r="407" spans="1:6" x14ac:dyDescent="0.25">
      <c r="A407" s="9" t="s">
        <v>944</v>
      </c>
      <c r="B407" s="9" t="s">
        <v>24</v>
      </c>
      <c r="C407" s="9" t="s">
        <v>100</v>
      </c>
      <c r="D407" s="9" t="s">
        <v>2266</v>
      </c>
      <c r="E407" s="9" t="s">
        <v>65</v>
      </c>
      <c r="F407" s="9" t="s">
        <v>51</v>
      </c>
    </row>
    <row r="408" spans="1:6" x14ac:dyDescent="0.25">
      <c r="A408" s="9" t="s">
        <v>946</v>
      </c>
      <c r="B408" s="9" t="s">
        <v>24</v>
      </c>
      <c r="C408" s="9" t="s">
        <v>925</v>
      </c>
      <c r="D408" s="9" t="s">
        <v>2267</v>
      </c>
      <c r="E408" s="9" t="s">
        <v>65</v>
      </c>
      <c r="F408" s="9" t="s">
        <v>49</v>
      </c>
    </row>
    <row r="409" spans="1:6" x14ac:dyDescent="0.25">
      <c r="A409" s="9" t="s">
        <v>948</v>
      </c>
      <c r="B409" s="9" t="s">
        <v>16</v>
      </c>
      <c r="C409" s="9" t="s">
        <v>142</v>
      </c>
      <c r="D409" s="9" t="s">
        <v>2268</v>
      </c>
      <c r="E409" s="9" t="s">
        <v>63</v>
      </c>
      <c r="F409" s="9" t="s">
        <v>58</v>
      </c>
    </row>
    <row r="410" spans="1:6" x14ac:dyDescent="0.25">
      <c r="A410" s="9" t="s">
        <v>950</v>
      </c>
      <c r="B410" s="9" t="s">
        <v>12</v>
      </c>
      <c r="C410" s="9" t="s">
        <v>199</v>
      </c>
      <c r="D410" s="9" t="s">
        <v>2269</v>
      </c>
      <c r="E410" s="9" t="s">
        <v>62</v>
      </c>
      <c r="F410" s="9" t="s">
        <v>53</v>
      </c>
    </row>
    <row r="411" spans="1:6" x14ac:dyDescent="0.25">
      <c r="A411" s="9" t="s">
        <v>952</v>
      </c>
      <c r="B411" s="9" t="s">
        <v>12</v>
      </c>
      <c r="C411" s="9" t="s">
        <v>494</v>
      </c>
      <c r="D411" s="9" t="s">
        <v>2269</v>
      </c>
      <c r="E411" s="9" t="s">
        <v>66</v>
      </c>
      <c r="F411" s="9" t="s">
        <v>43</v>
      </c>
    </row>
    <row r="412" spans="1:6" x14ac:dyDescent="0.25">
      <c r="A412" s="9" t="s">
        <v>953</v>
      </c>
      <c r="B412" s="9" t="s">
        <v>22</v>
      </c>
      <c r="C412" s="9" t="s">
        <v>73</v>
      </c>
      <c r="D412" s="9" t="s">
        <v>2269</v>
      </c>
      <c r="E412" s="9" t="s">
        <v>64</v>
      </c>
      <c r="F412" s="9" t="s">
        <v>43</v>
      </c>
    </row>
    <row r="413" spans="1:6" x14ac:dyDescent="0.25">
      <c r="A413" s="9" t="s">
        <v>954</v>
      </c>
      <c r="B413" s="9" t="s">
        <v>24</v>
      </c>
      <c r="C413" s="9" t="s">
        <v>155</v>
      </c>
      <c r="D413" s="9" t="s">
        <v>2269</v>
      </c>
      <c r="E413" s="9" t="s">
        <v>66</v>
      </c>
      <c r="F413" s="9" t="s">
        <v>58</v>
      </c>
    </row>
    <row r="414" spans="1:6" x14ac:dyDescent="0.25">
      <c r="A414" s="9" t="s">
        <v>955</v>
      </c>
      <c r="B414" s="9" t="s">
        <v>14</v>
      </c>
      <c r="C414" s="9" t="s">
        <v>286</v>
      </c>
      <c r="D414" s="9" t="s">
        <v>2270</v>
      </c>
      <c r="E414" s="9" t="s">
        <v>67</v>
      </c>
      <c r="F414" s="9" t="s">
        <v>47</v>
      </c>
    </row>
    <row r="415" spans="1:6" x14ac:dyDescent="0.25">
      <c r="A415" s="9" t="s">
        <v>957</v>
      </c>
      <c r="B415" s="9" t="s">
        <v>24</v>
      </c>
      <c r="C415" s="9" t="s">
        <v>958</v>
      </c>
      <c r="D415" s="9" t="s">
        <v>2271</v>
      </c>
      <c r="E415" s="9" t="s">
        <v>67</v>
      </c>
      <c r="F415" s="9" t="s">
        <v>58</v>
      </c>
    </row>
    <row r="416" spans="1:6" x14ac:dyDescent="0.25">
      <c r="A416" s="9" t="s">
        <v>960</v>
      </c>
      <c r="B416" s="9" t="s">
        <v>22</v>
      </c>
      <c r="C416" s="9" t="s">
        <v>961</v>
      </c>
      <c r="D416" s="9" t="s">
        <v>2272</v>
      </c>
      <c r="E416" s="9" t="s">
        <v>63</v>
      </c>
      <c r="F416" s="9" t="s">
        <v>45</v>
      </c>
    </row>
    <row r="417" spans="1:6" x14ac:dyDescent="0.25">
      <c r="A417" s="9" t="s">
        <v>963</v>
      </c>
      <c r="B417" s="9" t="s">
        <v>14</v>
      </c>
      <c r="C417" s="9" t="s">
        <v>964</v>
      </c>
      <c r="D417" s="9" t="s">
        <v>2273</v>
      </c>
      <c r="E417" s="9" t="s">
        <v>67</v>
      </c>
      <c r="F417" s="9" t="s">
        <v>43</v>
      </c>
    </row>
    <row r="418" spans="1:6" x14ac:dyDescent="0.25">
      <c r="A418" s="9" t="s">
        <v>966</v>
      </c>
      <c r="B418" s="9" t="s">
        <v>12</v>
      </c>
      <c r="C418" s="9" t="s">
        <v>207</v>
      </c>
      <c r="D418" s="9" t="s">
        <v>2274</v>
      </c>
      <c r="E418" s="9" t="s">
        <v>67</v>
      </c>
      <c r="F418" s="9" t="s">
        <v>43</v>
      </c>
    </row>
    <row r="419" spans="1:6" x14ac:dyDescent="0.25">
      <c r="A419" s="9" t="s">
        <v>968</v>
      </c>
      <c r="B419" s="9" t="s">
        <v>16</v>
      </c>
      <c r="C419" s="9" t="s">
        <v>82</v>
      </c>
      <c r="D419" s="9" t="s">
        <v>2275</v>
      </c>
      <c r="E419" s="9" t="s">
        <v>63</v>
      </c>
      <c r="F419" s="9" t="s">
        <v>55</v>
      </c>
    </row>
    <row r="420" spans="1:6" x14ac:dyDescent="0.25">
      <c r="A420" s="9" t="s">
        <v>970</v>
      </c>
      <c r="B420" s="9" t="s">
        <v>12</v>
      </c>
      <c r="C420" s="9" t="s">
        <v>303</v>
      </c>
      <c r="D420" s="9" t="s">
        <v>2276</v>
      </c>
      <c r="E420" s="9" t="s">
        <v>65</v>
      </c>
      <c r="F420" s="9" t="s">
        <v>45</v>
      </c>
    </row>
    <row r="421" spans="1:6" x14ac:dyDescent="0.25">
      <c r="A421" s="9" t="s">
        <v>972</v>
      </c>
      <c r="B421" s="9" t="s">
        <v>12</v>
      </c>
      <c r="C421" s="9" t="s">
        <v>145</v>
      </c>
      <c r="D421" s="9" t="s">
        <v>2277</v>
      </c>
      <c r="E421" s="9" t="s">
        <v>67</v>
      </c>
      <c r="F421" s="9" t="s">
        <v>53</v>
      </c>
    </row>
    <row r="422" spans="1:6" x14ac:dyDescent="0.25">
      <c r="A422" s="9" t="s">
        <v>974</v>
      </c>
      <c r="B422" s="9" t="s">
        <v>20</v>
      </c>
      <c r="C422" s="9" t="s">
        <v>688</v>
      </c>
      <c r="D422" s="9" t="s">
        <v>2278</v>
      </c>
      <c r="E422" s="9" t="s">
        <v>66</v>
      </c>
      <c r="F422" s="9" t="s">
        <v>45</v>
      </c>
    </row>
    <row r="423" spans="1:6" x14ac:dyDescent="0.25">
      <c r="A423" s="9" t="s">
        <v>976</v>
      </c>
      <c r="B423" s="9" t="s">
        <v>24</v>
      </c>
      <c r="C423" s="9" t="s">
        <v>289</v>
      </c>
      <c r="D423" s="9" t="s">
        <v>2278</v>
      </c>
      <c r="E423" s="9" t="s">
        <v>63</v>
      </c>
      <c r="F423" s="9" t="s">
        <v>58</v>
      </c>
    </row>
    <row r="424" spans="1:6" x14ac:dyDescent="0.25">
      <c r="A424" s="9" t="s">
        <v>977</v>
      </c>
      <c r="B424" s="9" t="s">
        <v>20</v>
      </c>
      <c r="C424" s="9" t="s">
        <v>470</v>
      </c>
      <c r="D424" s="9" t="s">
        <v>2278</v>
      </c>
      <c r="E424" s="9" t="s">
        <v>66</v>
      </c>
      <c r="F424" s="9" t="s">
        <v>61</v>
      </c>
    </row>
    <row r="425" spans="1:6" x14ac:dyDescent="0.25">
      <c r="A425" s="9" t="s">
        <v>978</v>
      </c>
      <c r="B425" s="9" t="s">
        <v>16</v>
      </c>
      <c r="C425" s="9" t="s">
        <v>979</v>
      </c>
      <c r="D425" s="9" t="s">
        <v>2278</v>
      </c>
      <c r="E425" s="9" t="s">
        <v>67</v>
      </c>
      <c r="F425" s="9" t="s">
        <v>49</v>
      </c>
    </row>
    <row r="426" spans="1:6" x14ac:dyDescent="0.25">
      <c r="A426" s="9" t="s">
        <v>980</v>
      </c>
      <c r="B426" s="9" t="s">
        <v>24</v>
      </c>
      <c r="C426" s="9" t="s">
        <v>981</v>
      </c>
      <c r="D426" s="9" t="s">
        <v>2279</v>
      </c>
      <c r="E426" s="9" t="s">
        <v>66</v>
      </c>
      <c r="F426" s="9" t="s">
        <v>43</v>
      </c>
    </row>
    <row r="427" spans="1:6" x14ac:dyDescent="0.25">
      <c r="A427" s="9" t="s">
        <v>983</v>
      </c>
      <c r="B427" s="9" t="s">
        <v>16</v>
      </c>
      <c r="C427" s="9" t="s">
        <v>382</v>
      </c>
      <c r="D427" s="9" t="s">
        <v>2279</v>
      </c>
      <c r="E427" s="9" t="s">
        <v>64</v>
      </c>
      <c r="F427" s="9" t="s">
        <v>49</v>
      </c>
    </row>
    <row r="428" spans="1:6" x14ac:dyDescent="0.25">
      <c r="A428" s="9" t="s">
        <v>984</v>
      </c>
      <c r="B428" s="9" t="s">
        <v>12</v>
      </c>
      <c r="C428" s="9" t="s">
        <v>874</v>
      </c>
      <c r="D428" s="9" t="s">
        <v>2279</v>
      </c>
      <c r="E428" s="9" t="s">
        <v>66</v>
      </c>
      <c r="F428" s="9" t="s">
        <v>53</v>
      </c>
    </row>
    <row r="429" spans="1:6" x14ac:dyDescent="0.25">
      <c r="A429" s="9" t="s">
        <v>985</v>
      </c>
      <c r="B429" s="9" t="s">
        <v>14</v>
      </c>
      <c r="C429" s="9" t="s">
        <v>986</v>
      </c>
      <c r="D429" s="9" t="s">
        <v>2280</v>
      </c>
      <c r="E429" s="9" t="s">
        <v>64</v>
      </c>
      <c r="F429" s="9" t="s">
        <v>51</v>
      </c>
    </row>
    <row r="430" spans="1:6" x14ac:dyDescent="0.25">
      <c r="A430" s="9" t="s">
        <v>988</v>
      </c>
      <c r="B430" s="9" t="s">
        <v>14</v>
      </c>
      <c r="C430" s="9" t="s">
        <v>989</v>
      </c>
      <c r="D430" s="9" t="s">
        <v>2281</v>
      </c>
      <c r="E430" s="9" t="s">
        <v>62</v>
      </c>
      <c r="F430" s="9" t="s">
        <v>58</v>
      </c>
    </row>
    <row r="431" spans="1:6" x14ac:dyDescent="0.25">
      <c r="A431" s="9" t="s">
        <v>991</v>
      </c>
      <c r="B431" s="9" t="s">
        <v>18</v>
      </c>
      <c r="C431" s="9" t="s">
        <v>730</v>
      </c>
      <c r="D431" s="9" t="s">
        <v>2282</v>
      </c>
      <c r="E431" s="9" t="s">
        <v>64</v>
      </c>
      <c r="F431" s="9" t="s">
        <v>61</v>
      </c>
    </row>
    <row r="432" spans="1:6" x14ac:dyDescent="0.25">
      <c r="A432" s="9" t="s">
        <v>993</v>
      </c>
      <c r="B432" s="9" t="s">
        <v>16</v>
      </c>
      <c r="C432" s="9" t="s">
        <v>765</v>
      </c>
      <c r="D432" s="9" t="s">
        <v>2283</v>
      </c>
      <c r="E432" s="9" t="s">
        <v>64</v>
      </c>
      <c r="F432" s="9" t="s">
        <v>58</v>
      </c>
    </row>
    <row r="433" spans="1:6" x14ac:dyDescent="0.25">
      <c r="A433" s="9" t="s">
        <v>995</v>
      </c>
      <c r="B433" s="9" t="s">
        <v>20</v>
      </c>
      <c r="C433" s="9" t="s">
        <v>79</v>
      </c>
      <c r="D433" s="9" t="s">
        <v>2284</v>
      </c>
      <c r="E433" s="9" t="s">
        <v>62</v>
      </c>
      <c r="F433" s="9" t="s">
        <v>55</v>
      </c>
    </row>
    <row r="434" spans="1:6" x14ac:dyDescent="0.25">
      <c r="A434" s="9" t="s">
        <v>997</v>
      </c>
      <c r="B434" s="9" t="s">
        <v>16</v>
      </c>
      <c r="C434" s="9" t="s">
        <v>694</v>
      </c>
      <c r="D434" s="9" t="s">
        <v>2285</v>
      </c>
      <c r="E434" s="9" t="s">
        <v>67</v>
      </c>
      <c r="F434" s="9" t="s">
        <v>61</v>
      </c>
    </row>
    <row r="435" spans="1:6" x14ac:dyDescent="0.25">
      <c r="A435" s="9" t="s">
        <v>999</v>
      </c>
      <c r="B435" s="9" t="s">
        <v>14</v>
      </c>
      <c r="C435" s="9" t="s">
        <v>88</v>
      </c>
      <c r="D435" s="9" t="s">
        <v>2286</v>
      </c>
      <c r="E435" s="9" t="s">
        <v>66</v>
      </c>
      <c r="F435" s="9" t="s">
        <v>49</v>
      </c>
    </row>
    <row r="436" spans="1:6" x14ac:dyDescent="0.25">
      <c r="A436" s="9" t="s">
        <v>1001</v>
      </c>
      <c r="B436" s="9" t="s">
        <v>16</v>
      </c>
      <c r="C436" s="9" t="s">
        <v>530</v>
      </c>
      <c r="D436" s="9" t="s">
        <v>2286</v>
      </c>
      <c r="E436" s="9" t="s">
        <v>67</v>
      </c>
      <c r="F436" s="9" t="s">
        <v>55</v>
      </c>
    </row>
    <row r="437" spans="1:6" x14ac:dyDescent="0.25">
      <c r="A437" s="9" t="s">
        <v>1002</v>
      </c>
      <c r="B437" s="9" t="s">
        <v>14</v>
      </c>
      <c r="C437" s="9" t="s">
        <v>84</v>
      </c>
      <c r="D437" s="9" t="s">
        <v>2286</v>
      </c>
      <c r="E437" s="9" t="s">
        <v>64</v>
      </c>
      <c r="F437" s="9" t="s">
        <v>47</v>
      </c>
    </row>
    <row r="438" spans="1:6" x14ac:dyDescent="0.25">
      <c r="A438" s="9" t="s">
        <v>1003</v>
      </c>
      <c r="B438" s="9" t="s">
        <v>16</v>
      </c>
      <c r="C438" s="9" t="s">
        <v>177</v>
      </c>
      <c r="D438" s="9" t="s">
        <v>2287</v>
      </c>
      <c r="E438" s="9" t="s">
        <v>66</v>
      </c>
      <c r="F438" s="9" t="s">
        <v>51</v>
      </c>
    </row>
    <row r="439" spans="1:6" x14ac:dyDescent="0.25">
      <c r="A439" s="9" t="s">
        <v>1005</v>
      </c>
      <c r="B439" s="9" t="s">
        <v>14</v>
      </c>
      <c r="C439" s="9" t="s">
        <v>275</v>
      </c>
      <c r="D439" s="9" t="s">
        <v>2288</v>
      </c>
      <c r="E439" s="9" t="s">
        <v>62</v>
      </c>
      <c r="F439" s="9" t="s">
        <v>43</v>
      </c>
    </row>
    <row r="440" spans="1:6" x14ac:dyDescent="0.25">
      <c r="A440" s="9" t="s">
        <v>1007</v>
      </c>
      <c r="B440" s="9" t="s">
        <v>20</v>
      </c>
      <c r="C440" s="9" t="s">
        <v>77</v>
      </c>
      <c r="D440" s="9" t="s">
        <v>2289</v>
      </c>
      <c r="E440" s="9" t="s">
        <v>65</v>
      </c>
      <c r="F440" s="9" t="s">
        <v>61</v>
      </c>
    </row>
    <row r="441" spans="1:6" x14ac:dyDescent="0.25">
      <c r="A441" s="9" t="s">
        <v>1009</v>
      </c>
      <c r="B441" s="9" t="s">
        <v>16</v>
      </c>
      <c r="C441" s="9" t="s">
        <v>589</v>
      </c>
      <c r="D441" s="9" t="s">
        <v>2289</v>
      </c>
      <c r="E441" s="9" t="s">
        <v>63</v>
      </c>
      <c r="F441" s="9" t="s">
        <v>51</v>
      </c>
    </row>
    <row r="442" spans="1:6" x14ac:dyDescent="0.25">
      <c r="A442" s="9" t="s">
        <v>1010</v>
      </c>
      <c r="B442" s="9" t="s">
        <v>22</v>
      </c>
      <c r="C442" s="9" t="s">
        <v>147</v>
      </c>
      <c r="D442" s="9" t="s">
        <v>2290</v>
      </c>
      <c r="E442" s="9" t="s">
        <v>63</v>
      </c>
      <c r="F442" s="9" t="s">
        <v>51</v>
      </c>
    </row>
    <row r="443" spans="1:6" x14ac:dyDescent="0.25">
      <c r="A443" s="9" t="s">
        <v>1012</v>
      </c>
      <c r="B443" s="9" t="s">
        <v>20</v>
      </c>
      <c r="C443" s="9" t="s">
        <v>351</v>
      </c>
      <c r="D443" s="9" t="s">
        <v>2290</v>
      </c>
      <c r="E443" s="9" t="s">
        <v>63</v>
      </c>
      <c r="F443" s="9" t="s">
        <v>58</v>
      </c>
    </row>
    <row r="444" spans="1:6" x14ac:dyDescent="0.25">
      <c r="A444" s="9" t="s">
        <v>1013</v>
      </c>
      <c r="B444" s="9" t="s">
        <v>12</v>
      </c>
      <c r="C444" s="9" t="s">
        <v>413</v>
      </c>
      <c r="D444" s="9" t="s">
        <v>2291</v>
      </c>
      <c r="E444" s="9" t="s">
        <v>65</v>
      </c>
      <c r="F444" s="9" t="s">
        <v>53</v>
      </c>
    </row>
    <row r="445" spans="1:6" x14ac:dyDescent="0.25">
      <c r="A445" s="9" t="s">
        <v>1015</v>
      </c>
      <c r="B445" s="9" t="s">
        <v>16</v>
      </c>
      <c r="C445" s="9" t="s">
        <v>443</v>
      </c>
      <c r="D445" s="9" t="s">
        <v>2292</v>
      </c>
      <c r="E445" s="9" t="s">
        <v>65</v>
      </c>
      <c r="F445" s="9" t="s">
        <v>43</v>
      </c>
    </row>
    <row r="446" spans="1:6" x14ac:dyDescent="0.25">
      <c r="A446" s="9" t="s">
        <v>1017</v>
      </c>
      <c r="B446" s="9" t="s">
        <v>22</v>
      </c>
      <c r="C446" s="9" t="s">
        <v>122</v>
      </c>
      <c r="D446" s="9" t="s">
        <v>2293</v>
      </c>
      <c r="E446" s="9" t="s">
        <v>63</v>
      </c>
      <c r="F446" s="9" t="s">
        <v>45</v>
      </c>
    </row>
    <row r="447" spans="1:6" x14ac:dyDescent="0.25">
      <c r="A447" s="9" t="s">
        <v>1019</v>
      </c>
      <c r="B447" s="9" t="s">
        <v>16</v>
      </c>
      <c r="C447" s="9" t="s">
        <v>307</v>
      </c>
      <c r="D447" s="9" t="s">
        <v>2294</v>
      </c>
      <c r="E447" s="9" t="s">
        <v>63</v>
      </c>
      <c r="F447" s="9" t="s">
        <v>61</v>
      </c>
    </row>
    <row r="448" spans="1:6" x14ac:dyDescent="0.25">
      <c r="A448" s="9" t="s">
        <v>1021</v>
      </c>
      <c r="B448" s="9" t="s">
        <v>22</v>
      </c>
      <c r="C448" s="9" t="s">
        <v>1022</v>
      </c>
      <c r="D448" s="9" t="s">
        <v>2295</v>
      </c>
      <c r="E448" s="9" t="s">
        <v>65</v>
      </c>
      <c r="F448" s="9" t="s">
        <v>43</v>
      </c>
    </row>
    <row r="449" spans="1:6" x14ac:dyDescent="0.25">
      <c r="A449" s="9" t="s">
        <v>1024</v>
      </c>
      <c r="B449" s="9" t="s">
        <v>20</v>
      </c>
      <c r="C449" s="9" t="s">
        <v>397</v>
      </c>
      <c r="D449" s="9" t="s">
        <v>2296</v>
      </c>
      <c r="E449" s="9" t="s">
        <v>65</v>
      </c>
      <c r="F449" s="9" t="s">
        <v>55</v>
      </c>
    </row>
    <row r="450" spans="1:6" x14ac:dyDescent="0.25">
      <c r="A450" s="9" t="s">
        <v>1026</v>
      </c>
      <c r="B450" s="9" t="s">
        <v>16</v>
      </c>
      <c r="C450" s="9" t="s">
        <v>1027</v>
      </c>
      <c r="D450" s="9" t="s">
        <v>2297</v>
      </c>
      <c r="E450" s="9" t="s">
        <v>65</v>
      </c>
      <c r="F450" s="9" t="s">
        <v>55</v>
      </c>
    </row>
    <row r="451" spans="1:6" x14ac:dyDescent="0.25">
      <c r="A451" s="9" t="s">
        <v>1029</v>
      </c>
      <c r="B451" s="9" t="s">
        <v>16</v>
      </c>
      <c r="C451" s="9" t="s">
        <v>122</v>
      </c>
      <c r="D451" s="9" t="s">
        <v>2298</v>
      </c>
      <c r="E451" s="9" t="s">
        <v>62</v>
      </c>
      <c r="F451" s="9" t="s">
        <v>45</v>
      </c>
    </row>
    <row r="452" spans="1:6" x14ac:dyDescent="0.25">
      <c r="A452" s="9" t="s">
        <v>1031</v>
      </c>
      <c r="B452" s="9" t="s">
        <v>18</v>
      </c>
      <c r="C452" s="9" t="s">
        <v>1032</v>
      </c>
      <c r="D452" s="9" t="s">
        <v>2298</v>
      </c>
      <c r="E452" s="9" t="s">
        <v>67</v>
      </c>
      <c r="F452" s="9" t="s">
        <v>49</v>
      </c>
    </row>
    <row r="453" spans="1:6" x14ac:dyDescent="0.25">
      <c r="A453" s="9" t="s">
        <v>1033</v>
      </c>
      <c r="B453" s="9" t="s">
        <v>22</v>
      </c>
      <c r="C453" s="9" t="s">
        <v>1034</v>
      </c>
      <c r="D453" s="9" t="s">
        <v>2299</v>
      </c>
      <c r="E453" s="9" t="s">
        <v>62</v>
      </c>
      <c r="F453" s="9" t="s">
        <v>53</v>
      </c>
    </row>
    <row r="454" spans="1:6" x14ac:dyDescent="0.25">
      <c r="A454" s="9" t="s">
        <v>1036</v>
      </c>
      <c r="B454" s="9" t="s">
        <v>16</v>
      </c>
      <c r="C454" s="9" t="s">
        <v>95</v>
      </c>
      <c r="D454" s="9" t="s">
        <v>2300</v>
      </c>
      <c r="E454" s="9" t="s">
        <v>65</v>
      </c>
      <c r="F454" s="9" t="s">
        <v>58</v>
      </c>
    </row>
    <row r="455" spans="1:6" x14ac:dyDescent="0.25">
      <c r="A455" s="9" t="s">
        <v>1038</v>
      </c>
      <c r="B455" s="9" t="s">
        <v>14</v>
      </c>
      <c r="C455" s="9" t="s">
        <v>789</v>
      </c>
      <c r="D455" s="9" t="s">
        <v>2300</v>
      </c>
      <c r="E455" s="9" t="s">
        <v>65</v>
      </c>
      <c r="F455" s="9" t="s">
        <v>47</v>
      </c>
    </row>
    <row r="456" spans="1:6" x14ac:dyDescent="0.25">
      <c r="A456" s="9" t="s">
        <v>1039</v>
      </c>
      <c r="B456" s="9" t="s">
        <v>20</v>
      </c>
      <c r="C456" s="9" t="s">
        <v>603</v>
      </c>
      <c r="D456" s="9" t="s">
        <v>2301</v>
      </c>
      <c r="E456" s="9" t="s">
        <v>67</v>
      </c>
      <c r="F456" s="9" t="s">
        <v>55</v>
      </c>
    </row>
    <row r="457" spans="1:6" x14ac:dyDescent="0.25">
      <c r="A457" s="9" t="s">
        <v>1041</v>
      </c>
      <c r="B457" s="9" t="s">
        <v>22</v>
      </c>
      <c r="C457" s="9" t="s">
        <v>328</v>
      </c>
      <c r="D457" s="9" t="s">
        <v>2302</v>
      </c>
      <c r="E457" s="9" t="s">
        <v>62</v>
      </c>
      <c r="F457" s="9" t="s">
        <v>61</v>
      </c>
    </row>
    <row r="458" spans="1:6" x14ac:dyDescent="0.25">
      <c r="A458" s="9" t="s">
        <v>1043</v>
      </c>
      <c r="B458" s="9" t="s">
        <v>14</v>
      </c>
      <c r="C458" s="9" t="s">
        <v>434</v>
      </c>
      <c r="D458" s="9" t="s">
        <v>2303</v>
      </c>
      <c r="E458" s="9" t="s">
        <v>63</v>
      </c>
      <c r="F458" s="9" t="s">
        <v>43</v>
      </c>
    </row>
    <row r="459" spans="1:6" x14ac:dyDescent="0.25">
      <c r="A459" s="9" t="s">
        <v>1045</v>
      </c>
      <c r="B459" s="9" t="s">
        <v>16</v>
      </c>
      <c r="C459" s="9" t="s">
        <v>694</v>
      </c>
      <c r="D459" s="9" t="s">
        <v>2304</v>
      </c>
      <c r="E459" s="9" t="s">
        <v>66</v>
      </c>
      <c r="F459" s="9" t="s">
        <v>47</v>
      </c>
    </row>
    <row r="460" spans="1:6" x14ac:dyDescent="0.25">
      <c r="A460" s="9" t="s">
        <v>1047</v>
      </c>
      <c r="B460" s="9" t="s">
        <v>14</v>
      </c>
      <c r="C460" s="9" t="s">
        <v>1048</v>
      </c>
      <c r="D460" s="9" t="s">
        <v>2305</v>
      </c>
      <c r="E460" s="9" t="s">
        <v>63</v>
      </c>
      <c r="F460" s="9" t="s">
        <v>58</v>
      </c>
    </row>
    <row r="461" spans="1:6" x14ac:dyDescent="0.25">
      <c r="A461" s="9" t="s">
        <v>1050</v>
      </c>
      <c r="B461" s="9" t="s">
        <v>24</v>
      </c>
      <c r="C461" s="9" t="s">
        <v>105</v>
      </c>
      <c r="D461" s="9" t="s">
        <v>2306</v>
      </c>
      <c r="E461" s="9" t="s">
        <v>67</v>
      </c>
      <c r="F461" s="9" t="s">
        <v>49</v>
      </c>
    </row>
    <row r="462" spans="1:6" x14ac:dyDescent="0.25">
      <c r="A462" s="9" t="s">
        <v>1052</v>
      </c>
      <c r="B462" s="9" t="s">
        <v>14</v>
      </c>
      <c r="C462" s="9" t="s">
        <v>1053</v>
      </c>
      <c r="D462" s="9" t="s">
        <v>2306</v>
      </c>
      <c r="E462" s="9" t="s">
        <v>65</v>
      </c>
      <c r="F462" s="9" t="s">
        <v>49</v>
      </c>
    </row>
    <row r="463" spans="1:6" x14ac:dyDescent="0.25">
      <c r="A463" s="9" t="s">
        <v>1054</v>
      </c>
      <c r="B463" s="9" t="s">
        <v>22</v>
      </c>
      <c r="C463" s="9" t="s">
        <v>1055</v>
      </c>
      <c r="D463" s="9" t="s">
        <v>2307</v>
      </c>
      <c r="E463" s="9" t="s">
        <v>66</v>
      </c>
      <c r="F463" s="9" t="s">
        <v>58</v>
      </c>
    </row>
    <row r="464" spans="1:6" x14ac:dyDescent="0.25">
      <c r="A464" s="9" t="s">
        <v>1057</v>
      </c>
      <c r="B464" s="9" t="s">
        <v>16</v>
      </c>
      <c r="C464" s="9" t="s">
        <v>1058</v>
      </c>
      <c r="D464" s="9" t="s">
        <v>2308</v>
      </c>
      <c r="E464" s="9" t="s">
        <v>67</v>
      </c>
      <c r="F464" s="9" t="s">
        <v>45</v>
      </c>
    </row>
    <row r="465" spans="1:6" x14ac:dyDescent="0.25">
      <c r="A465" s="9" t="s">
        <v>1060</v>
      </c>
      <c r="B465" s="9" t="s">
        <v>14</v>
      </c>
      <c r="C465" s="9" t="s">
        <v>675</v>
      </c>
      <c r="D465" s="9" t="s">
        <v>2309</v>
      </c>
      <c r="E465" s="9" t="s">
        <v>62</v>
      </c>
      <c r="F465" s="9" t="s">
        <v>45</v>
      </c>
    </row>
    <row r="466" spans="1:6" x14ac:dyDescent="0.25">
      <c r="A466" s="9" t="s">
        <v>1062</v>
      </c>
      <c r="B466" s="9" t="s">
        <v>14</v>
      </c>
      <c r="C466" s="9" t="s">
        <v>400</v>
      </c>
      <c r="D466" s="9" t="s">
        <v>2309</v>
      </c>
      <c r="E466" s="9" t="s">
        <v>67</v>
      </c>
      <c r="F466" s="9" t="s">
        <v>47</v>
      </c>
    </row>
    <row r="467" spans="1:6" x14ac:dyDescent="0.25">
      <c r="A467" s="9" t="s">
        <v>1063</v>
      </c>
      <c r="B467" s="9" t="s">
        <v>24</v>
      </c>
      <c r="C467" s="9" t="s">
        <v>378</v>
      </c>
      <c r="D467" s="9" t="s">
        <v>2309</v>
      </c>
      <c r="E467" s="9" t="s">
        <v>63</v>
      </c>
      <c r="F467" s="9" t="s">
        <v>45</v>
      </c>
    </row>
    <row r="468" spans="1:6" x14ac:dyDescent="0.25">
      <c r="A468" s="9" t="s">
        <v>1064</v>
      </c>
      <c r="B468" s="9" t="s">
        <v>20</v>
      </c>
      <c r="C468" s="9" t="s">
        <v>363</v>
      </c>
      <c r="D468" s="9" t="s">
        <v>2310</v>
      </c>
      <c r="E468" s="9" t="s">
        <v>63</v>
      </c>
      <c r="F468" s="9" t="s">
        <v>61</v>
      </c>
    </row>
    <row r="469" spans="1:6" x14ac:dyDescent="0.25">
      <c r="A469" s="9" t="s">
        <v>1066</v>
      </c>
      <c r="B469" s="9" t="s">
        <v>20</v>
      </c>
      <c r="C469" s="9" t="s">
        <v>815</v>
      </c>
      <c r="D469" s="9" t="s">
        <v>2311</v>
      </c>
      <c r="E469" s="9" t="s">
        <v>62</v>
      </c>
      <c r="F469" s="9" t="s">
        <v>53</v>
      </c>
    </row>
    <row r="470" spans="1:6" x14ac:dyDescent="0.25">
      <c r="A470" s="9" t="s">
        <v>1068</v>
      </c>
      <c r="B470" s="9" t="s">
        <v>22</v>
      </c>
      <c r="C470" s="9" t="s">
        <v>105</v>
      </c>
      <c r="D470" s="9" t="s">
        <v>2312</v>
      </c>
      <c r="E470" s="9" t="s">
        <v>66</v>
      </c>
      <c r="F470" s="9" t="s">
        <v>53</v>
      </c>
    </row>
    <row r="471" spans="1:6" x14ac:dyDescent="0.25">
      <c r="A471" s="9" t="s">
        <v>1070</v>
      </c>
      <c r="B471" s="9" t="s">
        <v>18</v>
      </c>
      <c r="C471" s="9" t="s">
        <v>340</v>
      </c>
      <c r="D471" s="9" t="s">
        <v>2313</v>
      </c>
      <c r="E471" s="9" t="s">
        <v>65</v>
      </c>
      <c r="F471" s="9" t="s">
        <v>61</v>
      </c>
    </row>
    <row r="472" spans="1:6" x14ac:dyDescent="0.25">
      <c r="A472" s="9" t="s">
        <v>1072</v>
      </c>
      <c r="B472" s="9" t="s">
        <v>24</v>
      </c>
      <c r="C472" s="9" t="s">
        <v>1073</v>
      </c>
      <c r="D472" s="9" t="s">
        <v>2313</v>
      </c>
      <c r="E472" s="9" t="s">
        <v>62</v>
      </c>
      <c r="F472" s="9" t="s">
        <v>49</v>
      </c>
    </row>
    <row r="473" spans="1:6" x14ac:dyDescent="0.25">
      <c r="A473" s="9" t="s">
        <v>1074</v>
      </c>
      <c r="B473" s="9" t="s">
        <v>20</v>
      </c>
      <c r="C473" s="9" t="s">
        <v>81</v>
      </c>
      <c r="D473" s="9" t="s">
        <v>2314</v>
      </c>
      <c r="E473" s="9" t="s">
        <v>65</v>
      </c>
      <c r="F473" s="9" t="s">
        <v>45</v>
      </c>
    </row>
    <row r="474" spans="1:6" x14ac:dyDescent="0.25">
      <c r="A474" s="9" t="s">
        <v>1076</v>
      </c>
      <c r="B474" s="9" t="s">
        <v>18</v>
      </c>
      <c r="C474" s="9" t="s">
        <v>1077</v>
      </c>
      <c r="D474" s="9" t="s">
        <v>2314</v>
      </c>
      <c r="E474" s="9" t="s">
        <v>64</v>
      </c>
      <c r="F474" s="9" t="s">
        <v>47</v>
      </c>
    </row>
    <row r="475" spans="1:6" x14ac:dyDescent="0.25">
      <c r="A475" s="9" t="s">
        <v>1078</v>
      </c>
      <c r="B475" s="9" t="s">
        <v>14</v>
      </c>
      <c r="C475" s="9" t="s">
        <v>806</v>
      </c>
      <c r="D475" s="9" t="s">
        <v>2315</v>
      </c>
      <c r="E475" s="9" t="s">
        <v>63</v>
      </c>
      <c r="F475" s="9" t="s">
        <v>53</v>
      </c>
    </row>
    <row r="476" spans="1:6" x14ac:dyDescent="0.25">
      <c r="A476" s="9" t="s">
        <v>1080</v>
      </c>
      <c r="B476" s="9" t="s">
        <v>16</v>
      </c>
      <c r="C476" s="9" t="s">
        <v>86</v>
      </c>
      <c r="D476" s="9" t="s">
        <v>2315</v>
      </c>
      <c r="E476" s="9" t="s">
        <v>64</v>
      </c>
      <c r="F476" s="9" t="s">
        <v>43</v>
      </c>
    </row>
    <row r="477" spans="1:6" x14ac:dyDescent="0.25">
      <c r="A477" s="9" t="s">
        <v>1081</v>
      </c>
      <c r="B477" s="9" t="s">
        <v>18</v>
      </c>
      <c r="C477" s="9" t="s">
        <v>722</v>
      </c>
      <c r="D477" s="9" t="s">
        <v>2315</v>
      </c>
      <c r="E477" s="9" t="s">
        <v>66</v>
      </c>
      <c r="F477" s="9" t="s">
        <v>51</v>
      </c>
    </row>
    <row r="478" spans="1:6" x14ac:dyDescent="0.25">
      <c r="A478" s="9" t="s">
        <v>1082</v>
      </c>
      <c r="B478" s="9" t="s">
        <v>18</v>
      </c>
      <c r="C478" s="9" t="s">
        <v>1083</v>
      </c>
      <c r="D478" s="9" t="s">
        <v>2316</v>
      </c>
      <c r="E478" s="9" t="s">
        <v>65</v>
      </c>
      <c r="F478" s="9" t="s">
        <v>49</v>
      </c>
    </row>
    <row r="479" spans="1:6" x14ac:dyDescent="0.25">
      <c r="A479" s="9" t="s">
        <v>1085</v>
      </c>
      <c r="B479" s="9" t="s">
        <v>18</v>
      </c>
      <c r="C479" s="9" t="s">
        <v>131</v>
      </c>
      <c r="D479" s="9" t="s">
        <v>2317</v>
      </c>
      <c r="E479" s="9" t="s">
        <v>63</v>
      </c>
      <c r="F479" s="9" t="s">
        <v>55</v>
      </c>
    </row>
    <row r="480" spans="1:6" x14ac:dyDescent="0.25">
      <c r="A480" s="9" t="s">
        <v>1087</v>
      </c>
      <c r="B480" s="9" t="s">
        <v>18</v>
      </c>
      <c r="C480" s="9" t="s">
        <v>835</v>
      </c>
      <c r="D480" s="9" t="s">
        <v>2318</v>
      </c>
      <c r="E480" s="9" t="s">
        <v>64</v>
      </c>
      <c r="F480" s="9" t="s">
        <v>47</v>
      </c>
    </row>
    <row r="481" spans="1:6" x14ac:dyDescent="0.25">
      <c r="A481" s="9" t="s">
        <v>1089</v>
      </c>
      <c r="B481" s="9" t="s">
        <v>16</v>
      </c>
      <c r="C481" s="9" t="s">
        <v>1090</v>
      </c>
      <c r="D481" s="9" t="s">
        <v>2319</v>
      </c>
      <c r="E481" s="9" t="s">
        <v>66</v>
      </c>
      <c r="F481" s="9" t="s">
        <v>61</v>
      </c>
    </row>
    <row r="482" spans="1:6" x14ac:dyDescent="0.25">
      <c r="A482" s="9" t="s">
        <v>1092</v>
      </c>
      <c r="B482" s="9" t="s">
        <v>14</v>
      </c>
      <c r="C482" s="9" t="s">
        <v>874</v>
      </c>
      <c r="D482" s="9" t="s">
        <v>2319</v>
      </c>
      <c r="E482" s="9" t="s">
        <v>63</v>
      </c>
      <c r="F482" s="9" t="s">
        <v>58</v>
      </c>
    </row>
    <row r="483" spans="1:6" x14ac:dyDescent="0.25">
      <c r="A483" s="9" t="s">
        <v>1093</v>
      </c>
      <c r="B483" s="9" t="s">
        <v>22</v>
      </c>
      <c r="C483" s="9" t="s">
        <v>456</v>
      </c>
      <c r="D483" s="9" t="s">
        <v>2320</v>
      </c>
      <c r="E483" s="9" t="s">
        <v>64</v>
      </c>
      <c r="F483" s="9" t="s">
        <v>55</v>
      </c>
    </row>
    <row r="484" spans="1:6" x14ac:dyDescent="0.25">
      <c r="A484" s="9" t="s">
        <v>1095</v>
      </c>
      <c r="B484" s="9" t="s">
        <v>24</v>
      </c>
      <c r="C484" s="9" t="s">
        <v>697</v>
      </c>
      <c r="D484" s="9" t="s">
        <v>2320</v>
      </c>
      <c r="E484" s="9" t="s">
        <v>67</v>
      </c>
      <c r="F484" s="9" t="s">
        <v>47</v>
      </c>
    </row>
    <row r="485" spans="1:6" x14ac:dyDescent="0.25">
      <c r="A485" s="9" t="s">
        <v>1096</v>
      </c>
      <c r="B485" s="9" t="s">
        <v>12</v>
      </c>
      <c r="C485" s="9" t="s">
        <v>1058</v>
      </c>
      <c r="D485" s="9" t="s">
        <v>2321</v>
      </c>
      <c r="E485" s="9" t="s">
        <v>65</v>
      </c>
      <c r="F485" s="9" t="s">
        <v>43</v>
      </c>
    </row>
    <row r="486" spans="1:6" x14ac:dyDescent="0.25">
      <c r="A486" s="9" t="s">
        <v>1098</v>
      </c>
      <c r="B486" s="9" t="s">
        <v>14</v>
      </c>
      <c r="C486" s="9" t="s">
        <v>418</v>
      </c>
      <c r="D486" s="9" t="s">
        <v>2322</v>
      </c>
      <c r="E486" s="9" t="s">
        <v>67</v>
      </c>
      <c r="F486" s="9" t="s">
        <v>61</v>
      </c>
    </row>
    <row r="487" spans="1:6" x14ac:dyDescent="0.25">
      <c r="A487" s="9" t="s">
        <v>1100</v>
      </c>
      <c r="B487" s="9" t="s">
        <v>12</v>
      </c>
      <c r="C487" s="9" t="s">
        <v>507</v>
      </c>
      <c r="D487" s="9" t="s">
        <v>2323</v>
      </c>
      <c r="E487" s="9" t="s">
        <v>63</v>
      </c>
      <c r="F487" s="9" t="s">
        <v>43</v>
      </c>
    </row>
    <row r="488" spans="1:6" x14ac:dyDescent="0.25">
      <c r="A488" s="9" t="s">
        <v>1102</v>
      </c>
      <c r="B488" s="9" t="s">
        <v>14</v>
      </c>
      <c r="C488" s="9" t="s">
        <v>725</v>
      </c>
      <c r="D488" s="9" t="s">
        <v>2324</v>
      </c>
      <c r="E488" s="9" t="s">
        <v>65</v>
      </c>
      <c r="F488" s="9" t="s">
        <v>55</v>
      </c>
    </row>
    <row r="489" spans="1:6" x14ac:dyDescent="0.25">
      <c r="A489" s="9" t="s">
        <v>1104</v>
      </c>
      <c r="B489" s="9" t="s">
        <v>12</v>
      </c>
      <c r="C489" s="9" t="s">
        <v>244</v>
      </c>
      <c r="D489" s="9" t="s">
        <v>2325</v>
      </c>
      <c r="E489" s="9" t="s">
        <v>62</v>
      </c>
      <c r="F489" s="9" t="s">
        <v>58</v>
      </c>
    </row>
    <row r="490" spans="1:6" x14ac:dyDescent="0.25">
      <c r="A490" s="9" t="s">
        <v>1106</v>
      </c>
      <c r="B490" s="9" t="s">
        <v>24</v>
      </c>
      <c r="C490" s="9" t="s">
        <v>1107</v>
      </c>
      <c r="D490" s="9" t="s">
        <v>2326</v>
      </c>
      <c r="E490" s="9" t="s">
        <v>62</v>
      </c>
      <c r="F490" s="9" t="s">
        <v>55</v>
      </c>
    </row>
    <row r="491" spans="1:6" x14ac:dyDescent="0.25">
      <c r="A491" s="9" t="s">
        <v>1109</v>
      </c>
      <c r="B491" s="9" t="s">
        <v>24</v>
      </c>
      <c r="C491" s="9" t="s">
        <v>922</v>
      </c>
      <c r="D491" s="9" t="s">
        <v>2327</v>
      </c>
      <c r="E491" s="9" t="s">
        <v>65</v>
      </c>
      <c r="F491" s="9" t="s">
        <v>47</v>
      </c>
    </row>
    <row r="492" spans="1:6" x14ac:dyDescent="0.25">
      <c r="A492" s="9" t="s">
        <v>1111</v>
      </c>
      <c r="B492" s="9" t="s">
        <v>24</v>
      </c>
      <c r="C492" s="9" t="s">
        <v>244</v>
      </c>
      <c r="D492" s="9" t="s">
        <v>2328</v>
      </c>
      <c r="E492" s="9" t="s">
        <v>65</v>
      </c>
      <c r="F492" s="9" t="s">
        <v>53</v>
      </c>
    </row>
    <row r="493" spans="1:6" x14ac:dyDescent="0.25">
      <c r="A493" s="9" t="s">
        <v>1113</v>
      </c>
      <c r="B493" s="9" t="s">
        <v>14</v>
      </c>
      <c r="C493" s="9" t="s">
        <v>202</v>
      </c>
      <c r="D493" s="9" t="s">
        <v>2329</v>
      </c>
      <c r="E493" s="9" t="s">
        <v>62</v>
      </c>
      <c r="F493" s="9" t="s">
        <v>47</v>
      </c>
    </row>
    <row r="494" spans="1:6" x14ac:dyDescent="0.25">
      <c r="A494" s="9" t="s">
        <v>1115</v>
      </c>
      <c r="B494" s="9" t="s">
        <v>20</v>
      </c>
      <c r="C494" s="9" t="s">
        <v>409</v>
      </c>
      <c r="D494" s="9" t="s">
        <v>2330</v>
      </c>
      <c r="E494" s="9" t="s">
        <v>65</v>
      </c>
      <c r="F494" s="9" t="s">
        <v>49</v>
      </c>
    </row>
    <row r="495" spans="1:6" x14ac:dyDescent="0.25">
      <c r="A495" s="9" t="s">
        <v>1117</v>
      </c>
      <c r="B495" s="9" t="s">
        <v>24</v>
      </c>
      <c r="C495" s="9" t="s">
        <v>264</v>
      </c>
      <c r="D495" s="9" t="s">
        <v>2330</v>
      </c>
      <c r="E495" s="9" t="s">
        <v>64</v>
      </c>
      <c r="F495" s="9" t="s">
        <v>45</v>
      </c>
    </row>
    <row r="496" spans="1:6" x14ac:dyDescent="0.25">
      <c r="A496" s="9" t="s">
        <v>1118</v>
      </c>
      <c r="B496" s="9" t="s">
        <v>18</v>
      </c>
      <c r="C496" s="9" t="s">
        <v>1055</v>
      </c>
      <c r="D496" s="9" t="s">
        <v>2331</v>
      </c>
      <c r="E496" s="9" t="s">
        <v>65</v>
      </c>
      <c r="F496" s="9" t="s">
        <v>51</v>
      </c>
    </row>
    <row r="497" spans="1:6" x14ac:dyDescent="0.25">
      <c r="A497" s="9" t="s">
        <v>1120</v>
      </c>
      <c r="B497" s="9" t="s">
        <v>12</v>
      </c>
      <c r="C497" s="9" t="s">
        <v>865</v>
      </c>
      <c r="D497" s="9" t="s">
        <v>2332</v>
      </c>
      <c r="E497" s="9" t="s">
        <v>62</v>
      </c>
      <c r="F497" s="9" t="s">
        <v>51</v>
      </c>
    </row>
    <row r="498" spans="1:6" x14ac:dyDescent="0.25">
      <c r="A498" s="9" t="s">
        <v>1122</v>
      </c>
      <c r="B498" s="9" t="s">
        <v>12</v>
      </c>
      <c r="C498" s="9" t="s">
        <v>103</v>
      </c>
      <c r="D498" s="9" t="s">
        <v>2333</v>
      </c>
      <c r="E498" s="9" t="s">
        <v>62</v>
      </c>
      <c r="F498" s="9" t="s">
        <v>53</v>
      </c>
    </row>
    <row r="499" spans="1:6" x14ac:dyDescent="0.25">
      <c r="A499" s="9" t="s">
        <v>1124</v>
      </c>
      <c r="B499" s="9" t="s">
        <v>22</v>
      </c>
      <c r="C499" s="9" t="s">
        <v>1125</v>
      </c>
      <c r="D499" s="9" t="s">
        <v>2334</v>
      </c>
      <c r="E499" s="9" t="s">
        <v>66</v>
      </c>
      <c r="F499" s="9" t="s">
        <v>47</v>
      </c>
    </row>
    <row r="500" spans="1:6" x14ac:dyDescent="0.25">
      <c r="A500" s="9" t="s">
        <v>1127</v>
      </c>
      <c r="B500" s="9" t="s">
        <v>18</v>
      </c>
      <c r="C500" s="9" t="s">
        <v>1128</v>
      </c>
      <c r="D500" s="9" t="s">
        <v>2335</v>
      </c>
      <c r="E500" s="9" t="s">
        <v>66</v>
      </c>
      <c r="F500" s="9" t="s">
        <v>47</v>
      </c>
    </row>
    <row r="501" spans="1:6" x14ac:dyDescent="0.25">
      <c r="A501" s="9" t="s">
        <v>1130</v>
      </c>
      <c r="B501" s="9" t="s">
        <v>14</v>
      </c>
      <c r="C501" s="9" t="s">
        <v>103</v>
      </c>
      <c r="D501" s="9" t="s">
        <v>2335</v>
      </c>
      <c r="E501" s="9" t="s">
        <v>67</v>
      </c>
      <c r="F501" s="9" t="s">
        <v>51</v>
      </c>
    </row>
    <row r="502" spans="1:6" x14ac:dyDescent="0.25">
      <c r="A502" s="9" t="s">
        <v>1131</v>
      </c>
      <c r="B502" s="9" t="s">
        <v>24</v>
      </c>
      <c r="C502" s="9" t="s">
        <v>1073</v>
      </c>
      <c r="D502" s="9" t="s">
        <v>2336</v>
      </c>
      <c r="E502" s="9" t="s">
        <v>67</v>
      </c>
      <c r="F502" s="9" t="s">
        <v>61</v>
      </c>
    </row>
    <row r="503" spans="1:6" x14ac:dyDescent="0.25">
      <c r="A503" s="9" t="s">
        <v>1133</v>
      </c>
      <c r="B503" s="9" t="s">
        <v>12</v>
      </c>
      <c r="C503" s="9" t="s">
        <v>390</v>
      </c>
      <c r="D503" s="9" t="s">
        <v>2336</v>
      </c>
      <c r="E503" s="9" t="s">
        <v>62</v>
      </c>
      <c r="F503" s="9" t="s">
        <v>49</v>
      </c>
    </row>
    <row r="504" spans="1:6" x14ac:dyDescent="0.25">
      <c r="A504" s="9" t="s">
        <v>1134</v>
      </c>
      <c r="B504" s="9" t="s">
        <v>18</v>
      </c>
      <c r="C504" s="9" t="s">
        <v>228</v>
      </c>
      <c r="D504" s="9" t="s">
        <v>2336</v>
      </c>
      <c r="E504" s="9" t="s">
        <v>66</v>
      </c>
      <c r="F504" s="9" t="s">
        <v>51</v>
      </c>
    </row>
    <row r="505" spans="1:6" x14ac:dyDescent="0.25">
      <c r="A505" s="9" t="s">
        <v>1135</v>
      </c>
      <c r="B505" s="9" t="s">
        <v>22</v>
      </c>
      <c r="C505" s="9" t="s">
        <v>874</v>
      </c>
      <c r="D505" s="9" t="s">
        <v>2336</v>
      </c>
      <c r="E505" s="9" t="s">
        <v>67</v>
      </c>
      <c r="F505" s="9" t="s">
        <v>53</v>
      </c>
    </row>
    <row r="506" spans="1:6" x14ac:dyDescent="0.25">
      <c r="A506" s="9" t="s">
        <v>1136</v>
      </c>
      <c r="B506" s="9" t="s">
        <v>22</v>
      </c>
      <c r="C506" s="9" t="s">
        <v>177</v>
      </c>
      <c r="D506" s="9" t="s">
        <v>2337</v>
      </c>
      <c r="E506" s="9" t="s">
        <v>65</v>
      </c>
      <c r="F506" s="9" t="s">
        <v>51</v>
      </c>
    </row>
    <row r="507" spans="1:6" x14ac:dyDescent="0.25">
      <c r="A507" s="9" t="s">
        <v>1138</v>
      </c>
      <c r="B507" s="9" t="s">
        <v>24</v>
      </c>
      <c r="C507" s="9" t="s">
        <v>177</v>
      </c>
      <c r="D507" s="9" t="s">
        <v>2338</v>
      </c>
      <c r="E507" s="9" t="s">
        <v>67</v>
      </c>
      <c r="F507" s="9" t="s">
        <v>51</v>
      </c>
    </row>
    <row r="508" spans="1:6" x14ac:dyDescent="0.25">
      <c r="A508" s="9" t="s">
        <v>1140</v>
      </c>
      <c r="B508" s="9" t="s">
        <v>18</v>
      </c>
      <c r="C508" s="9" t="s">
        <v>79</v>
      </c>
      <c r="D508" s="9" t="s">
        <v>2339</v>
      </c>
      <c r="E508" s="9" t="s">
        <v>63</v>
      </c>
      <c r="F508" s="9" t="s">
        <v>53</v>
      </c>
    </row>
    <row r="509" spans="1:6" x14ac:dyDescent="0.25">
      <c r="A509" s="9" t="s">
        <v>1142</v>
      </c>
      <c r="B509" s="9" t="s">
        <v>20</v>
      </c>
      <c r="C509" s="9" t="s">
        <v>580</v>
      </c>
      <c r="D509" s="9" t="s">
        <v>2340</v>
      </c>
      <c r="E509" s="9" t="s">
        <v>65</v>
      </c>
      <c r="F509" s="9" t="s">
        <v>58</v>
      </c>
    </row>
    <row r="510" spans="1:6" x14ac:dyDescent="0.25">
      <c r="A510" s="9" t="s">
        <v>1144</v>
      </c>
      <c r="B510" s="9" t="s">
        <v>18</v>
      </c>
      <c r="C510" s="9" t="s">
        <v>624</v>
      </c>
      <c r="D510" s="9" t="s">
        <v>2341</v>
      </c>
      <c r="E510" s="9" t="s">
        <v>66</v>
      </c>
      <c r="F510" s="9" t="s">
        <v>49</v>
      </c>
    </row>
    <row r="511" spans="1:6" x14ac:dyDescent="0.25">
      <c r="A511" s="9" t="s">
        <v>1146</v>
      </c>
      <c r="B511" s="9" t="s">
        <v>14</v>
      </c>
      <c r="C511" s="9" t="s">
        <v>1147</v>
      </c>
      <c r="D511" s="9" t="s">
        <v>2342</v>
      </c>
      <c r="E511" s="9" t="s">
        <v>62</v>
      </c>
      <c r="F511" s="9" t="s">
        <v>49</v>
      </c>
    </row>
    <row r="512" spans="1:6" x14ac:dyDescent="0.25">
      <c r="A512" s="9" t="s">
        <v>1149</v>
      </c>
      <c r="B512" s="9" t="s">
        <v>22</v>
      </c>
      <c r="C512" s="9" t="s">
        <v>165</v>
      </c>
      <c r="D512" s="9" t="s">
        <v>2342</v>
      </c>
      <c r="E512" s="9" t="s">
        <v>62</v>
      </c>
      <c r="F512" s="9" t="s">
        <v>61</v>
      </c>
    </row>
    <row r="513" spans="1:6" x14ac:dyDescent="0.25">
      <c r="A513" s="9" t="s">
        <v>1150</v>
      </c>
      <c r="B513" s="9" t="s">
        <v>16</v>
      </c>
      <c r="C513" s="9" t="s">
        <v>1151</v>
      </c>
      <c r="D513" s="9" t="s">
        <v>2342</v>
      </c>
      <c r="E513" s="9" t="s">
        <v>63</v>
      </c>
      <c r="F513" s="9" t="s">
        <v>51</v>
      </c>
    </row>
    <row r="514" spans="1:6" x14ac:dyDescent="0.25">
      <c r="A514" s="9" t="s">
        <v>1152</v>
      </c>
      <c r="B514" s="9" t="s">
        <v>12</v>
      </c>
      <c r="C514" s="9" t="s">
        <v>1153</v>
      </c>
      <c r="D514" s="9" t="s">
        <v>2343</v>
      </c>
      <c r="E514" s="9" t="s">
        <v>62</v>
      </c>
      <c r="F514" s="9" t="s">
        <v>49</v>
      </c>
    </row>
    <row r="515" spans="1:6" x14ac:dyDescent="0.25">
      <c r="A515" s="9" t="s">
        <v>1155</v>
      </c>
      <c r="B515" s="9" t="s">
        <v>18</v>
      </c>
      <c r="C515" s="9" t="s">
        <v>177</v>
      </c>
      <c r="D515" s="9" t="s">
        <v>2344</v>
      </c>
      <c r="E515" s="9" t="s">
        <v>67</v>
      </c>
      <c r="F515" s="9" t="s">
        <v>51</v>
      </c>
    </row>
    <row r="516" spans="1:6" x14ac:dyDescent="0.25">
      <c r="A516" s="9" t="s">
        <v>1157</v>
      </c>
      <c r="B516" s="9" t="s">
        <v>22</v>
      </c>
      <c r="C516" s="9" t="s">
        <v>1107</v>
      </c>
      <c r="D516" s="9" t="s">
        <v>2345</v>
      </c>
      <c r="E516" s="9" t="s">
        <v>62</v>
      </c>
      <c r="F516" s="9" t="s">
        <v>45</v>
      </c>
    </row>
    <row r="517" spans="1:6" x14ac:dyDescent="0.25">
      <c r="A517" s="9" t="s">
        <v>1159</v>
      </c>
      <c r="B517" s="9" t="s">
        <v>12</v>
      </c>
      <c r="C517" s="9" t="s">
        <v>931</v>
      </c>
      <c r="D517" s="9" t="s">
        <v>2346</v>
      </c>
      <c r="E517" s="9" t="s">
        <v>66</v>
      </c>
      <c r="F517" s="9" t="s">
        <v>47</v>
      </c>
    </row>
    <row r="518" spans="1:6" x14ac:dyDescent="0.25">
      <c r="A518" s="9" t="s">
        <v>1161</v>
      </c>
      <c r="B518" s="9" t="s">
        <v>12</v>
      </c>
      <c r="C518" s="9" t="s">
        <v>517</v>
      </c>
      <c r="D518" s="9" t="s">
        <v>2347</v>
      </c>
      <c r="E518" s="9" t="s">
        <v>67</v>
      </c>
      <c r="F518" s="9" t="s">
        <v>51</v>
      </c>
    </row>
    <row r="519" spans="1:6" x14ac:dyDescent="0.25">
      <c r="A519" s="9" t="s">
        <v>1163</v>
      </c>
      <c r="B519" s="9" t="s">
        <v>18</v>
      </c>
      <c r="C519" s="9" t="s">
        <v>922</v>
      </c>
      <c r="D519" s="9" t="s">
        <v>2348</v>
      </c>
      <c r="E519" s="9" t="s">
        <v>66</v>
      </c>
      <c r="F519" s="9" t="s">
        <v>55</v>
      </c>
    </row>
    <row r="520" spans="1:6" x14ac:dyDescent="0.25">
      <c r="A520" s="9" t="s">
        <v>1165</v>
      </c>
      <c r="B520" s="9" t="s">
        <v>18</v>
      </c>
      <c r="C520" s="9" t="s">
        <v>705</v>
      </c>
      <c r="D520" s="9" t="s">
        <v>2349</v>
      </c>
      <c r="E520" s="9" t="s">
        <v>62</v>
      </c>
      <c r="F520" s="9" t="s">
        <v>58</v>
      </c>
    </row>
    <row r="521" spans="1:6" x14ac:dyDescent="0.25">
      <c r="A521" s="9" t="s">
        <v>1167</v>
      </c>
      <c r="B521" s="9" t="s">
        <v>24</v>
      </c>
      <c r="C521" s="9" t="s">
        <v>522</v>
      </c>
      <c r="D521" s="9" t="s">
        <v>2350</v>
      </c>
      <c r="E521" s="9" t="s">
        <v>62</v>
      </c>
      <c r="F521" s="9" t="s">
        <v>53</v>
      </c>
    </row>
    <row r="522" spans="1:6" x14ac:dyDescent="0.25">
      <c r="A522" s="9" t="s">
        <v>1169</v>
      </c>
      <c r="B522" s="9" t="s">
        <v>18</v>
      </c>
      <c r="C522" s="9" t="s">
        <v>147</v>
      </c>
      <c r="D522" s="9" t="s">
        <v>2350</v>
      </c>
      <c r="E522" s="9" t="s">
        <v>66</v>
      </c>
      <c r="F522" s="9" t="s">
        <v>45</v>
      </c>
    </row>
    <row r="523" spans="1:6" x14ac:dyDescent="0.25">
      <c r="A523" s="9" t="s">
        <v>1170</v>
      </c>
      <c r="B523" s="9" t="s">
        <v>16</v>
      </c>
      <c r="C523" s="9" t="s">
        <v>868</v>
      </c>
      <c r="D523" s="9" t="s">
        <v>2351</v>
      </c>
      <c r="E523" s="9" t="s">
        <v>62</v>
      </c>
      <c r="F523" s="9" t="s">
        <v>47</v>
      </c>
    </row>
    <row r="524" spans="1:6" x14ac:dyDescent="0.25">
      <c r="A524" s="9" t="s">
        <v>1172</v>
      </c>
      <c r="B524" s="9" t="s">
        <v>22</v>
      </c>
      <c r="C524" s="9" t="s">
        <v>1073</v>
      </c>
      <c r="D524" s="9" t="s">
        <v>2352</v>
      </c>
      <c r="E524" s="9" t="s">
        <v>67</v>
      </c>
      <c r="F524" s="9" t="s">
        <v>43</v>
      </c>
    </row>
    <row r="525" spans="1:6" x14ac:dyDescent="0.25">
      <c r="A525" s="9" t="s">
        <v>1174</v>
      </c>
      <c r="B525" s="9" t="s">
        <v>22</v>
      </c>
      <c r="C525" s="9" t="s">
        <v>340</v>
      </c>
      <c r="D525" s="9" t="s">
        <v>2352</v>
      </c>
      <c r="E525" s="9" t="s">
        <v>64</v>
      </c>
      <c r="F525" s="9" t="s">
        <v>51</v>
      </c>
    </row>
    <row r="526" spans="1:6" x14ac:dyDescent="0.25">
      <c r="A526" s="9" t="s">
        <v>1175</v>
      </c>
      <c r="B526" s="9" t="s">
        <v>16</v>
      </c>
      <c r="C526" s="9" t="s">
        <v>979</v>
      </c>
      <c r="D526" s="9" t="s">
        <v>2353</v>
      </c>
      <c r="E526" s="9" t="s">
        <v>63</v>
      </c>
      <c r="F526" s="9" t="s">
        <v>47</v>
      </c>
    </row>
    <row r="527" spans="1:6" x14ac:dyDescent="0.25">
      <c r="A527" s="9" t="s">
        <v>1177</v>
      </c>
      <c r="B527" s="9" t="s">
        <v>24</v>
      </c>
      <c r="C527" s="9" t="s">
        <v>242</v>
      </c>
      <c r="D527" s="9" t="s">
        <v>2354</v>
      </c>
      <c r="E527" s="9" t="s">
        <v>66</v>
      </c>
      <c r="F527" s="9" t="s">
        <v>49</v>
      </c>
    </row>
    <row r="528" spans="1:6" x14ac:dyDescent="0.25">
      <c r="A528" s="9" t="s">
        <v>1179</v>
      </c>
      <c r="B528" s="9" t="s">
        <v>14</v>
      </c>
      <c r="C528" s="9" t="s">
        <v>507</v>
      </c>
      <c r="D528" s="9" t="s">
        <v>2354</v>
      </c>
      <c r="E528" s="9" t="s">
        <v>67</v>
      </c>
      <c r="F528" s="9" t="s">
        <v>51</v>
      </c>
    </row>
    <row r="529" spans="1:6" x14ac:dyDescent="0.25">
      <c r="A529" s="9" t="s">
        <v>1180</v>
      </c>
      <c r="B529" s="9" t="s">
        <v>22</v>
      </c>
      <c r="C529" s="9" t="s">
        <v>390</v>
      </c>
      <c r="D529" s="9" t="s">
        <v>2355</v>
      </c>
      <c r="E529" s="9" t="s">
        <v>65</v>
      </c>
      <c r="F529" s="9" t="s">
        <v>58</v>
      </c>
    </row>
    <row r="530" spans="1:6" x14ac:dyDescent="0.25">
      <c r="A530" s="9" t="s">
        <v>1182</v>
      </c>
      <c r="B530" s="9" t="s">
        <v>16</v>
      </c>
      <c r="C530" s="9" t="s">
        <v>1183</v>
      </c>
      <c r="D530" s="9" t="s">
        <v>2355</v>
      </c>
      <c r="E530" s="9" t="s">
        <v>62</v>
      </c>
      <c r="F530" s="9" t="s">
        <v>55</v>
      </c>
    </row>
    <row r="531" spans="1:6" x14ac:dyDescent="0.25">
      <c r="A531" s="9" t="s">
        <v>1184</v>
      </c>
      <c r="B531" s="9" t="s">
        <v>12</v>
      </c>
      <c r="C531" s="9" t="s">
        <v>730</v>
      </c>
      <c r="D531" s="9" t="s">
        <v>2356</v>
      </c>
      <c r="E531" s="9" t="s">
        <v>62</v>
      </c>
      <c r="F531" s="9" t="s">
        <v>49</v>
      </c>
    </row>
    <row r="532" spans="1:6" x14ac:dyDescent="0.25">
      <c r="A532" s="9" t="s">
        <v>1186</v>
      </c>
      <c r="B532" s="9" t="s">
        <v>20</v>
      </c>
      <c r="C532" s="9" t="s">
        <v>1073</v>
      </c>
      <c r="D532" s="9" t="s">
        <v>2356</v>
      </c>
      <c r="E532" s="9" t="s">
        <v>64</v>
      </c>
      <c r="F532" s="9" t="s">
        <v>49</v>
      </c>
    </row>
    <row r="533" spans="1:6" x14ac:dyDescent="0.25">
      <c r="A533" s="9" t="s">
        <v>1187</v>
      </c>
      <c r="B533" s="9" t="s">
        <v>12</v>
      </c>
      <c r="C533" s="9" t="s">
        <v>1183</v>
      </c>
      <c r="D533" s="9" t="s">
        <v>2357</v>
      </c>
      <c r="E533" s="9" t="s">
        <v>62</v>
      </c>
      <c r="F533" s="9" t="s">
        <v>58</v>
      </c>
    </row>
    <row r="534" spans="1:6" x14ac:dyDescent="0.25">
      <c r="A534" s="9" t="s">
        <v>1189</v>
      </c>
      <c r="B534" s="9" t="s">
        <v>24</v>
      </c>
      <c r="C534" s="9" t="s">
        <v>222</v>
      </c>
      <c r="D534" s="9" t="s">
        <v>2357</v>
      </c>
      <c r="E534" s="9" t="s">
        <v>63</v>
      </c>
      <c r="F534" s="9" t="s">
        <v>55</v>
      </c>
    </row>
    <row r="535" spans="1:6" x14ac:dyDescent="0.25">
      <c r="A535" s="9" t="s">
        <v>1190</v>
      </c>
      <c r="B535" s="9" t="s">
        <v>20</v>
      </c>
      <c r="C535" s="9" t="s">
        <v>100</v>
      </c>
      <c r="D535" s="9" t="s">
        <v>2357</v>
      </c>
      <c r="E535" s="9" t="s">
        <v>63</v>
      </c>
      <c r="F535" s="9" t="s">
        <v>51</v>
      </c>
    </row>
    <row r="536" spans="1:6" x14ac:dyDescent="0.25">
      <c r="A536" s="9" t="s">
        <v>1191</v>
      </c>
      <c r="B536" s="9" t="s">
        <v>24</v>
      </c>
      <c r="C536" s="9" t="s">
        <v>103</v>
      </c>
      <c r="D536" s="9" t="s">
        <v>2358</v>
      </c>
      <c r="E536" s="9" t="s">
        <v>63</v>
      </c>
      <c r="F536" s="9" t="s">
        <v>49</v>
      </c>
    </row>
    <row r="537" spans="1:6" x14ac:dyDescent="0.25">
      <c r="A537" s="9" t="s">
        <v>1193</v>
      </c>
      <c r="B537" s="9" t="s">
        <v>16</v>
      </c>
      <c r="C537" s="9" t="s">
        <v>636</v>
      </c>
      <c r="D537" s="9" t="s">
        <v>2358</v>
      </c>
      <c r="E537" s="9" t="s">
        <v>62</v>
      </c>
      <c r="F537" s="9" t="s">
        <v>51</v>
      </c>
    </row>
    <row r="538" spans="1:6" x14ac:dyDescent="0.25">
      <c r="A538" s="9" t="s">
        <v>1194</v>
      </c>
      <c r="B538" s="9" t="s">
        <v>14</v>
      </c>
      <c r="C538" s="9" t="s">
        <v>1090</v>
      </c>
      <c r="D538" s="9" t="s">
        <v>2359</v>
      </c>
      <c r="E538" s="9" t="s">
        <v>65</v>
      </c>
      <c r="F538" s="9" t="s">
        <v>47</v>
      </c>
    </row>
    <row r="539" spans="1:6" x14ac:dyDescent="0.25">
      <c r="A539" s="9" t="s">
        <v>1196</v>
      </c>
      <c r="B539" s="9" t="s">
        <v>20</v>
      </c>
      <c r="C539" s="9" t="s">
        <v>722</v>
      </c>
      <c r="D539" s="9" t="s">
        <v>2360</v>
      </c>
      <c r="E539" s="9" t="s">
        <v>62</v>
      </c>
      <c r="F539" s="9" t="s">
        <v>53</v>
      </c>
    </row>
    <row r="540" spans="1:6" x14ac:dyDescent="0.25">
      <c r="A540" s="9" t="s">
        <v>1198</v>
      </c>
      <c r="B540" s="9" t="s">
        <v>24</v>
      </c>
      <c r="C540" s="9" t="s">
        <v>727</v>
      </c>
      <c r="D540" s="9" t="s">
        <v>2360</v>
      </c>
      <c r="E540" s="9" t="s">
        <v>67</v>
      </c>
      <c r="F540" s="9" t="s">
        <v>51</v>
      </c>
    </row>
    <row r="541" spans="1:6" x14ac:dyDescent="0.25">
      <c r="A541" s="9" t="s">
        <v>1199</v>
      </c>
      <c r="B541" s="9" t="s">
        <v>18</v>
      </c>
      <c r="C541" s="9" t="s">
        <v>1058</v>
      </c>
      <c r="D541" s="9" t="s">
        <v>2360</v>
      </c>
      <c r="E541" s="9" t="s">
        <v>64</v>
      </c>
      <c r="F541" s="9" t="s">
        <v>45</v>
      </c>
    </row>
    <row r="542" spans="1:6" x14ac:dyDescent="0.25">
      <c r="A542" s="9" t="s">
        <v>1200</v>
      </c>
      <c r="B542" s="9" t="s">
        <v>12</v>
      </c>
      <c r="C542" s="9" t="s">
        <v>93</v>
      </c>
      <c r="D542" s="9" t="s">
        <v>2361</v>
      </c>
      <c r="E542" s="9" t="s">
        <v>62</v>
      </c>
      <c r="F542" s="9" t="s">
        <v>47</v>
      </c>
    </row>
    <row r="543" spans="1:6" x14ac:dyDescent="0.25">
      <c r="A543" s="9" t="s">
        <v>1202</v>
      </c>
      <c r="B543" s="9" t="s">
        <v>22</v>
      </c>
      <c r="C543" s="9" t="s">
        <v>989</v>
      </c>
      <c r="D543" s="9" t="s">
        <v>2362</v>
      </c>
      <c r="E543" s="9" t="s">
        <v>65</v>
      </c>
      <c r="F543" s="9" t="s">
        <v>49</v>
      </c>
    </row>
    <row r="544" spans="1:6" x14ac:dyDescent="0.25">
      <c r="A544" s="9" t="s">
        <v>1204</v>
      </c>
      <c r="B544" s="9" t="s">
        <v>18</v>
      </c>
      <c r="C544" s="9" t="s">
        <v>202</v>
      </c>
      <c r="D544" s="9" t="s">
        <v>2363</v>
      </c>
      <c r="E544" s="9" t="s">
        <v>66</v>
      </c>
      <c r="F544" s="9" t="s">
        <v>49</v>
      </c>
    </row>
    <row r="545" spans="1:6" x14ac:dyDescent="0.25">
      <c r="A545" s="9" t="s">
        <v>1206</v>
      </c>
      <c r="B545" s="9" t="s">
        <v>22</v>
      </c>
      <c r="C545" s="9" t="s">
        <v>340</v>
      </c>
      <c r="D545" s="9" t="s">
        <v>2363</v>
      </c>
      <c r="E545" s="9" t="s">
        <v>65</v>
      </c>
      <c r="F545" s="9" t="s">
        <v>58</v>
      </c>
    </row>
    <row r="546" spans="1:6" x14ac:dyDescent="0.25">
      <c r="A546" s="9" t="s">
        <v>1207</v>
      </c>
      <c r="B546" s="9" t="s">
        <v>16</v>
      </c>
      <c r="C546" s="9" t="s">
        <v>503</v>
      </c>
      <c r="D546" s="9" t="s">
        <v>2364</v>
      </c>
      <c r="E546" s="9" t="s">
        <v>63</v>
      </c>
      <c r="F546" s="9" t="s">
        <v>51</v>
      </c>
    </row>
    <row r="547" spans="1:6" x14ac:dyDescent="0.25">
      <c r="A547" s="9" t="s">
        <v>1209</v>
      </c>
      <c r="B547" s="9" t="s">
        <v>16</v>
      </c>
      <c r="C547" s="9" t="s">
        <v>641</v>
      </c>
      <c r="D547" s="9" t="s">
        <v>2365</v>
      </c>
      <c r="E547" s="9" t="s">
        <v>65</v>
      </c>
      <c r="F547" s="9" t="s">
        <v>55</v>
      </c>
    </row>
    <row r="548" spans="1:6" x14ac:dyDescent="0.25">
      <c r="A548" s="9" t="s">
        <v>1211</v>
      </c>
      <c r="B548" s="9" t="s">
        <v>12</v>
      </c>
      <c r="C548" s="9" t="s">
        <v>641</v>
      </c>
      <c r="D548" s="9" t="s">
        <v>2365</v>
      </c>
      <c r="E548" s="9" t="s">
        <v>63</v>
      </c>
      <c r="F548" s="9" t="s">
        <v>49</v>
      </c>
    </row>
    <row r="549" spans="1:6" x14ac:dyDescent="0.25">
      <c r="A549" s="9" t="s">
        <v>1212</v>
      </c>
      <c r="B549" s="9" t="s">
        <v>16</v>
      </c>
      <c r="C549" s="9" t="s">
        <v>385</v>
      </c>
      <c r="D549" s="9" t="s">
        <v>2365</v>
      </c>
      <c r="E549" s="9" t="s">
        <v>65</v>
      </c>
      <c r="F549" s="9" t="s">
        <v>45</v>
      </c>
    </row>
    <row r="550" spans="1:6" x14ac:dyDescent="0.25">
      <c r="A550" s="9" t="s">
        <v>1213</v>
      </c>
      <c r="B550" s="9" t="s">
        <v>18</v>
      </c>
      <c r="C550" s="9" t="s">
        <v>675</v>
      </c>
      <c r="D550" s="9" t="s">
        <v>2366</v>
      </c>
      <c r="E550" s="9" t="s">
        <v>63</v>
      </c>
      <c r="F550" s="9" t="s">
        <v>45</v>
      </c>
    </row>
    <row r="551" spans="1:6" x14ac:dyDescent="0.25">
      <c r="A551" s="9" t="s">
        <v>1215</v>
      </c>
      <c r="B551" s="9" t="s">
        <v>14</v>
      </c>
      <c r="C551" s="9" t="s">
        <v>328</v>
      </c>
      <c r="D551" s="9" t="s">
        <v>2366</v>
      </c>
      <c r="E551" s="9" t="s">
        <v>65</v>
      </c>
      <c r="F551" s="9" t="s">
        <v>43</v>
      </c>
    </row>
    <row r="552" spans="1:6" x14ac:dyDescent="0.25">
      <c r="A552" s="9" t="s">
        <v>1216</v>
      </c>
      <c r="B552" s="9" t="s">
        <v>14</v>
      </c>
      <c r="C552" s="9" t="s">
        <v>365</v>
      </c>
      <c r="D552" s="9" t="s">
        <v>2367</v>
      </c>
      <c r="E552" s="9" t="s">
        <v>64</v>
      </c>
      <c r="F552" s="9" t="s">
        <v>51</v>
      </c>
    </row>
    <row r="553" spans="1:6" x14ac:dyDescent="0.25">
      <c r="A553" s="9" t="s">
        <v>1218</v>
      </c>
      <c r="B553" s="9" t="s">
        <v>14</v>
      </c>
      <c r="C553" s="9" t="s">
        <v>239</v>
      </c>
      <c r="D553" s="9" t="s">
        <v>2368</v>
      </c>
      <c r="E553" s="9" t="s">
        <v>62</v>
      </c>
      <c r="F553" s="9" t="s">
        <v>47</v>
      </c>
    </row>
    <row r="554" spans="1:6" x14ac:dyDescent="0.25">
      <c r="A554" s="9" t="s">
        <v>1220</v>
      </c>
      <c r="B554" s="9" t="s">
        <v>16</v>
      </c>
      <c r="C554" s="9" t="s">
        <v>922</v>
      </c>
      <c r="D554" s="9" t="s">
        <v>2369</v>
      </c>
      <c r="E554" s="9" t="s">
        <v>67</v>
      </c>
      <c r="F554" s="9" t="s">
        <v>53</v>
      </c>
    </row>
    <row r="555" spans="1:6" x14ac:dyDescent="0.25">
      <c r="A555" s="9" t="s">
        <v>1222</v>
      </c>
      <c r="B555" s="9" t="s">
        <v>14</v>
      </c>
      <c r="C555" s="9" t="s">
        <v>374</v>
      </c>
      <c r="D555" s="9" t="s">
        <v>2369</v>
      </c>
      <c r="E555" s="9" t="s">
        <v>64</v>
      </c>
      <c r="F555" s="9" t="s">
        <v>49</v>
      </c>
    </row>
    <row r="556" spans="1:6" x14ac:dyDescent="0.25">
      <c r="A556" s="9" t="s">
        <v>1223</v>
      </c>
      <c r="B556" s="9" t="s">
        <v>12</v>
      </c>
      <c r="C556" s="9" t="s">
        <v>594</v>
      </c>
      <c r="D556" s="9" t="s">
        <v>2370</v>
      </c>
      <c r="E556" s="9" t="s">
        <v>64</v>
      </c>
      <c r="F556" s="9" t="s">
        <v>51</v>
      </c>
    </row>
    <row r="557" spans="1:6" x14ac:dyDescent="0.25">
      <c r="A557" s="9" t="s">
        <v>1225</v>
      </c>
      <c r="B557" s="9" t="s">
        <v>18</v>
      </c>
      <c r="C557" s="9" t="s">
        <v>382</v>
      </c>
      <c r="D557" s="9" t="s">
        <v>2371</v>
      </c>
      <c r="E557" s="9" t="s">
        <v>67</v>
      </c>
      <c r="F557" s="9" t="s">
        <v>58</v>
      </c>
    </row>
    <row r="558" spans="1:6" x14ac:dyDescent="0.25">
      <c r="A558" s="9" t="s">
        <v>1227</v>
      </c>
      <c r="B558" s="9" t="s">
        <v>22</v>
      </c>
      <c r="C558" s="9" t="s">
        <v>82</v>
      </c>
      <c r="D558" s="9" t="s">
        <v>2371</v>
      </c>
      <c r="E558" s="9" t="s">
        <v>65</v>
      </c>
      <c r="F558" s="9" t="s">
        <v>51</v>
      </c>
    </row>
    <row r="559" spans="1:6" x14ac:dyDescent="0.25">
      <c r="A559" s="9" t="s">
        <v>1228</v>
      </c>
      <c r="B559" s="9" t="s">
        <v>18</v>
      </c>
      <c r="C559" s="9" t="s">
        <v>1229</v>
      </c>
      <c r="D559" s="9" t="s">
        <v>2371</v>
      </c>
      <c r="E559" s="9" t="s">
        <v>64</v>
      </c>
      <c r="F559" s="9" t="s">
        <v>51</v>
      </c>
    </row>
    <row r="560" spans="1:6" x14ac:dyDescent="0.25">
      <c r="A560" s="9" t="s">
        <v>1230</v>
      </c>
      <c r="B560" s="9" t="s">
        <v>20</v>
      </c>
      <c r="C560" s="9" t="s">
        <v>783</v>
      </c>
      <c r="D560" s="9" t="s">
        <v>2372</v>
      </c>
      <c r="E560" s="9" t="s">
        <v>67</v>
      </c>
      <c r="F560" s="9" t="s">
        <v>43</v>
      </c>
    </row>
    <row r="561" spans="1:6" x14ac:dyDescent="0.25">
      <c r="A561" s="9" t="s">
        <v>1232</v>
      </c>
      <c r="B561" s="9" t="s">
        <v>12</v>
      </c>
      <c r="C561" s="9" t="s">
        <v>363</v>
      </c>
      <c r="D561" s="9" t="s">
        <v>2372</v>
      </c>
      <c r="E561" s="9" t="s">
        <v>65</v>
      </c>
      <c r="F561" s="9" t="s">
        <v>47</v>
      </c>
    </row>
    <row r="562" spans="1:6" x14ac:dyDescent="0.25">
      <c r="A562" s="9" t="s">
        <v>1233</v>
      </c>
      <c r="B562" s="9" t="s">
        <v>20</v>
      </c>
      <c r="C562" s="9" t="s">
        <v>280</v>
      </c>
      <c r="D562" s="9" t="s">
        <v>2373</v>
      </c>
      <c r="E562" s="9" t="s">
        <v>65</v>
      </c>
      <c r="F562" s="9" t="s">
        <v>45</v>
      </c>
    </row>
    <row r="563" spans="1:6" x14ac:dyDescent="0.25">
      <c r="A563" s="9" t="s">
        <v>1235</v>
      </c>
      <c r="B563" s="9" t="s">
        <v>24</v>
      </c>
      <c r="C563" s="9" t="s">
        <v>295</v>
      </c>
      <c r="D563" s="9" t="s">
        <v>2374</v>
      </c>
      <c r="E563" s="9" t="s">
        <v>63</v>
      </c>
      <c r="F563" s="9" t="s">
        <v>47</v>
      </c>
    </row>
    <row r="564" spans="1:6" x14ac:dyDescent="0.25">
      <c r="A564" s="9" t="s">
        <v>1237</v>
      </c>
      <c r="B564" s="9" t="s">
        <v>16</v>
      </c>
      <c r="C564" s="9" t="s">
        <v>207</v>
      </c>
      <c r="D564" s="9" t="s">
        <v>2374</v>
      </c>
      <c r="E564" s="9" t="s">
        <v>64</v>
      </c>
      <c r="F564" s="9" t="s">
        <v>49</v>
      </c>
    </row>
    <row r="565" spans="1:6" x14ac:dyDescent="0.25">
      <c r="A565" s="9" t="s">
        <v>1238</v>
      </c>
      <c r="B565" s="9" t="s">
        <v>16</v>
      </c>
      <c r="C565" s="9" t="s">
        <v>400</v>
      </c>
      <c r="D565" s="9" t="s">
        <v>2374</v>
      </c>
      <c r="E565" s="9" t="s">
        <v>64</v>
      </c>
      <c r="F565" s="9" t="s">
        <v>45</v>
      </c>
    </row>
    <row r="566" spans="1:6" x14ac:dyDescent="0.25">
      <c r="A566" s="9" t="s">
        <v>1239</v>
      </c>
      <c r="B566" s="9" t="s">
        <v>16</v>
      </c>
      <c r="C566" s="9" t="s">
        <v>103</v>
      </c>
      <c r="D566" s="9" t="s">
        <v>2375</v>
      </c>
      <c r="E566" s="9" t="s">
        <v>64</v>
      </c>
      <c r="F566" s="9" t="s">
        <v>55</v>
      </c>
    </row>
    <row r="567" spans="1:6" x14ac:dyDescent="0.25">
      <c r="A567" s="9" t="s">
        <v>1241</v>
      </c>
      <c r="B567" s="9" t="s">
        <v>18</v>
      </c>
      <c r="C567" s="9" t="s">
        <v>453</v>
      </c>
      <c r="D567" s="9" t="s">
        <v>2375</v>
      </c>
      <c r="E567" s="9" t="s">
        <v>67</v>
      </c>
      <c r="F567" s="9" t="s">
        <v>43</v>
      </c>
    </row>
    <row r="568" spans="1:6" x14ac:dyDescent="0.25">
      <c r="A568" s="9" t="s">
        <v>1242</v>
      </c>
      <c r="B568" s="9" t="s">
        <v>22</v>
      </c>
      <c r="C568" s="9" t="s">
        <v>535</v>
      </c>
      <c r="D568" s="9" t="s">
        <v>2376</v>
      </c>
      <c r="E568" s="9" t="s">
        <v>62</v>
      </c>
      <c r="F568" s="9" t="s">
        <v>58</v>
      </c>
    </row>
    <row r="569" spans="1:6" x14ac:dyDescent="0.25">
      <c r="A569" s="9" t="s">
        <v>1244</v>
      </c>
      <c r="B569" s="9" t="s">
        <v>12</v>
      </c>
      <c r="C569" s="9" t="s">
        <v>1153</v>
      </c>
      <c r="D569" s="9" t="s">
        <v>2376</v>
      </c>
      <c r="E569" s="9" t="s">
        <v>64</v>
      </c>
      <c r="F569" s="9" t="s">
        <v>47</v>
      </c>
    </row>
    <row r="570" spans="1:6" x14ac:dyDescent="0.25">
      <c r="A570" s="9" t="s">
        <v>1245</v>
      </c>
      <c r="B570" s="9" t="s">
        <v>16</v>
      </c>
      <c r="C570" s="9" t="s">
        <v>1107</v>
      </c>
      <c r="D570" s="9" t="s">
        <v>2377</v>
      </c>
      <c r="E570" s="9" t="s">
        <v>66</v>
      </c>
      <c r="F570" s="9" t="s">
        <v>45</v>
      </c>
    </row>
    <row r="571" spans="1:6" x14ac:dyDescent="0.25">
      <c r="A571" s="9" t="s">
        <v>1247</v>
      </c>
      <c r="B571" s="9" t="s">
        <v>18</v>
      </c>
      <c r="C571" s="9" t="s">
        <v>423</v>
      </c>
      <c r="D571" s="9" t="s">
        <v>2378</v>
      </c>
      <c r="E571" s="9" t="s">
        <v>66</v>
      </c>
      <c r="F571" s="9" t="s">
        <v>49</v>
      </c>
    </row>
    <row r="572" spans="1:6" x14ac:dyDescent="0.25">
      <c r="A572" s="9" t="s">
        <v>1249</v>
      </c>
      <c r="B572" s="9" t="s">
        <v>12</v>
      </c>
      <c r="C572" s="9" t="s">
        <v>1034</v>
      </c>
      <c r="D572" s="9" t="s">
        <v>2379</v>
      </c>
      <c r="E572" s="9" t="s">
        <v>66</v>
      </c>
      <c r="F572" s="9" t="s">
        <v>53</v>
      </c>
    </row>
    <row r="573" spans="1:6" x14ac:dyDescent="0.25">
      <c r="A573" s="9" t="s">
        <v>1251</v>
      </c>
      <c r="B573" s="9" t="s">
        <v>24</v>
      </c>
      <c r="C573" s="9" t="s">
        <v>688</v>
      </c>
      <c r="D573" s="9" t="s">
        <v>2380</v>
      </c>
      <c r="E573" s="9" t="s">
        <v>63</v>
      </c>
      <c r="F573" s="9" t="s">
        <v>58</v>
      </c>
    </row>
    <row r="574" spans="1:6" x14ac:dyDescent="0.25">
      <c r="A574" s="9" t="s">
        <v>1253</v>
      </c>
      <c r="B574" s="9" t="s">
        <v>24</v>
      </c>
      <c r="C574" s="9" t="s">
        <v>1090</v>
      </c>
      <c r="D574" s="9" t="s">
        <v>2381</v>
      </c>
      <c r="E574" s="9" t="s">
        <v>65</v>
      </c>
      <c r="F574" s="9" t="s">
        <v>43</v>
      </c>
    </row>
    <row r="575" spans="1:6" x14ac:dyDescent="0.25">
      <c r="A575" s="9" t="s">
        <v>1255</v>
      </c>
      <c r="B575" s="9" t="s">
        <v>24</v>
      </c>
      <c r="C575" s="9" t="s">
        <v>286</v>
      </c>
      <c r="D575" s="9" t="s">
        <v>2382</v>
      </c>
      <c r="E575" s="9" t="s">
        <v>64</v>
      </c>
      <c r="F575" s="9" t="s">
        <v>47</v>
      </c>
    </row>
    <row r="576" spans="1:6" x14ac:dyDescent="0.25">
      <c r="A576" s="9" t="s">
        <v>1257</v>
      </c>
      <c r="B576" s="9" t="s">
        <v>14</v>
      </c>
      <c r="C576" s="9" t="s">
        <v>86</v>
      </c>
      <c r="D576" s="9" t="s">
        <v>2383</v>
      </c>
      <c r="E576" s="9" t="s">
        <v>67</v>
      </c>
      <c r="F576" s="9" t="s">
        <v>43</v>
      </c>
    </row>
    <row r="577" spans="1:6" x14ac:dyDescent="0.25">
      <c r="A577" s="9" t="s">
        <v>1259</v>
      </c>
      <c r="B577" s="9" t="s">
        <v>22</v>
      </c>
      <c r="C577" s="9" t="s">
        <v>806</v>
      </c>
      <c r="D577" s="9" t="s">
        <v>2384</v>
      </c>
      <c r="E577" s="9" t="s">
        <v>62</v>
      </c>
      <c r="F577" s="9" t="s">
        <v>58</v>
      </c>
    </row>
    <row r="578" spans="1:6" x14ac:dyDescent="0.25">
      <c r="A578" s="9" t="s">
        <v>1261</v>
      </c>
      <c r="B578" s="9" t="s">
        <v>24</v>
      </c>
      <c r="C578" s="9" t="s">
        <v>254</v>
      </c>
      <c r="D578" s="9" t="s">
        <v>2385</v>
      </c>
      <c r="E578" s="9" t="s">
        <v>64</v>
      </c>
      <c r="F578" s="9" t="s">
        <v>55</v>
      </c>
    </row>
    <row r="579" spans="1:6" x14ac:dyDescent="0.25">
      <c r="A579" s="9" t="s">
        <v>1263</v>
      </c>
      <c r="B579" s="9" t="s">
        <v>14</v>
      </c>
      <c r="C579" s="9" t="s">
        <v>835</v>
      </c>
      <c r="D579" s="9" t="s">
        <v>2386</v>
      </c>
      <c r="E579" s="9" t="s">
        <v>65</v>
      </c>
      <c r="F579" s="9" t="s">
        <v>51</v>
      </c>
    </row>
    <row r="580" spans="1:6" x14ac:dyDescent="0.25">
      <c r="A580" s="9" t="s">
        <v>1265</v>
      </c>
      <c r="B580" s="9" t="s">
        <v>24</v>
      </c>
      <c r="C580" s="9" t="s">
        <v>400</v>
      </c>
      <c r="D580" s="9" t="s">
        <v>2386</v>
      </c>
      <c r="E580" s="9" t="s">
        <v>65</v>
      </c>
      <c r="F580" s="9" t="s">
        <v>47</v>
      </c>
    </row>
    <row r="581" spans="1:6" x14ac:dyDescent="0.25">
      <c r="A581" s="9" t="s">
        <v>1266</v>
      </c>
      <c r="B581" s="9" t="s">
        <v>14</v>
      </c>
      <c r="C581" s="9" t="s">
        <v>1048</v>
      </c>
      <c r="D581" s="9" t="s">
        <v>2387</v>
      </c>
      <c r="E581" s="9" t="s">
        <v>62</v>
      </c>
      <c r="F581" s="9" t="s">
        <v>47</v>
      </c>
    </row>
    <row r="582" spans="1:6" x14ac:dyDescent="0.25">
      <c r="A582" s="9" t="s">
        <v>1268</v>
      </c>
      <c r="B582" s="9" t="s">
        <v>14</v>
      </c>
      <c r="C582" s="9" t="s">
        <v>920</v>
      </c>
      <c r="D582" s="9" t="s">
        <v>2387</v>
      </c>
      <c r="E582" s="9" t="s">
        <v>64</v>
      </c>
      <c r="F582" s="9" t="s">
        <v>47</v>
      </c>
    </row>
    <row r="583" spans="1:6" x14ac:dyDescent="0.25">
      <c r="A583" s="9" t="s">
        <v>1269</v>
      </c>
      <c r="B583" s="9" t="s">
        <v>18</v>
      </c>
      <c r="C583" s="9" t="s">
        <v>79</v>
      </c>
      <c r="D583" s="9" t="s">
        <v>2388</v>
      </c>
      <c r="E583" s="9" t="s">
        <v>62</v>
      </c>
      <c r="F583" s="9" t="s">
        <v>53</v>
      </c>
    </row>
    <row r="584" spans="1:6" x14ac:dyDescent="0.25">
      <c r="A584" s="9" t="s">
        <v>1271</v>
      </c>
      <c r="B584" s="9" t="s">
        <v>12</v>
      </c>
      <c r="C584" s="9" t="s">
        <v>1183</v>
      </c>
      <c r="D584" s="9" t="s">
        <v>2388</v>
      </c>
      <c r="E584" s="9" t="s">
        <v>63</v>
      </c>
      <c r="F584" s="9" t="s">
        <v>58</v>
      </c>
    </row>
    <row r="585" spans="1:6" x14ac:dyDescent="0.25">
      <c r="A585" s="9" t="s">
        <v>1272</v>
      </c>
      <c r="B585" s="9" t="s">
        <v>20</v>
      </c>
      <c r="C585" s="9" t="s">
        <v>1273</v>
      </c>
      <c r="D585" s="9" t="s">
        <v>2389</v>
      </c>
      <c r="E585" s="9" t="s">
        <v>63</v>
      </c>
      <c r="F585" s="9" t="s">
        <v>45</v>
      </c>
    </row>
    <row r="586" spans="1:6" x14ac:dyDescent="0.25">
      <c r="A586" s="9" t="s">
        <v>1275</v>
      </c>
      <c r="B586" s="9" t="s">
        <v>20</v>
      </c>
      <c r="C586" s="9" t="s">
        <v>278</v>
      </c>
      <c r="D586" s="9" t="s">
        <v>2390</v>
      </c>
      <c r="E586" s="9" t="s">
        <v>67</v>
      </c>
      <c r="F586" s="9" t="s">
        <v>53</v>
      </c>
    </row>
    <row r="587" spans="1:6" x14ac:dyDescent="0.25">
      <c r="A587" s="9" t="s">
        <v>1277</v>
      </c>
      <c r="B587" s="9" t="s">
        <v>18</v>
      </c>
      <c r="C587" s="9" t="s">
        <v>128</v>
      </c>
      <c r="D587" s="9" t="s">
        <v>2390</v>
      </c>
      <c r="E587" s="9" t="s">
        <v>64</v>
      </c>
      <c r="F587" s="9" t="s">
        <v>51</v>
      </c>
    </row>
    <row r="588" spans="1:6" x14ac:dyDescent="0.25">
      <c r="A588" s="9" t="s">
        <v>1278</v>
      </c>
      <c r="B588" s="9" t="s">
        <v>22</v>
      </c>
      <c r="C588" s="9" t="s">
        <v>328</v>
      </c>
      <c r="D588" s="9" t="s">
        <v>2391</v>
      </c>
      <c r="E588" s="9" t="s">
        <v>66</v>
      </c>
      <c r="F588" s="9" t="s">
        <v>49</v>
      </c>
    </row>
    <row r="589" spans="1:6" x14ac:dyDescent="0.25">
      <c r="A589" s="9" t="s">
        <v>1280</v>
      </c>
      <c r="B589" s="9" t="s">
        <v>16</v>
      </c>
      <c r="C589" s="9" t="s">
        <v>1281</v>
      </c>
      <c r="D589" s="9" t="s">
        <v>2392</v>
      </c>
      <c r="E589" s="9" t="s">
        <v>64</v>
      </c>
      <c r="F589" s="9" t="s">
        <v>51</v>
      </c>
    </row>
    <row r="590" spans="1:6" x14ac:dyDescent="0.25">
      <c r="A590" s="9" t="s">
        <v>1283</v>
      </c>
      <c r="B590" s="9" t="s">
        <v>18</v>
      </c>
      <c r="C590" s="9" t="s">
        <v>88</v>
      </c>
      <c r="D590" s="9" t="s">
        <v>2393</v>
      </c>
      <c r="E590" s="9" t="s">
        <v>64</v>
      </c>
      <c r="F590" s="9" t="s">
        <v>58</v>
      </c>
    </row>
    <row r="591" spans="1:6" x14ac:dyDescent="0.25">
      <c r="A591" s="9" t="s">
        <v>1285</v>
      </c>
      <c r="B591" s="9" t="s">
        <v>18</v>
      </c>
      <c r="C591" s="9" t="s">
        <v>73</v>
      </c>
      <c r="D591" s="9" t="s">
        <v>2394</v>
      </c>
      <c r="E591" s="9" t="s">
        <v>63</v>
      </c>
      <c r="F591" s="9" t="s">
        <v>55</v>
      </c>
    </row>
    <row r="592" spans="1:6" x14ac:dyDescent="0.25">
      <c r="A592" s="9" t="s">
        <v>1287</v>
      </c>
      <c r="B592" s="9" t="s">
        <v>16</v>
      </c>
      <c r="C592" s="9" t="s">
        <v>925</v>
      </c>
      <c r="D592" s="9" t="s">
        <v>2395</v>
      </c>
      <c r="E592" s="9" t="s">
        <v>65</v>
      </c>
      <c r="F592" s="9" t="s">
        <v>51</v>
      </c>
    </row>
    <row r="593" spans="1:6" x14ac:dyDescent="0.25">
      <c r="A593" s="9" t="s">
        <v>1289</v>
      </c>
      <c r="B593" s="9" t="s">
        <v>14</v>
      </c>
      <c r="C593" s="9" t="s">
        <v>343</v>
      </c>
      <c r="D593" s="9" t="s">
        <v>2396</v>
      </c>
      <c r="E593" s="9" t="s">
        <v>64</v>
      </c>
      <c r="F593" s="9" t="s">
        <v>45</v>
      </c>
    </row>
    <row r="594" spans="1:6" x14ac:dyDescent="0.25">
      <c r="A594" s="9" t="s">
        <v>1291</v>
      </c>
      <c r="B594" s="9" t="s">
        <v>18</v>
      </c>
      <c r="C594" s="9" t="s">
        <v>539</v>
      </c>
      <c r="D594" s="9" t="s">
        <v>2396</v>
      </c>
      <c r="E594" s="9" t="s">
        <v>66</v>
      </c>
      <c r="F594" s="9" t="s">
        <v>49</v>
      </c>
    </row>
    <row r="595" spans="1:6" x14ac:dyDescent="0.25">
      <c r="A595" s="9" t="s">
        <v>1292</v>
      </c>
      <c r="B595" s="9" t="s">
        <v>24</v>
      </c>
      <c r="C595" s="9" t="s">
        <v>542</v>
      </c>
      <c r="D595" s="9" t="s">
        <v>2397</v>
      </c>
      <c r="E595" s="9" t="s">
        <v>62</v>
      </c>
      <c r="F595" s="9" t="s">
        <v>58</v>
      </c>
    </row>
    <row r="596" spans="1:6" x14ac:dyDescent="0.25">
      <c r="A596" s="9" t="s">
        <v>1294</v>
      </c>
      <c r="B596" s="9" t="s">
        <v>12</v>
      </c>
      <c r="C596" s="9" t="s">
        <v>662</v>
      </c>
      <c r="D596" s="9" t="s">
        <v>2398</v>
      </c>
      <c r="E596" s="9" t="s">
        <v>62</v>
      </c>
      <c r="F596" s="9" t="s">
        <v>43</v>
      </c>
    </row>
    <row r="597" spans="1:6" x14ac:dyDescent="0.25">
      <c r="A597" s="9" t="s">
        <v>1296</v>
      </c>
      <c r="B597" s="9" t="s">
        <v>16</v>
      </c>
      <c r="C597" s="9" t="s">
        <v>217</v>
      </c>
      <c r="D597" s="9" t="s">
        <v>2398</v>
      </c>
      <c r="E597" s="9" t="s">
        <v>64</v>
      </c>
      <c r="F597" s="9" t="s">
        <v>58</v>
      </c>
    </row>
    <row r="598" spans="1:6" x14ac:dyDescent="0.25">
      <c r="A598" s="9" t="s">
        <v>1297</v>
      </c>
      <c r="B598" s="9" t="s">
        <v>18</v>
      </c>
      <c r="C598" s="9" t="s">
        <v>174</v>
      </c>
      <c r="D598" s="9" t="s">
        <v>2399</v>
      </c>
      <c r="E598" s="9" t="s">
        <v>62</v>
      </c>
      <c r="F598" s="9" t="s">
        <v>43</v>
      </c>
    </row>
    <row r="599" spans="1:6" x14ac:dyDescent="0.25">
      <c r="A599" s="9" t="s">
        <v>1299</v>
      </c>
      <c r="B599" s="9" t="s">
        <v>16</v>
      </c>
      <c r="C599" s="9" t="s">
        <v>675</v>
      </c>
      <c r="D599" s="9" t="s">
        <v>2400</v>
      </c>
      <c r="E599" s="9" t="s">
        <v>64</v>
      </c>
      <c r="F599" s="9" t="s">
        <v>55</v>
      </c>
    </row>
    <row r="600" spans="1:6" x14ac:dyDescent="0.25">
      <c r="A600" s="9" t="s">
        <v>1301</v>
      </c>
      <c r="B600" s="9" t="s">
        <v>22</v>
      </c>
      <c r="C600" s="9" t="s">
        <v>1048</v>
      </c>
      <c r="D600" s="9" t="s">
        <v>2400</v>
      </c>
      <c r="E600" s="9" t="s">
        <v>66</v>
      </c>
      <c r="F600" s="9" t="s">
        <v>53</v>
      </c>
    </row>
    <row r="601" spans="1:6" x14ac:dyDescent="0.25">
      <c r="A601" s="9" t="s">
        <v>1302</v>
      </c>
      <c r="B601" s="9" t="s">
        <v>12</v>
      </c>
      <c r="C601" s="9" t="s">
        <v>278</v>
      </c>
      <c r="D601" s="9" t="s">
        <v>2401</v>
      </c>
      <c r="E601" s="9" t="s">
        <v>62</v>
      </c>
      <c r="F601" s="9" t="s">
        <v>43</v>
      </c>
    </row>
    <row r="602" spans="1:6" x14ac:dyDescent="0.25">
      <c r="A602" s="9" t="s">
        <v>1304</v>
      </c>
      <c r="B602" s="9" t="s">
        <v>16</v>
      </c>
      <c r="C602" s="9" t="s">
        <v>134</v>
      </c>
      <c r="D602" s="9" t="s">
        <v>2401</v>
      </c>
      <c r="E602" s="9" t="s">
        <v>65</v>
      </c>
      <c r="F602" s="9" t="s">
        <v>43</v>
      </c>
    </row>
    <row r="603" spans="1:6" x14ac:dyDescent="0.25">
      <c r="A603" s="9" t="s">
        <v>1305</v>
      </c>
      <c r="B603" s="9" t="s">
        <v>12</v>
      </c>
      <c r="C603" s="9" t="s">
        <v>191</v>
      </c>
      <c r="D603" s="9" t="s">
        <v>2402</v>
      </c>
      <c r="E603" s="9" t="s">
        <v>63</v>
      </c>
      <c r="F603" s="9" t="s">
        <v>45</v>
      </c>
    </row>
    <row r="604" spans="1:6" x14ac:dyDescent="0.25">
      <c r="A604" s="9" t="s">
        <v>1307</v>
      </c>
      <c r="B604" s="9" t="s">
        <v>16</v>
      </c>
      <c r="C604" s="9" t="s">
        <v>705</v>
      </c>
      <c r="D604" s="9" t="s">
        <v>2403</v>
      </c>
      <c r="E604" s="9" t="s">
        <v>67</v>
      </c>
      <c r="F604" s="9" t="s">
        <v>49</v>
      </c>
    </row>
    <row r="605" spans="1:6" x14ac:dyDescent="0.25">
      <c r="A605" s="9" t="s">
        <v>1309</v>
      </c>
      <c r="B605" s="9" t="s">
        <v>16</v>
      </c>
      <c r="C605" s="9" t="s">
        <v>202</v>
      </c>
      <c r="D605" s="9" t="s">
        <v>2404</v>
      </c>
      <c r="E605" s="9" t="s">
        <v>66</v>
      </c>
      <c r="F605" s="9" t="s">
        <v>43</v>
      </c>
    </row>
    <row r="606" spans="1:6" x14ac:dyDescent="0.25">
      <c r="A606" s="9" t="s">
        <v>1311</v>
      </c>
      <c r="B606" s="9" t="s">
        <v>16</v>
      </c>
      <c r="C606" s="9" t="s">
        <v>1229</v>
      </c>
      <c r="D606" s="9" t="s">
        <v>2405</v>
      </c>
      <c r="E606" s="9" t="s">
        <v>64</v>
      </c>
      <c r="F606" s="9" t="s">
        <v>45</v>
      </c>
    </row>
    <row r="607" spans="1:6" x14ac:dyDescent="0.25">
      <c r="A607" s="9" t="s">
        <v>1313</v>
      </c>
      <c r="B607" s="9" t="s">
        <v>20</v>
      </c>
      <c r="C607" s="9" t="s">
        <v>1314</v>
      </c>
      <c r="D607" s="9" t="s">
        <v>2406</v>
      </c>
      <c r="E607" s="9" t="s">
        <v>64</v>
      </c>
      <c r="F607" s="9" t="s">
        <v>55</v>
      </c>
    </row>
    <row r="608" spans="1:6" x14ac:dyDescent="0.25">
      <c r="A608" s="9" t="s">
        <v>1316</v>
      </c>
      <c r="B608" s="9" t="s">
        <v>12</v>
      </c>
      <c r="C608" s="9" t="s">
        <v>1317</v>
      </c>
      <c r="D608" s="9" t="s">
        <v>2406</v>
      </c>
      <c r="E608" s="9" t="s">
        <v>66</v>
      </c>
      <c r="F608" s="9" t="s">
        <v>49</v>
      </c>
    </row>
    <row r="609" spans="1:6" x14ac:dyDescent="0.25">
      <c r="A609" s="9" t="s">
        <v>1318</v>
      </c>
      <c r="B609" s="9" t="s">
        <v>14</v>
      </c>
      <c r="C609" s="9" t="s">
        <v>705</v>
      </c>
      <c r="D609" s="9" t="s">
        <v>2406</v>
      </c>
      <c r="E609" s="9" t="s">
        <v>63</v>
      </c>
      <c r="F609" s="9" t="s">
        <v>49</v>
      </c>
    </row>
    <row r="610" spans="1:6" x14ac:dyDescent="0.25">
      <c r="A610" s="9" t="s">
        <v>1319</v>
      </c>
      <c r="B610" s="9" t="s">
        <v>12</v>
      </c>
      <c r="C610" s="9" t="s">
        <v>374</v>
      </c>
      <c r="D610" s="9" t="s">
        <v>2407</v>
      </c>
      <c r="E610" s="9" t="s">
        <v>63</v>
      </c>
      <c r="F610" s="9" t="s">
        <v>47</v>
      </c>
    </row>
    <row r="611" spans="1:6" x14ac:dyDescent="0.25">
      <c r="A611" s="9" t="s">
        <v>1321</v>
      </c>
      <c r="B611" s="9" t="s">
        <v>16</v>
      </c>
      <c r="C611" s="9" t="s">
        <v>1322</v>
      </c>
      <c r="D611" s="9" t="s">
        <v>2408</v>
      </c>
      <c r="E611" s="9" t="s">
        <v>67</v>
      </c>
      <c r="F611" s="9" t="s">
        <v>49</v>
      </c>
    </row>
    <row r="612" spans="1:6" x14ac:dyDescent="0.25">
      <c r="A612" s="9" t="s">
        <v>1324</v>
      </c>
      <c r="B612" s="9" t="s">
        <v>22</v>
      </c>
      <c r="C612" s="9" t="s">
        <v>374</v>
      </c>
      <c r="D612" s="9" t="s">
        <v>2409</v>
      </c>
      <c r="E612" s="9" t="s">
        <v>65</v>
      </c>
      <c r="F612" s="9" t="s">
        <v>51</v>
      </c>
    </row>
    <row r="613" spans="1:6" x14ac:dyDescent="0.25">
      <c r="A613" s="9" t="s">
        <v>1326</v>
      </c>
      <c r="B613" s="9" t="s">
        <v>16</v>
      </c>
      <c r="C613" s="9" t="s">
        <v>1327</v>
      </c>
      <c r="D613" s="9" t="s">
        <v>2410</v>
      </c>
      <c r="E613" s="9" t="s">
        <v>65</v>
      </c>
      <c r="F613" s="9" t="s">
        <v>43</v>
      </c>
    </row>
    <row r="614" spans="1:6" x14ac:dyDescent="0.25">
      <c r="A614" s="9" t="s">
        <v>1329</v>
      </c>
      <c r="B614" s="9" t="s">
        <v>16</v>
      </c>
      <c r="C614" s="9" t="s">
        <v>503</v>
      </c>
      <c r="D614" s="9" t="s">
        <v>2410</v>
      </c>
      <c r="E614" s="9" t="s">
        <v>62</v>
      </c>
      <c r="F614" s="9" t="s">
        <v>61</v>
      </c>
    </row>
    <row r="615" spans="1:6" x14ac:dyDescent="0.25">
      <c r="A615" s="9" t="s">
        <v>1330</v>
      </c>
      <c r="B615" s="9" t="s">
        <v>12</v>
      </c>
      <c r="C615" s="9" t="s">
        <v>275</v>
      </c>
      <c r="D615" s="9" t="s">
        <v>2410</v>
      </c>
      <c r="E615" s="9" t="s">
        <v>64</v>
      </c>
      <c r="F615" s="9" t="s">
        <v>49</v>
      </c>
    </row>
    <row r="616" spans="1:6" x14ac:dyDescent="0.25">
      <c r="A616" s="9" t="s">
        <v>1331</v>
      </c>
      <c r="B616" s="9" t="s">
        <v>14</v>
      </c>
      <c r="C616" s="9" t="s">
        <v>470</v>
      </c>
      <c r="D616" s="9" t="s">
        <v>2411</v>
      </c>
      <c r="E616" s="9" t="s">
        <v>64</v>
      </c>
      <c r="F616" s="9" t="s">
        <v>58</v>
      </c>
    </row>
    <row r="617" spans="1:6" x14ac:dyDescent="0.25">
      <c r="A617" s="9" t="s">
        <v>1333</v>
      </c>
      <c r="B617" s="9" t="s">
        <v>22</v>
      </c>
      <c r="C617" s="9" t="s">
        <v>222</v>
      </c>
      <c r="D617" s="9" t="s">
        <v>2412</v>
      </c>
      <c r="E617" s="9" t="s">
        <v>67</v>
      </c>
      <c r="F617" s="9" t="s">
        <v>47</v>
      </c>
    </row>
    <row r="618" spans="1:6" x14ac:dyDescent="0.25">
      <c r="A618" s="9" t="s">
        <v>1335</v>
      </c>
      <c r="B618" s="9" t="s">
        <v>24</v>
      </c>
      <c r="C618" s="9" t="s">
        <v>171</v>
      </c>
      <c r="D618" s="9" t="s">
        <v>2413</v>
      </c>
      <c r="E618" s="9" t="s">
        <v>63</v>
      </c>
      <c r="F618" s="9" t="s">
        <v>61</v>
      </c>
    </row>
    <row r="619" spans="1:6" x14ac:dyDescent="0.25">
      <c r="A619" s="9" t="s">
        <v>1337</v>
      </c>
      <c r="B619" s="9" t="s">
        <v>14</v>
      </c>
      <c r="C619" s="9" t="s">
        <v>670</v>
      </c>
      <c r="D619" s="9" t="s">
        <v>2413</v>
      </c>
      <c r="E619" s="9" t="s">
        <v>67</v>
      </c>
      <c r="F619" s="9" t="s">
        <v>43</v>
      </c>
    </row>
    <row r="620" spans="1:6" x14ac:dyDescent="0.25">
      <c r="A620" s="9" t="s">
        <v>1338</v>
      </c>
      <c r="B620" s="9" t="s">
        <v>20</v>
      </c>
      <c r="C620" s="9" t="s">
        <v>165</v>
      </c>
      <c r="D620" s="9" t="s">
        <v>2413</v>
      </c>
      <c r="E620" s="9" t="s">
        <v>64</v>
      </c>
      <c r="F620" s="9" t="s">
        <v>43</v>
      </c>
    </row>
    <row r="621" spans="1:6" x14ac:dyDescent="0.25">
      <c r="A621" s="9" t="s">
        <v>1339</v>
      </c>
      <c r="B621" s="9" t="s">
        <v>20</v>
      </c>
      <c r="C621" s="9" t="s">
        <v>662</v>
      </c>
      <c r="D621" s="9" t="s">
        <v>2414</v>
      </c>
      <c r="E621" s="9" t="s">
        <v>67</v>
      </c>
      <c r="F621" s="9" t="s">
        <v>47</v>
      </c>
    </row>
    <row r="622" spans="1:6" x14ac:dyDescent="0.25">
      <c r="A622" s="9" t="s">
        <v>1341</v>
      </c>
      <c r="B622" s="9" t="s">
        <v>22</v>
      </c>
      <c r="C622" s="9" t="s">
        <v>925</v>
      </c>
      <c r="D622" s="9" t="s">
        <v>2415</v>
      </c>
      <c r="E622" s="9" t="s">
        <v>62</v>
      </c>
      <c r="F622" s="9" t="s">
        <v>49</v>
      </c>
    </row>
    <row r="623" spans="1:6" x14ac:dyDescent="0.25">
      <c r="A623" s="9" t="s">
        <v>1343</v>
      </c>
      <c r="B623" s="9" t="s">
        <v>14</v>
      </c>
      <c r="C623" s="9" t="s">
        <v>1344</v>
      </c>
      <c r="D623" s="9" t="s">
        <v>2416</v>
      </c>
      <c r="E623" s="9" t="s">
        <v>64</v>
      </c>
      <c r="F623" s="9" t="s">
        <v>43</v>
      </c>
    </row>
    <row r="624" spans="1:6" x14ac:dyDescent="0.25">
      <c r="A624" s="9" t="s">
        <v>1346</v>
      </c>
      <c r="B624" s="9" t="s">
        <v>16</v>
      </c>
      <c r="C624" s="9" t="s">
        <v>810</v>
      </c>
      <c r="D624" s="9" t="s">
        <v>2417</v>
      </c>
      <c r="E624" s="9" t="s">
        <v>64</v>
      </c>
      <c r="F624" s="9" t="s">
        <v>47</v>
      </c>
    </row>
    <row r="625" spans="1:6" x14ac:dyDescent="0.25">
      <c r="A625" s="9" t="s">
        <v>1348</v>
      </c>
      <c r="B625" s="9" t="s">
        <v>12</v>
      </c>
      <c r="C625" s="9" t="s">
        <v>1349</v>
      </c>
      <c r="D625" s="9" t="s">
        <v>2417</v>
      </c>
      <c r="E625" s="9" t="s">
        <v>62</v>
      </c>
      <c r="F625" s="9" t="s">
        <v>43</v>
      </c>
    </row>
    <row r="626" spans="1:6" x14ac:dyDescent="0.25">
      <c r="A626" s="9" t="s">
        <v>1350</v>
      </c>
      <c r="B626" s="9" t="s">
        <v>14</v>
      </c>
      <c r="C626" s="9" t="s">
        <v>333</v>
      </c>
      <c r="D626" s="9" t="s">
        <v>2417</v>
      </c>
      <c r="E626" s="9" t="s">
        <v>67</v>
      </c>
      <c r="F626" s="9" t="s">
        <v>45</v>
      </c>
    </row>
    <row r="627" spans="1:6" x14ac:dyDescent="0.25">
      <c r="A627" s="9" t="s">
        <v>1351</v>
      </c>
      <c r="B627" s="9" t="s">
        <v>20</v>
      </c>
      <c r="C627" s="9" t="s">
        <v>244</v>
      </c>
      <c r="D627" s="9" t="s">
        <v>2418</v>
      </c>
      <c r="E627" s="9" t="s">
        <v>65</v>
      </c>
      <c r="F627" s="9" t="s">
        <v>49</v>
      </c>
    </row>
    <row r="628" spans="1:6" x14ac:dyDescent="0.25">
      <c r="A628" s="9" t="s">
        <v>1353</v>
      </c>
      <c r="B628" s="9" t="s">
        <v>14</v>
      </c>
      <c r="C628" s="9" t="s">
        <v>378</v>
      </c>
      <c r="D628" s="9" t="s">
        <v>2418</v>
      </c>
      <c r="E628" s="9" t="s">
        <v>62</v>
      </c>
      <c r="F628" s="9" t="s">
        <v>55</v>
      </c>
    </row>
    <row r="629" spans="1:6" x14ac:dyDescent="0.25">
      <c r="A629" s="9" t="s">
        <v>1354</v>
      </c>
      <c r="B629" s="9" t="s">
        <v>18</v>
      </c>
      <c r="C629" s="9" t="s">
        <v>772</v>
      </c>
      <c r="D629" s="9" t="s">
        <v>2419</v>
      </c>
      <c r="E629" s="9" t="s">
        <v>67</v>
      </c>
      <c r="F629" s="9" t="s">
        <v>53</v>
      </c>
    </row>
    <row r="630" spans="1:6" x14ac:dyDescent="0.25">
      <c r="A630" s="9" t="s">
        <v>1356</v>
      </c>
      <c r="B630" s="9" t="s">
        <v>24</v>
      </c>
      <c r="C630" s="9" t="s">
        <v>88</v>
      </c>
      <c r="D630" s="9" t="s">
        <v>2420</v>
      </c>
      <c r="E630" s="9" t="s">
        <v>67</v>
      </c>
      <c r="F630" s="9" t="s">
        <v>55</v>
      </c>
    </row>
    <row r="631" spans="1:6" x14ac:dyDescent="0.25">
      <c r="A631" s="9" t="s">
        <v>1358</v>
      </c>
      <c r="B631" s="9" t="s">
        <v>16</v>
      </c>
      <c r="C631" s="9" t="s">
        <v>286</v>
      </c>
      <c r="D631" s="9" t="s">
        <v>2421</v>
      </c>
      <c r="E631" s="9" t="s">
        <v>63</v>
      </c>
      <c r="F631" s="9" t="s">
        <v>45</v>
      </c>
    </row>
    <row r="632" spans="1:6" x14ac:dyDescent="0.25">
      <c r="A632" s="9" t="s">
        <v>1360</v>
      </c>
      <c r="B632" s="9" t="s">
        <v>22</v>
      </c>
      <c r="C632" s="9" t="s">
        <v>703</v>
      </c>
      <c r="D632" s="9" t="s">
        <v>2422</v>
      </c>
      <c r="E632" s="9" t="s">
        <v>66</v>
      </c>
      <c r="F632" s="9" t="s">
        <v>53</v>
      </c>
    </row>
    <row r="633" spans="1:6" x14ac:dyDescent="0.25">
      <c r="A633" s="9" t="s">
        <v>1362</v>
      </c>
      <c r="B633" s="9" t="s">
        <v>14</v>
      </c>
      <c r="C633" s="9" t="s">
        <v>580</v>
      </c>
      <c r="D633" s="9" t="s">
        <v>2423</v>
      </c>
      <c r="E633" s="9" t="s">
        <v>62</v>
      </c>
      <c r="F633" s="9" t="s">
        <v>47</v>
      </c>
    </row>
    <row r="634" spans="1:6" x14ac:dyDescent="0.25">
      <c r="A634" s="9" t="s">
        <v>1364</v>
      </c>
      <c r="B634" s="9" t="s">
        <v>22</v>
      </c>
      <c r="C634" s="9" t="s">
        <v>512</v>
      </c>
      <c r="D634" s="9" t="s">
        <v>2424</v>
      </c>
      <c r="E634" s="9" t="s">
        <v>65</v>
      </c>
      <c r="F634" s="9" t="s">
        <v>58</v>
      </c>
    </row>
    <row r="635" spans="1:6" x14ac:dyDescent="0.25">
      <c r="A635" s="9" t="s">
        <v>1366</v>
      </c>
      <c r="B635" s="9" t="s">
        <v>14</v>
      </c>
      <c r="C635" s="9" t="s">
        <v>307</v>
      </c>
      <c r="D635" s="9" t="s">
        <v>2425</v>
      </c>
      <c r="E635" s="9" t="s">
        <v>66</v>
      </c>
      <c r="F635" s="9" t="s">
        <v>55</v>
      </c>
    </row>
    <row r="636" spans="1:6" x14ac:dyDescent="0.25">
      <c r="A636" s="9" t="s">
        <v>1368</v>
      </c>
      <c r="B636" s="9" t="s">
        <v>22</v>
      </c>
      <c r="C636" s="9" t="s">
        <v>547</v>
      </c>
      <c r="D636" s="9" t="s">
        <v>2426</v>
      </c>
      <c r="E636" s="9" t="s">
        <v>63</v>
      </c>
      <c r="F636" s="9" t="s">
        <v>55</v>
      </c>
    </row>
    <row r="637" spans="1:6" x14ac:dyDescent="0.25">
      <c r="A637" s="9" t="s">
        <v>1370</v>
      </c>
      <c r="B637" s="9" t="s">
        <v>12</v>
      </c>
      <c r="C637" s="9" t="s">
        <v>840</v>
      </c>
      <c r="D637" s="9" t="s">
        <v>2427</v>
      </c>
      <c r="E637" s="9" t="s">
        <v>63</v>
      </c>
      <c r="F637" s="9" t="s">
        <v>49</v>
      </c>
    </row>
    <row r="638" spans="1:6" x14ac:dyDescent="0.25">
      <c r="A638" s="9" t="s">
        <v>1372</v>
      </c>
      <c r="B638" s="9" t="s">
        <v>24</v>
      </c>
      <c r="C638" s="9" t="s">
        <v>624</v>
      </c>
      <c r="D638" s="9" t="s">
        <v>2428</v>
      </c>
      <c r="E638" s="9" t="s">
        <v>64</v>
      </c>
      <c r="F638" s="9" t="s">
        <v>53</v>
      </c>
    </row>
    <row r="639" spans="1:6" x14ac:dyDescent="0.25">
      <c r="A639" s="9" t="s">
        <v>1374</v>
      </c>
      <c r="B639" s="9" t="s">
        <v>22</v>
      </c>
      <c r="C639" s="9" t="s">
        <v>117</v>
      </c>
      <c r="D639" s="9" t="s">
        <v>2429</v>
      </c>
      <c r="E639" s="9" t="s">
        <v>64</v>
      </c>
      <c r="F639" s="9" t="s">
        <v>55</v>
      </c>
    </row>
    <row r="640" spans="1:6" x14ac:dyDescent="0.25">
      <c r="A640" s="9" t="s">
        <v>1376</v>
      </c>
      <c r="B640" s="9" t="s">
        <v>24</v>
      </c>
      <c r="C640" s="9" t="s">
        <v>365</v>
      </c>
      <c r="D640" s="9" t="s">
        <v>2429</v>
      </c>
      <c r="E640" s="9" t="s">
        <v>67</v>
      </c>
      <c r="F640" s="9" t="s">
        <v>51</v>
      </c>
    </row>
    <row r="641" spans="1:6" x14ac:dyDescent="0.25">
      <c r="A641" s="9" t="s">
        <v>1377</v>
      </c>
      <c r="B641" s="9" t="s">
        <v>12</v>
      </c>
      <c r="C641" s="9" t="s">
        <v>874</v>
      </c>
      <c r="D641" s="9" t="s">
        <v>2430</v>
      </c>
      <c r="E641" s="9" t="s">
        <v>67</v>
      </c>
      <c r="F641" s="9" t="s">
        <v>47</v>
      </c>
    </row>
    <row r="642" spans="1:6" x14ac:dyDescent="0.25">
      <c r="A642" s="9" t="s">
        <v>1379</v>
      </c>
      <c r="B642" s="9" t="s">
        <v>16</v>
      </c>
      <c r="C642" s="9" t="s">
        <v>312</v>
      </c>
      <c r="D642" s="9" t="s">
        <v>2430</v>
      </c>
      <c r="E642" s="9" t="s">
        <v>67</v>
      </c>
      <c r="F642" s="9" t="s">
        <v>51</v>
      </c>
    </row>
    <row r="643" spans="1:6" x14ac:dyDescent="0.25">
      <c r="A643" s="9" t="s">
        <v>1380</v>
      </c>
      <c r="B643" s="9" t="s">
        <v>14</v>
      </c>
      <c r="C643" s="9" t="s">
        <v>1381</v>
      </c>
      <c r="D643" s="9" t="s">
        <v>2431</v>
      </c>
      <c r="E643" s="9" t="s">
        <v>62</v>
      </c>
      <c r="F643" s="9" t="s">
        <v>53</v>
      </c>
    </row>
    <row r="644" spans="1:6" x14ac:dyDescent="0.25">
      <c r="A644" s="9" t="s">
        <v>1383</v>
      </c>
      <c r="B644" s="9" t="s">
        <v>18</v>
      </c>
      <c r="C644" s="9" t="s">
        <v>264</v>
      </c>
      <c r="D644" s="9" t="s">
        <v>2432</v>
      </c>
      <c r="E644" s="9" t="s">
        <v>63</v>
      </c>
      <c r="F644" s="9" t="s">
        <v>55</v>
      </c>
    </row>
    <row r="645" spans="1:6" x14ac:dyDescent="0.25">
      <c r="A645" s="9" t="s">
        <v>1385</v>
      </c>
      <c r="B645" s="9" t="s">
        <v>22</v>
      </c>
      <c r="C645" s="9" t="s">
        <v>703</v>
      </c>
      <c r="D645" s="9" t="s">
        <v>2433</v>
      </c>
      <c r="E645" s="9" t="s">
        <v>67</v>
      </c>
      <c r="F645" s="9" t="s">
        <v>47</v>
      </c>
    </row>
    <row r="646" spans="1:6" x14ac:dyDescent="0.25">
      <c r="A646" s="9" t="s">
        <v>1387</v>
      </c>
      <c r="B646" s="9" t="s">
        <v>12</v>
      </c>
      <c r="C646" s="9" t="s">
        <v>73</v>
      </c>
      <c r="D646" s="9" t="s">
        <v>2433</v>
      </c>
      <c r="E646" s="9" t="s">
        <v>64</v>
      </c>
      <c r="F646" s="9" t="s">
        <v>58</v>
      </c>
    </row>
    <row r="647" spans="1:6" x14ac:dyDescent="0.25">
      <c r="A647" s="9" t="s">
        <v>1388</v>
      </c>
      <c r="B647" s="9" t="s">
        <v>16</v>
      </c>
      <c r="C647" s="9" t="s">
        <v>423</v>
      </c>
      <c r="D647" s="9" t="s">
        <v>2434</v>
      </c>
      <c r="E647" s="9" t="s">
        <v>66</v>
      </c>
      <c r="F647" s="9" t="s">
        <v>49</v>
      </c>
    </row>
    <row r="648" spans="1:6" x14ac:dyDescent="0.25">
      <c r="A648" s="9" t="s">
        <v>1390</v>
      </c>
      <c r="B648" s="9" t="s">
        <v>14</v>
      </c>
      <c r="C648" s="9" t="s">
        <v>114</v>
      </c>
      <c r="D648" s="9" t="s">
        <v>2435</v>
      </c>
      <c r="E648" s="9" t="s">
        <v>65</v>
      </c>
      <c r="F648" s="9" t="s">
        <v>45</v>
      </c>
    </row>
    <row r="649" spans="1:6" x14ac:dyDescent="0.25">
      <c r="A649" s="9" t="s">
        <v>1392</v>
      </c>
      <c r="B649" s="9" t="s">
        <v>12</v>
      </c>
      <c r="C649" s="9" t="s">
        <v>137</v>
      </c>
      <c r="D649" s="9" t="s">
        <v>2435</v>
      </c>
      <c r="E649" s="9" t="s">
        <v>62</v>
      </c>
      <c r="F649" s="9" t="s">
        <v>58</v>
      </c>
    </row>
    <row r="650" spans="1:6" x14ac:dyDescent="0.25">
      <c r="A650" s="9" t="s">
        <v>1393</v>
      </c>
      <c r="B650" s="9" t="s">
        <v>18</v>
      </c>
      <c r="C650" s="9" t="s">
        <v>333</v>
      </c>
      <c r="D650" s="9" t="s">
        <v>2436</v>
      </c>
      <c r="E650" s="9" t="s">
        <v>66</v>
      </c>
      <c r="F650" s="9" t="s">
        <v>51</v>
      </c>
    </row>
    <row r="651" spans="1:6" x14ac:dyDescent="0.25">
      <c r="A651" s="9" t="s">
        <v>1395</v>
      </c>
      <c r="B651" s="9" t="s">
        <v>22</v>
      </c>
      <c r="C651" s="9" t="s">
        <v>492</v>
      </c>
      <c r="D651" s="9" t="s">
        <v>2437</v>
      </c>
      <c r="E651" s="9" t="s">
        <v>66</v>
      </c>
      <c r="F651" s="9" t="s">
        <v>55</v>
      </c>
    </row>
    <row r="652" spans="1:6" x14ac:dyDescent="0.25">
      <c r="A652" s="9" t="s">
        <v>1397</v>
      </c>
      <c r="B652" s="9" t="s">
        <v>20</v>
      </c>
      <c r="C652" s="9" t="s">
        <v>300</v>
      </c>
      <c r="D652" s="9" t="s">
        <v>2438</v>
      </c>
      <c r="E652" s="9" t="s">
        <v>64</v>
      </c>
      <c r="F652" s="9" t="s">
        <v>55</v>
      </c>
    </row>
    <row r="653" spans="1:6" x14ac:dyDescent="0.25">
      <c r="A653" s="9" t="s">
        <v>1399</v>
      </c>
      <c r="B653" s="9" t="s">
        <v>20</v>
      </c>
      <c r="C653" s="9" t="s">
        <v>340</v>
      </c>
      <c r="D653" s="9" t="s">
        <v>2439</v>
      </c>
      <c r="E653" s="9" t="s">
        <v>64</v>
      </c>
      <c r="F653" s="9" t="s">
        <v>47</v>
      </c>
    </row>
    <row r="654" spans="1:6" x14ac:dyDescent="0.25">
      <c r="A654" s="9" t="s">
        <v>1401</v>
      </c>
      <c r="B654" s="9" t="s">
        <v>22</v>
      </c>
      <c r="C654" s="9" t="s">
        <v>297</v>
      </c>
      <c r="D654" s="9" t="s">
        <v>2440</v>
      </c>
      <c r="E654" s="9" t="s">
        <v>67</v>
      </c>
      <c r="F654" s="9" t="s">
        <v>49</v>
      </c>
    </row>
    <row r="655" spans="1:6" x14ac:dyDescent="0.25">
      <c r="A655" s="9" t="s">
        <v>1403</v>
      </c>
      <c r="B655" s="9" t="s">
        <v>16</v>
      </c>
      <c r="C655" s="9" t="s">
        <v>150</v>
      </c>
      <c r="D655" s="9" t="s">
        <v>2440</v>
      </c>
      <c r="E655" s="9" t="s">
        <v>65</v>
      </c>
      <c r="F655" s="9" t="s">
        <v>49</v>
      </c>
    </row>
    <row r="656" spans="1:6" x14ac:dyDescent="0.25">
      <c r="A656" s="9" t="s">
        <v>1404</v>
      </c>
      <c r="B656" s="9" t="s">
        <v>24</v>
      </c>
      <c r="C656" s="9" t="s">
        <v>109</v>
      </c>
      <c r="D656" s="9" t="s">
        <v>2441</v>
      </c>
      <c r="E656" s="9" t="s">
        <v>66</v>
      </c>
      <c r="F656" s="9" t="s">
        <v>55</v>
      </c>
    </row>
    <row r="657" spans="1:6" x14ac:dyDescent="0.25">
      <c r="A657" s="9" t="s">
        <v>1406</v>
      </c>
      <c r="B657" s="9" t="s">
        <v>12</v>
      </c>
      <c r="C657" s="9" t="s">
        <v>868</v>
      </c>
      <c r="D657" s="9" t="s">
        <v>2442</v>
      </c>
      <c r="E657" s="9" t="s">
        <v>63</v>
      </c>
      <c r="F657" s="9" t="s">
        <v>47</v>
      </c>
    </row>
    <row r="658" spans="1:6" x14ac:dyDescent="0.25">
      <c r="A658" s="9" t="s">
        <v>1408</v>
      </c>
      <c r="B658" s="9" t="s">
        <v>18</v>
      </c>
      <c r="C658" s="9" t="s">
        <v>1409</v>
      </c>
      <c r="D658" s="9" t="s">
        <v>2442</v>
      </c>
      <c r="E658" s="9" t="s">
        <v>65</v>
      </c>
      <c r="F658" s="9" t="s">
        <v>53</v>
      </c>
    </row>
    <row r="659" spans="1:6" x14ac:dyDescent="0.25">
      <c r="A659" s="9" t="s">
        <v>1410</v>
      </c>
      <c r="B659" s="9" t="s">
        <v>12</v>
      </c>
      <c r="C659" s="9" t="s">
        <v>174</v>
      </c>
      <c r="D659" s="9" t="s">
        <v>2443</v>
      </c>
      <c r="E659" s="9" t="s">
        <v>67</v>
      </c>
      <c r="F659" s="9" t="s">
        <v>47</v>
      </c>
    </row>
    <row r="660" spans="1:6" x14ac:dyDescent="0.25">
      <c r="A660" s="9" t="s">
        <v>1412</v>
      </c>
      <c r="B660" s="9" t="s">
        <v>20</v>
      </c>
      <c r="C660" s="9" t="s">
        <v>792</v>
      </c>
      <c r="D660" s="9" t="s">
        <v>2443</v>
      </c>
      <c r="E660" s="9" t="s">
        <v>66</v>
      </c>
      <c r="F660" s="9" t="s">
        <v>45</v>
      </c>
    </row>
    <row r="661" spans="1:6" x14ac:dyDescent="0.25">
      <c r="A661" s="9" t="s">
        <v>1413</v>
      </c>
      <c r="B661" s="9" t="s">
        <v>22</v>
      </c>
      <c r="C661" s="9" t="s">
        <v>363</v>
      </c>
      <c r="D661" s="9" t="s">
        <v>2444</v>
      </c>
      <c r="E661" s="9" t="s">
        <v>66</v>
      </c>
      <c r="F661" s="9" t="s">
        <v>61</v>
      </c>
    </row>
    <row r="662" spans="1:6" x14ac:dyDescent="0.25">
      <c r="A662" s="9" t="s">
        <v>1415</v>
      </c>
      <c r="B662" s="9" t="s">
        <v>14</v>
      </c>
      <c r="C662" s="9" t="s">
        <v>105</v>
      </c>
      <c r="D662" s="9" t="s">
        <v>2445</v>
      </c>
      <c r="E662" s="9" t="s">
        <v>62</v>
      </c>
      <c r="F662" s="9" t="s">
        <v>55</v>
      </c>
    </row>
    <row r="663" spans="1:6" x14ac:dyDescent="0.25">
      <c r="A663" s="9" t="s">
        <v>1417</v>
      </c>
      <c r="B663" s="9" t="s">
        <v>12</v>
      </c>
      <c r="C663" s="9" t="s">
        <v>1183</v>
      </c>
      <c r="D663" s="9" t="s">
        <v>2446</v>
      </c>
      <c r="E663" s="9" t="s">
        <v>67</v>
      </c>
      <c r="F663" s="9" t="s">
        <v>47</v>
      </c>
    </row>
    <row r="664" spans="1:6" x14ac:dyDescent="0.25">
      <c r="A664" s="9" t="s">
        <v>1419</v>
      </c>
      <c r="B664" s="9" t="s">
        <v>12</v>
      </c>
      <c r="C664" s="9" t="s">
        <v>363</v>
      </c>
      <c r="D664" s="9" t="s">
        <v>2447</v>
      </c>
      <c r="E664" s="9" t="s">
        <v>67</v>
      </c>
      <c r="F664" s="9" t="s">
        <v>51</v>
      </c>
    </row>
    <row r="665" spans="1:6" x14ac:dyDescent="0.25">
      <c r="A665" s="9" t="s">
        <v>1421</v>
      </c>
      <c r="B665" s="9" t="s">
        <v>14</v>
      </c>
      <c r="C665" s="9" t="s">
        <v>168</v>
      </c>
      <c r="D665" s="9" t="s">
        <v>2447</v>
      </c>
      <c r="E665" s="9" t="s">
        <v>63</v>
      </c>
      <c r="F665" s="9" t="s">
        <v>53</v>
      </c>
    </row>
    <row r="666" spans="1:6" x14ac:dyDescent="0.25">
      <c r="A666" s="9" t="s">
        <v>1422</v>
      </c>
      <c r="B666" s="9" t="s">
        <v>22</v>
      </c>
      <c r="C666" s="9" t="s">
        <v>228</v>
      </c>
      <c r="D666" s="9" t="s">
        <v>2448</v>
      </c>
      <c r="E666" s="9" t="s">
        <v>63</v>
      </c>
      <c r="F666" s="9" t="s">
        <v>45</v>
      </c>
    </row>
    <row r="667" spans="1:6" x14ac:dyDescent="0.25">
      <c r="A667" s="9" t="s">
        <v>1424</v>
      </c>
      <c r="B667" s="9" t="s">
        <v>18</v>
      </c>
      <c r="C667" s="9" t="s">
        <v>730</v>
      </c>
      <c r="D667" s="9" t="s">
        <v>2449</v>
      </c>
      <c r="E667" s="9" t="s">
        <v>63</v>
      </c>
      <c r="F667" s="9" t="s">
        <v>51</v>
      </c>
    </row>
    <row r="668" spans="1:6" x14ac:dyDescent="0.25">
      <c r="A668" s="9" t="s">
        <v>1426</v>
      </c>
      <c r="B668" s="9" t="s">
        <v>20</v>
      </c>
      <c r="C668" s="9" t="s">
        <v>214</v>
      </c>
      <c r="D668" s="9" t="s">
        <v>2449</v>
      </c>
      <c r="E668" s="9" t="s">
        <v>67</v>
      </c>
      <c r="F668" s="9" t="s">
        <v>61</v>
      </c>
    </row>
    <row r="669" spans="1:6" x14ac:dyDescent="0.25">
      <c r="A669" s="9" t="s">
        <v>1427</v>
      </c>
      <c r="B669" s="9" t="s">
        <v>18</v>
      </c>
      <c r="C669" s="9" t="s">
        <v>636</v>
      </c>
      <c r="D669" s="9" t="s">
        <v>2450</v>
      </c>
      <c r="E669" s="9" t="s">
        <v>67</v>
      </c>
      <c r="F669" s="9" t="s">
        <v>51</v>
      </c>
    </row>
    <row r="670" spans="1:6" x14ac:dyDescent="0.25">
      <c r="A670" s="9" t="s">
        <v>1429</v>
      </c>
      <c r="B670" s="9" t="s">
        <v>16</v>
      </c>
      <c r="C670" s="9" t="s">
        <v>466</v>
      </c>
      <c r="D670" s="9" t="s">
        <v>2451</v>
      </c>
      <c r="E670" s="9" t="s">
        <v>65</v>
      </c>
      <c r="F670" s="9" t="s">
        <v>49</v>
      </c>
    </row>
    <row r="671" spans="1:6" x14ac:dyDescent="0.25">
      <c r="A671" s="9" t="s">
        <v>1431</v>
      </c>
      <c r="B671" s="9" t="s">
        <v>12</v>
      </c>
      <c r="C671" s="9" t="s">
        <v>1229</v>
      </c>
      <c r="D671" s="9" t="s">
        <v>2451</v>
      </c>
      <c r="E671" s="9" t="s">
        <v>67</v>
      </c>
      <c r="F671" s="9" t="s">
        <v>61</v>
      </c>
    </row>
    <row r="672" spans="1:6" x14ac:dyDescent="0.25">
      <c r="A672" s="9" t="s">
        <v>1432</v>
      </c>
      <c r="B672" s="9" t="s">
        <v>20</v>
      </c>
      <c r="C672" s="9" t="s">
        <v>1022</v>
      </c>
      <c r="D672" s="9" t="s">
        <v>2452</v>
      </c>
      <c r="E672" s="9" t="s">
        <v>67</v>
      </c>
      <c r="F672" s="9" t="s">
        <v>43</v>
      </c>
    </row>
    <row r="673" spans="1:6" x14ac:dyDescent="0.25">
      <c r="A673" s="9" t="s">
        <v>1434</v>
      </c>
      <c r="B673" s="9" t="s">
        <v>20</v>
      </c>
      <c r="C673" s="9" t="s">
        <v>466</v>
      </c>
      <c r="D673" s="9" t="s">
        <v>2452</v>
      </c>
      <c r="E673" s="9" t="s">
        <v>63</v>
      </c>
      <c r="F673" s="9" t="s">
        <v>61</v>
      </c>
    </row>
    <row r="674" spans="1:6" x14ac:dyDescent="0.25">
      <c r="A674" s="9" t="s">
        <v>1435</v>
      </c>
      <c r="B674" s="9" t="s">
        <v>16</v>
      </c>
      <c r="C674" s="9" t="s">
        <v>478</v>
      </c>
      <c r="D674" s="9" t="s">
        <v>2453</v>
      </c>
      <c r="E674" s="9" t="s">
        <v>63</v>
      </c>
      <c r="F674" s="9" t="s">
        <v>53</v>
      </c>
    </row>
    <row r="675" spans="1:6" x14ac:dyDescent="0.25">
      <c r="A675" s="9" t="s">
        <v>1437</v>
      </c>
      <c r="B675" s="9" t="s">
        <v>18</v>
      </c>
      <c r="C675" s="9" t="s">
        <v>411</v>
      </c>
      <c r="D675" s="9" t="s">
        <v>2454</v>
      </c>
      <c r="E675" s="9" t="s">
        <v>67</v>
      </c>
      <c r="F675" s="9" t="s">
        <v>47</v>
      </c>
    </row>
    <row r="676" spans="1:6" x14ac:dyDescent="0.25">
      <c r="A676" s="9" t="s">
        <v>1439</v>
      </c>
      <c r="B676" s="9" t="s">
        <v>14</v>
      </c>
      <c r="C676" s="9" t="s">
        <v>307</v>
      </c>
      <c r="D676" s="9" t="s">
        <v>2454</v>
      </c>
      <c r="E676" s="9" t="s">
        <v>64</v>
      </c>
      <c r="F676" s="9" t="s">
        <v>55</v>
      </c>
    </row>
    <row r="677" spans="1:6" x14ac:dyDescent="0.25">
      <c r="A677" s="9" t="s">
        <v>1440</v>
      </c>
      <c r="B677" s="9" t="s">
        <v>16</v>
      </c>
      <c r="C677" s="9" t="s">
        <v>697</v>
      </c>
      <c r="D677" s="9" t="s">
        <v>2455</v>
      </c>
      <c r="E677" s="9" t="s">
        <v>65</v>
      </c>
      <c r="F677" s="9" t="s">
        <v>47</v>
      </c>
    </row>
    <row r="678" spans="1:6" x14ac:dyDescent="0.25">
      <c r="A678" s="9" t="s">
        <v>1442</v>
      </c>
      <c r="B678" s="9" t="s">
        <v>16</v>
      </c>
      <c r="C678" s="9" t="s">
        <v>1443</v>
      </c>
      <c r="D678" s="9" t="s">
        <v>2455</v>
      </c>
      <c r="E678" s="9" t="s">
        <v>66</v>
      </c>
      <c r="F678" s="9" t="s">
        <v>45</v>
      </c>
    </row>
    <row r="679" spans="1:6" x14ac:dyDescent="0.25">
      <c r="A679" s="9" t="s">
        <v>1444</v>
      </c>
      <c r="B679" s="9" t="s">
        <v>18</v>
      </c>
      <c r="C679" s="9" t="s">
        <v>114</v>
      </c>
      <c r="D679" s="9" t="s">
        <v>2456</v>
      </c>
      <c r="E679" s="9" t="s">
        <v>65</v>
      </c>
      <c r="F679" s="9" t="s">
        <v>47</v>
      </c>
    </row>
    <row r="680" spans="1:6" x14ac:dyDescent="0.25">
      <c r="A680" s="9" t="s">
        <v>1446</v>
      </c>
      <c r="B680" s="9" t="s">
        <v>16</v>
      </c>
      <c r="C680" s="9" t="s">
        <v>494</v>
      </c>
      <c r="D680" s="9" t="s">
        <v>2457</v>
      </c>
      <c r="E680" s="9" t="s">
        <v>67</v>
      </c>
      <c r="F680" s="9" t="s">
        <v>53</v>
      </c>
    </row>
    <row r="681" spans="1:6" x14ac:dyDescent="0.25">
      <c r="A681" s="9" t="s">
        <v>1448</v>
      </c>
      <c r="B681" s="9" t="s">
        <v>16</v>
      </c>
      <c r="C681" s="9" t="s">
        <v>225</v>
      </c>
      <c r="D681" s="9" t="s">
        <v>2457</v>
      </c>
      <c r="E681" s="9" t="s">
        <v>63</v>
      </c>
      <c r="F681" s="9" t="s">
        <v>55</v>
      </c>
    </row>
    <row r="682" spans="1:6" x14ac:dyDescent="0.25">
      <c r="A682" s="9" t="s">
        <v>1449</v>
      </c>
      <c r="B682" s="9" t="s">
        <v>16</v>
      </c>
      <c r="C682" s="9" t="s">
        <v>188</v>
      </c>
      <c r="D682" s="9" t="s">
        <v>2457</v>
      </c>
      <c r="E682" s="9" t="s">
        <v>67</v>
      </c>
      <c r="F682" s="9" t="s">
        <v>53</v>
      </c>
    </row>
    <row r="683" spans="1:6" x14ac:dyDescent="0.25">
      <c r="A683" s="9" t="s">
        <v>1450</v>
      </c>
      <c r="B683" s="9" t="s">
        <v>16</v>
      </c>
      <c r="C683" s="9" t="s">
        <v>365</v>
      </c>
      <c r="D683" s="9" t="s">
        <v>2457</v>
      </c>
      <c r="E683" s="9" t="s">
        <v>67</v>
      </c>
      <c r="F683" s="9" t="s">
        <v>47</v>
      </c>
    </row>
    <row r="684" spans="1:6" x14ac:dyDescent="0.25">
      <c r="A684" s="9" t="s">
        <v>1451</v>
      </c>
      <c r="B684" s="9" t="s">
        <v>12</v>
      </c>
      <c r="C684" s="9" t="s">
        <v>754</v>
      </c>
      <c r="D684" s="9" t="s">
        <v>2458</v>
      </c>
      <c r="E684" s="9" t="s">
        <v>62</v>
      </c>
      <c r="F684" s="9" t="s">
        <v>47</v>
      </c>
    </row>
    <row r="685" spans="1:6" x14ac:dyDescent="0.25">
      <c r="A685" s="9" t="s">
        <v>1453</v>
      </c>
      <c r="B685" s="9" t="s">
        <v>12</v>
      </c>
      <c r="C685" s="9" t="s">
        <v>225</v>
      </c>
      <c r="D685" s="9" t="s">
        <v>2458</v>
      </c>
      <c r="E685" s="9" t="s">
        <v>66</v>
      </c>
      <c r="F685" s="9" t="s">
        <v>45</v>
      </c>
    </row>
    <row r="686" spans="1:6" x14ac:dyDescent="0.25">
      <c r="A686" s="9" t="s">
        <v>1454</v>
      </c>
      <c r="B686" s="9" t="s">
        <v>14</v>
      </c>
      <c r="C686" s="9" t="s">
        <v>694</v>
      </c>
      <c r="D686" s="9" t="s">
        <v>2459</v>
      </c>
      <c r="E686" s="9" t="s">
        <v>63</v>
      </c>
      <c r="F686" s="9" t="s">
        <v>47</v>
      </c>
    </row>
    <row r="687" spans="1:6" x14ac:dyDescent="0.25">
      <c r="A687" s="9" t="s">
        <v>1456</v>
      </c>
      <c r="B687" s="9" t="s">
        <v>12</v>
      </c>
      <c r="C687" s="9" t="s">
        <v>191</v>
      </c>
      <c r="D687" s="9" t="s">
        <v>2459</v>
      </c>
      <c r="E687" s="9" t="s">
        <v>63</v>
      </c>
      <c r="F687" s="9" t="s">
        <v>58</v>
      </c>
    </row>
    <row r="688" spans="1:6" x14ac:dyDescent="0.25">
      <c r="A688" s="9" t="s">
        <v>1457</v>
      </c>
      <c r="B688" s="9" t="s">
        <v>14</v>
      </c>
      <c r="C688" s="9" t="s">
        <v>1151</v>
      </c>
      <c r="D688" s="9" t="s">
        <v>2460</v>
      </c>
      <c r="E688" s="9" t="s">
        <v>66</v>
      </c>
      <c r="F688" s="9" t="s">
        <v>61</v>
      </c>
    </row>
    <row r="689" spans="1:6" x14ac:dyDescent="0.25">
      <c r="A689" s="9" t="s">
        <v>1459</v>
      </c>
      <c r="B689" s="9" t="s">
        <v>14</v>
      </c>
      <c r="C689" s="9" t="s">
        <v>730</v>
      </c>
      <c r="D689" s="9" t="s">
        <v>2461</v>
      </c>
      <c r="E689" s="9" t="s">
        <v>62</v>
      </c>
      <c r="F689" s="9" t="s">
        <v>47</v>
      </c>
    </row>
    <row r="690" spans="1:6" x14ac:dyDescent="0.25">
      <c r="A690" s="9" t="s">
        <v>1461</v>
      </c>
      <c r="B690" s="9" t="s">
        <v>24</v>
      </c>
      <c r="C690" s="9" t="s">
        <v>421</v>
      </c>
      <c r="D690" s="9" t="s">
        <v>2461</v>
      </c>
      <c r="E690" s="9" t="s">
        <v>62</v>
      </c>
      <c r="F690" s="9" t="s">
        <v>55</v>
      </c>
    </row>
    <row r="691" spans="1:6" x14ac:dyDescent="0.25">
      <c r="A691" s="9" t="s">
        <v>1462</v>
      </c>
      <c r="B691" s="9" t="s">
        <v>18</v>
      </c>
      <c r="C691" s="9" t="s">
        <v>86</v>
      </c>
      <c r="D691" s="9" t="s">
        <v>2462</v>
      </c>
      <c r="E691" s="9" t="s">
        <v>64</v>
      </c>
      <c r="F691" s="9" t="s">
        <v>58</v>
      </c>
    </row>
    <row r="692" spans="1:6" x14ac:dyDescent="0.25">
      <c r="A692" s="9" t="s">
        <v>1464</v>
      </c>
      <c r="B692" s="9" t="s">
        <v>22</v>
      </c>
      <c r="C692" s="9" t="s">
        <v>397</v>
      </c>
      <c r="D692" s="9" t="s">
        <v>2463</v>
      </c>
      <c r="E692" s="9" t="s">
        <v>67</v>
      </c>
      <c r="F692" s="9" t="s">
        <v>47</v>
      </c>
    </row>
    <row r="693" spans="1:6" x14ac:dyDescent="0.25">
      <c r="A693" s="9" t="s">
        <v>1466</v>
      </c>
      <c r="B693" s="9" t="s">
        <v>20</v>
      </c>
      <c r="C693" s="9" t="s">
        <v>688</v>
      </c>
      <c r="D693" s="9" t="s">
        <v>2464</v>
      </c>
      <c r="E693" s="9" t="s">
        <v>64</v>
      </c>
      <c r="F693" s="9" t="s">
        <v>51</v>
      </c>
    </row>
    <row r="694" spans="1:6" x14ac:dyDescent="0.25">
      <c r="A694" s="9" t="s">
        <v>1468</v>
      </c>
      <c r="B694" s="9" t="s">
        <v>24</v>
      </c>
      <c r="C694" s="9" t="s">
        <v>257</v>
      </c>
      <c r="D694" s="9" t="s">
        <v>2465</v>
      </c>
      <c r="E694" s="9" t="s">
        <v>62</v>
      </c>
      <c r="F694" s="9" t="s">
        <v>61</v>
      </c>
    </row>
    <row r="695" spans="1:6" x14ac:dyDescent="0.25">
      <c r="A695" s="9" t="s">
        <v>1470</v>
      </c>
      <c r="B695" s="9" t="s">
        <v>22</v>
      </c>
      <c r="C695" s="9" t="s">
        <v>382</v>
      </c>
      <c r="D695" s="9" t="s">
        <v>2466</v>
      </c>
      <c r="E695" s="9" t="s">
        <v>63</v>
      </c>
      <c r="F695" s="9" t="s">
        <v>58</v>
      </c>
    </row>
    <row r="696" spans="1:6" x14ac:dyDescent="0.25">
      <c r="A696" s="9" t="s">
        <v>1472</v>
      </c>
      <c r="B696" s="9" t="s">
        <v>14</v>
      </c>
      <c r="C696" s="9" t="s">
        <v>1344</v>
      </c>
      <c r="D696" s="9" t="s">
        <v>2467</v>
      </c>
      <c r="E696" s="9" t="s">
        <v>66</v>
      </c>
      <c r="F696" s="9" t="s">
        <v>49</v>
      </c>
    </row>
    <row r="697" spans="1:6" x14ac:dyDescent="0.25">
      <c r="A697" s="9" t="s">
        <v>1474</v>
      </c>
      <c r="B697" s="9" t="s">
        <v>16</v>
      </c>
      <c r="C697" s="9" t="s">
        <v>214</v>
      </c>
      <c r="D697" s="9" t="s">
        <v>2467</v>
      </c>
      <c r="E697" s="9" t="s">
        <v>65</v>
      </c>
      <c r="F697" s="9" t="s">
        <v>47</v>
      </c>
    </row>
    <row r="698" spans="1:6" x14ac:dyDescent="0.25">
      <c r="A698" s="9" t="s">
        <v>1475</v>
      </c>
      <c r="B698" s="9" t="s">
        <v>12</v>
      </c>
      <c r="C698" s="9" t="s">
        <v>718</v>
      </c>
      <c r="D698" s="9" t="s">
        <v>2468</v>
      </c>
      <c r="E698" s="9" t="s">
        <v>64</v>
      </c>
      <c r="F698" s="9" t="s">
        <v>43</v>
      </c>
    </row>
    <row r="699" spans="1:6" x14ac:dyDescent="0.25">
      <c r="A699" s="9" t="s">
        <v>1477</v>
      </c>
      <c r="B699" s="9" t="s">
        <v>18</v>
      </c>
      <c r="C699" s="9" t="s">
        <v>363</v>
      </c>
      <c r="D699" s="9" t="s">
        <v>2468</v>
      </c>
      <c r="E699" s="9" t="s">
        <v>64</v>
      </c>
      <c r="F699" s="9" t="s">
        <v>43</v>
      </c>
    </row>
    <row r="700" spans="1:6" x14ac:dyDescent="0.25">
      <c r="A700" s="9" t="s">
        <v>1478</v>
      </c>
      <c r="B700" s="9" t="s">
        <v>24</v>
      </c>
      <c r="C700" s="9" t="s">
        <v>413</v>
      </c>
      <c r="D700" s="9" t="s">
        <v>2469</v>
      </c>
      <c r="E700" s="9" t="s">
        <v>62</v>
      </c>
      <c r="F700" s="9" t="s">
        <v>53</v>
      </c>
    </row>
    <row r="701" spans="1:6" x14ac:dyDescent="0.25">
      <c r="A701" s="9" t="s">
        <v>1480</v>
      </c>
      <c r="B701" s="9" t="s">
        <v>12</v>
      </c>
      <c r="C701" s="9" t="s">
        <v>1027</v>
      </c>
      <c r="D701" s="9" t="s">
        <v>2470</v>
      </c>
      <c r="E701" s="9" t="s">
        <v>63</v>
      </c>
      <c r="F701" s="9" t="s">
        <v>47</v>
      </c>
    </row>
    <row r="702" spans="1:6" x14ac:dyDescent="0.25">
      <c r="A702" s="9" t="s">
        <v>1482</v>
      </c>
      <c r="B702" s="9" t="s">
        <v>24</v>
      </c>
      <c r="C702" s="9" t="s">
        <v>494</v>
      </c>
      <c r="D702" s="9" t="s">
        <v>2470</v>
      </c>
      <c r="E702" s="9" t="s">
        <v>64</v>
      </c>
      <c r="F702" s="9" t="s">
        <v>61</v>
      </c>
    </row>
    <row r="703" spans="1:6" x14ac:dyDescent="0.25">
      <c r="A703" s="9" t="s">
        <v>1483</v>
      </c>
      <c r="B703" s="9" t="s">
        <v>18</v>
      </c>
      <c r="C703" s="9" t="s">
        <v>1484</v>
      </c>
      <c r="D703" s="9" t="s">
        <v>2471</v>
      </c>
      <c r="E703" s="9" t="s">
        <v>64</v>
      </c>
      <c r="F703" s="9" t="s">
        <v>53</v>
      </c>
    </row>
    <row r="704" spans="1:6" x14ac:dyDescent="0.25">
      <c r="A704" s="9" t="s">
        <v>1486</v>
      </c>
      <c r="B704" s="9" t="s">
        <v>16</v>
      </c>
      <c r="C704" s="9" t="s">
        <v>124</v>
      </c>
      <c r="D704" s="9" t="s">
        <v>2472</v>
      </c>
      <c r="E704" s="9" t="s">
        <v>63</v>
      </c>
      <c r="F704" s="9" t="s">
        <v>49</v>
      </c>
    </row>
    <row r="705" spans="1:6" x14ac:dyDescent="0.25">
      <c r="A705" s="9" t="s">
        <v>1488</v>
      </c>
      <c r="B705" s="9" t="s">
        <v>22</v>
      </c>
      <c r="C705" s="9" t="s">
        <v>470</v>
      </c>
      <c r="D705" s="9" t="s">
        <v>2472</v>
      </c>
      <c r="E705" s="9" t="s">
        <v>64</v>
      </c>
      <c r="F705" s="9" t="s">
        <v>53</v>
      </c>
    </row>
    <row r="706" spans="1:6" x14ac:dyDescent="0.25">
      <c r="A706" s="9" t="s">
        <v>1489</v>
      </c>
      <c r="B706" s="9" t="s">
        <v>12</v>
      </c>
      <c r="C706" s="9" t="s">
        <v>307</v>
      </c>
      <c r="D706" s="9" t="s">
        <v>2473</v>
      </c>
      <c r="E706" s="9" t="s">
        <v>63</v>
      </c>
      <c r="F706" s="9" t="s">
        <v>47</v>
      </c>
    </row>
    <row r="707" spans="1:6" x14ac:dyDescent="0.25">
      <c r="A707" s="9" t="s">
        <v>1491</v>
      </c>
      <c r="B707" s="9" t="s">
        <v>14</v>
      </c>
      <c r="C707" s="9" t="s">
        <v>754</v>
      </c>
      <c r="D707" s="9" t="s">
        <v>2474</v>
      </c>
      <c r="E707" s="9" t="s">
        <v>67</v>
      </c>
      <c r="F707" s="9" t="s">
        <v>61</v>
      </c>
    </row>
    <row r="708" spans="1:6" x14ac:dyDescent="0.25">
      <c r="A708" s="9" t="s">
        <v>1493</v>
      </c>
      <c r="B708" s="9" t="s">
        <v>14</v>
      </c>
      <c r="C708" s="9" t="s">
        <v>1381</v>
      </c>
      <c r="D708" s="9" t="s">
        <v>2475</v>
      </c>
      <c r="E708" s="9" t="s">
        <v>63</v>
      </c>
      <c r="F708" s="9" t="s">
        <v>49</v>
      </c>
    </row>
    <row r="709" spans="1:6" x14ac:dyDescent="0.25">
      <c r="A709" s="9" t="s">
        <v>1495</v>
      </c>
      <c r="B709" s="9" t="s">
        <v>18</v>
      </c>
      <c r="C709" s="9" t="s">
        <v>747</v>
      </c>
      <c r="D709" s="9" t="s">
        <v>2476</v>
      </c>
      <c r="E709" s="9" t="s">
        <v>65</v>
      </c>
      <c r="F709" s="9" t="s">
        <v>51</v>
      </c>
    </row>
    <row r="710" spans="1:6" x14ac:dyDescent="0.25">
      <c r="A710" s="9" t="s">
        <v>1497</v>
      </c>
      <c r="B710" s="9" t="s">
        <v>24</v>
      </c>
      <c r="C710" s="9" t="s">
        <v>1125</v>
      </c>
      <c r="D710" s="9" t="s">
        <v>2476</v>
      </c>
      <c r="E710" s="9" t="s">
        <v>65</v>
      </c>
      <c r="F710" s="9" t="s">
        <v>58</v>
      </c>
    </row>
    <row r="711" spans="1:6" x14ac:dyDescent="0.25">
      <c r="A711" s="9" t="s">
        <v>1498</v>
      </c>
      <c r="B711" s="9" t="s">
        <v>24</v>
      </c>
      <c r="C711" s="9" t="s">
        <v>580</v>
      </c>
      <c r="D711" s="9" t="s">
        <v>2477</v>
      </c>
      <c r="E711" s="9" t="s">
        <v>66</v>
      </c>
      <c r="F711" s="9" t="s">
        <v>49</v>
      </c>
    </row>
    <row r="712" spans="1:6" x14ac:dyDescent="0.25">
      <c r="A712" s="9" t="s">
        <v>1500</v>
      </c>
      <c r="B712" s="9" t="s">
        <v>12</v>
      </c>
      <c r="C712" s="9" t="s">
        <v>736</v>
      </c>
      <c r="D712" s="9" t="s">
        <v>2478</v>
      </c>
      <c r="E712" s="9" t="s">
        <v>65</v>
      </c>
      <c r="F712" s="9" t="s">
        <v>51</v>
      </c>
    </row>
    <row r="713" spans="1:6" x14ac:dyDescent="0.25">
      <c r="A713" s="9" t="s">
        <v>1502</v>
      </c>
      <c r="B713" s="9" t="s">
        <v>16</v>
      </c>
      <c r="C713" s="9" t="s">
        <v>1503</v>
      </c>
      <c r="D713" s="9" t="s">
        <v>2478</v>
      </c>
      <c r="E713" s="9" t="s">
        <v>64</v>
      </c>
      <c r="F713" s="9" t="s">
        <v>45</v>
      </c>
    </row>
    <row r="714" spans="1:6" x14ac:dyDescent="0.25">
      <c r="A714" s="9" t="s">
        <v>1504</v>
      </c>
      <c r="B714" s="9" t="s">
        <v>22</v>
      </c>
      <c r="C714" s="9" t="s">
        <v>109</v>
      </c>
      <c r="D714" s="9" t="s">
        <v>2479</v>
      </c>
      <c r="E714" s="9" t="s">
        <v>63</v>
      </c>
      <c r="F714" s="9" t="s">
        <v>49</v>
      </c>
    </row>
    <row r="715" spans="1:6" x14ac:dyDescent="0.25">
      <c r="A715" s="9" t="s">
        <v>1506</v>
      </c>
      <c r="B715" s="9" t="s">
        <v>14</v>
      </c>
      <c r="C715" s="9" t="s">
        <v>1507</v>
      </c>
      <c r="D715" s="9" t="s">
        <v>2479</v>
      </c>
      <c r="E715" s="9" t="s">
        <v>65</v>
      </c>
      <c r="F715" s="9" t="s">
        <v>53</v>
      </c>
    </row>
    <row r="716" spans="1:6" x14ac:dyDescent="0.25">
      <c r="A716" s="9" t="s">
        <v>1508</v>
      </c>
      <c r="B716" s="9" t="s">
        <v>12</v>
      </c>
      <c r="C716" s="9" t="s">
        <v>1107</v>
      </c>
      <c r="D716" s="9" t="s">
        <v>2480</v>
      </c>
      <c r="E716" s="9" t="s">
        <v>63</v>
      </c>
      <c r="F716" s="9" t="s">
        <v>47</v>
      </c>
    </row>
    <row r="717" spans="1:6" x14ac:dyDescent="0.25">
      <c r="A717" s="9" t="s">
        <v>1510</v>
      </c>
      <c r="B717" s="9" t="s">
        <v>24</v>
      </c>
      <c r="C717" s="9" t="s">
        <v>580</v>
      </c>
      <c r="D717" s="9" t="s">
        <v>2481</v>
      </c>
      <c r="E717" s="9" t="s">
        <v>63</v>
      </c>
      <c r="F717" s="9" t="s">
        <v>45</v>
      </c>
    </row>
    <row r="718" spans="1:6" x14ac:dyDescent="0.25">
      <c r="A718" s="9" t="s">
        <v>1512</v>
      </c>
      <c r="B718" s="9" t="s">
        <v>16</v>
      </c>
      <c r="C718" s="9" t="s">
        <v>75</v>
      </c>
      <c r="D718" s="9" t="s">
        <v>2482</v>
      </c>
      <c r="E718" s="9" t="s">
        <v>63</v>
      </c>
      <c r="F718" s="9" t="s">
        <v>51</v>
      </c>
    </row>
    <row r="719" spans="1:6" x14ac:dyDescent="0.25">
      <c r="A719" s="9" t="s">
        <v>1514</v>
      </c>
      <c r="B719" s="9" t="s">
        <v>22</v>
      </c>
      <c r="C719" s="9" t="s">
        <v>225</v>
      </c>
      <c r="D719" s="9" t="s">
        <v>2482</v>
      </c>
      <c r="E719" s="9" t="s">
        <v>65</v>
      </c>
      <c r="F719" s="9" t="s">
        <v>51</v>
      </c>
    </row>
    <row r="720" spans="1:6" x14ac:dyDescent="0.25">
      <c r="A720" s="9" t="s">
        <v>1515</v>
      </c>
      <c r="B720" s="9" t="s">
        <v>12</v>
      </c>
      <c r="C720" s="9" t="s">
        <v>413</v>
      </c>
      <c r="D720" s="9" t="s">
        <v>2482</v>
      </c>
      <c r="E720" s="9" t="s">
        <v>67</v>
      </c>
      <c r="F720" s="9" t="s">
        <v>45</v>
      </c>
    </row>
    <row r="721" spans="1:6" x14ac:dyDescent="0.25">
      <c r="A721" s="9" t="s">
        <v>1516</v>
      </c>
      <c r="B721" s="9" t="s">
        <v>16</v>
      </c>
      <c r="C721" s="9" t="s">
        <v>160</v>
      </c>
      <c r="D721" s="9" t="s">
        <v>2483</v>
      </c>
      <c r="E721" s="9" t="s">
        <v>67</v>
      </c>
      <c r="F721" s="9" t="s">
        <v>58</v>
      </c>
    </row>
    <row r="722" spans="1:6" x14ac:dyDescent="0.25">
      <c r="A722" s="9" t="s">
        <v>1518</v>
      </c>
      <c r="B722" s="9" t="s">
        <v>14</v>
      </c>
      <c r="C722" s="9" t="s">
        <v>670</v>
      </c>
      <c r="D722" s="9" t="s">
        <v>2484</v>
      </c>
      <c r="E722" s="9" t="s">
        <v>66</v>
      </c>
      <c r="F722" s="9" t="s">
        <v>61</v>
      </c>
    </row>
    <row r="723" spans="1:6" x14ac:dyDescent="0.25">
      <c r="A723" s="9" t="s">
        <v>1520</v>
      </c>
      <c r="B723" s="9" t="s">
        <v>18</v>
      </c>
      <c r="C723" s="9" t="s">
        <v>328</v>
      </c>
      <c r="D723" s="9" t="s">
        <v>2485</v>
      </c>
      <c r="E723" s="9" t="s">
        <v>62</v>
      </c>
      <c r="F723" s="9" t="s">
        <v>53</v>
      </c>
    </row>
    <row r="724" spans="1:6" x14ac:dyDescent="0.25">
      <c r="A724" s="9" t="s">
        <v>1522</v>
      </c>
      <c r="B724" s="9" t="s">
        <v>12</v>
      </c>
      <c r="C724" s="9" t="s">
        <v>185</v>
      </c>
      <c r="D724" s="9" t="s">
        <v>2486</v>
      </c>
      <c r="E724" s="9" t="s">
        <v>66</v>
      </c>
      <c r="F724" s="9" t="s">
        <v>47</v>
      </c>
    </row>
    <row r="725" spans="1:6" x14ac:dyDescent="0.25">
      <c r="A725" s="9" t="s">
        <v>1524</v>
      </c>
      <c r="B725" s="9" t="s">
        <v>24</v>
      </c>
      <c r="C725" s="9" t="s">
        <v>964</v>
      </c>
      <c r="D725" s="9" t="s">
        <v>2486</v>
      </c>
      <c r="E725" s="9" t="s">
        <v>63</v>
      </c>
      <c r="F725" s="9" t="s">
        <v>58</v>
      </c>
    </row>
    <row r="726" spans="1:6" x14ac:dyDescent="0.25">
      <c r="A726" s="9" t="s">
        <v>1525</v>
      </c>
      <c r="B726" s="9" t="s">
        <v>14</v>
      </c>
      <c r="C726" s="9" t="s">
        <v>644</v>
      </c>
      <c r="D726" s="9" t="s">
        <v>2486</v>
      </c>
      <c r="E726" s="9" t="s">
        <v>67</v>
      </c>
      <c r="F726" s="9" t="s">
        <v>47</v>
      </c>
    </row>
    <row r="727" spans="1:6" x14ac:dyDescent="0.25">
      <c r="A727" s="9" t="s">
        <v>1526</v>
      </c>
      <c r="B727" s="9" t="s">
        <v>14</v>
      </c>
      <c r="C727" s="9" t="s">
        <v>286</v>
      </c>
      <c r="D727" s="9" t="s">
        <v>2486</v>
      </c>
      <c r="E727" s="9" t="s">
        <v>65</v>
      </c>
      <c r="F727" s="9" t="s">
        <v>43</v>
      </c>
    </row>
    <row r="728" spans="1:6" x14ac:dyDescent="0.25">
      <c r="A728" s="9" t="s">
        <v>1527</v>
      </c>
      <c r="B728" s="9" t="s">
        <v>18</v>
      </c>
      <c r="C728" s="9" t="s">
        <v>82</v>
      </c>
      <c r="D728" s="9" t="s">
        <v>2487</v>
      </c>
      <c r="E728" s="9" t="s">
        <v>65</v>
      </c>
      <c r="F728" s="9" t="s">
        <v>55</v>
      </c>
    </row>
    <row r="729" spans="1:6" x14ac:dyDescent="0.25">
      <c r="A729" s="9" t="s">
        <v>1529</v>
      </c>
      <c r="B729" s="9" t="s">
        <v>16</v>
      </c>
      <c r="C729" s="9" t="s">
        <v>736</v>
      </c>
      <c r="D729" s="9" t="s">
        <v>2488</v>
      </c>
      <c r="E729" s="9" t="s">
        <v>67</v>
      </c>
      <c r="F729" s="9" t="s">
        <v>53</v>
      </c>
    </row>
    <row r="730" spans="1:6" x14ac:dyDescent="0.25">
      <c r="A730" s="9" t="s">
        <v>1531</v>
      </c>
      <c r="B730" s="9" t="s">
        <v>20</v>
      </c>
      <c r="C730" s="9" t="s">
        <v>423</v>
      </c>
      <c r="D730" s="9" t="s">
        <v>2489</v>
      </c>
      <c r="E730" s="9" t="s">
        <v>67</v>
      </c>
      <c r="F730" s="9" t="s">
        <v>47</v>
      </c>
    </row>
    <row r="731" spans="1:6" x14ac:dyDescent="0.25">
      <c r="A731" s="9" t="s">
        <v>1533</v>
      </c>
      <c r="B731" s="9" t="s">
        <v>16</v>
      </c>
      <c r="C731" s="9" t="s">
        <v>1534</v>
      </c>
      <c r="D731" s="9" t="s">
        <v>2490</v>
      </c>
      <c r="E731" s="9" t="s">
        <v>67</v>
      </c>
      <c r="F731" s="9" t="s">
        <v>43</v>
      </c>
    </row>
    <row r="732" spans="1:6" x14ac:dyDescent="0.25">
      <c r="A732" s="9" t="s">
        <v>1536</v>
      </c>
      <c r="B732" s="9" t="s">
        <v>20</v>
      </c>
      <c r="C732" s="9" t="s">
        <v>559</v>
      </c>
      <c r="D732" s="9" t="s">
        <v>2491</v>
      </c>
      <c r="E732" s="9" t="s">
        <v>67</v>
      </c>
      <c r="F732" s="9" t="s">
        <v>61</v>
      </c>
    </row>
    <row r="733" spans="1:6" x14ac:dyDescent="0.25">
      <c r="A733" s="9" t="s">
        <v>1538</v>
      </c>
      <c r="B733" s="9" t="s">
        <v>20</v>
      </c>
      <c r="C733" s="9" t="s">
        <v>736</v>
      </c>
      <c r="D733" s="9" t="s">
        <v>2492</v>
      </c>
      <c r="E733" s="9" t="s">
        <v>65</v>
      </c>
      <c r="F733" s="9" t="s">
        <v>45</v>
      </c>
    </row>
    <row r="734" spans="1:6" x14ac:dyDescent="0.25">
      <c r="A734" s="9" t="s">
        <v>1540</v>
      </c>
      <c r="B734" s="9" t="s">
        <v>16</v>
      </c>
      <c r="C734" s="9" t="s">
        <v>727</v>
      </c>
      <c r="D734" s="9" t="s">
        <v>2492</v>
      </c>
      <c r="E734" s="9" t="s">
        <v>66</v>
      </c>
      <c r="F734" s="9" t="s">
        <v>49</v>
      </c>
    </row>
    <row r="735" spans="1:6" x14ac:dyDescent="0.25">
      <c r="A735" s="9" t="s">
        <v>1541</v>
      </c>
      <c r="B735" s="9" t="s">
        <v>12</v>
      </c>
      <c r="C735" s="9" t="s">
        <v>128</v>
      </c>
      <c r="D735" s="9" t="s">
        <v>2493</v>
      </c>
      <c r="E735" s="9" t="s">
        <v>66</v>
      </c>
      <c r="F735" s="9" t="s">
        <v>43</v>
      </c>
    </row>
    <row r="736" spans="1:6" x14ac:dyDescent="0.25">
      <c r="A736" s="9" t="s">
        <v>1543</v>
      </c>
      <c r="B736" s="9" t="s">
        <v>20</v>
      </c>
      <c r="C736" s="9" t="s">
        <v>371</v>
      </c>
      <c r="D736" s="9" t="s">
        <v>2494</v>
      </c>
      <c r="E736" s="9" t="s">
        <v>62</v>
      </c>
      <c r="F736" s="9" t="s">
        <v>61</v>
      </c>
    </row>
    <row r="737" spans="1:6" x14ac:dyDescent="0.25">
      <c r="A737" s="9" t="s">
        <v>1545</v>
      </c>
      <c r="B737" s="9" t="s">
        <v>16</v>
      </c>
      <c r="C737" s="9" t="s">
        <v>155</v>
      </c>
      <c r="D737" s="9" t="s">
        <v>2495</v>
      </c>
      <c r="E737" s="9" t="s">
        <v>65</v>
      </c>
      <c r="F737" s="9" t="s">
        <v>58</v>
      </c>
    </row>
    <row r="738" spans="1:6" x14ac:dyDescent="0.25">
      <c r="A738" s="9" t="s">
        <v>1547</v>
      </c>
      <c r="B738" s="9" t="s">
        <v>20</v>
      </c>
      <c r="C738" s="9" t="s">
        <v>1053</v>
      </c>
      <c r="D738" s="9" t="s">
        <v>2495</v>
      </c>
      <c r="E738" s="9" t="s">
        <v>63</v>
      </c>
      <c r="F738" s="9" t="s">
        <v>55</v>
      </c>
    </row>
    <row r="739" spans="1:6" x14ac:dyDescent="0.25">
      <c r="A739" s="9" t="s">
        <v>1548</v>
      </c>
      <c r="B739" s="9" t="s">
        <v>18</v>
      </c>
      <c r="C739" s="9" t="s">
        <v>497</v>
      </c>
      <c r="D739" s="9" t="s">
        <v>2496</v>
      </c>
      <c r="E739" s="9" t="s">
        <v>64</v>
      </c>
      <c r="F739" s="9" t="s">
        <v>61</v>
      </c>
    </row>
    <row r="740" spans="1:6" x14ac:dyDescent="0.25">
      <c r="A740" s="9" t="s">
        <v>1550</v>
      </c>
      <c r="B740" s="9" t="s">
        <v>16</v>
      </c>
      <c r="C740" s="9" t="s">
        <v>641</v>
      </c>
      <c r="D740" s="9" t="s">
        <v>2497</v>
      </c>
      <c r="E740" s="9" t="s">
        <v>66</v>
      </c>
      <c r="F740" s="9" t="s">
        <v>55</v>
      </c>
    </row>
    <row r="741" spans="1:6" x14ac:dyDescent="0.25">
      <c r="A741" s="9" t="s">
        <v>1552</v>
      </c>
      <c r="B741" s="9" t="s">
        <v>12</v>
      </c>
      <c r="C741" s="9" t="s">
        <v>142</v>
      </c>
      <c r="D741" s="9" t="s">
        <v>2498</v>
      </c>
      <c r="E741" s="9" t="s">
        <v>67</v>
      </c>
      <c r="F741" s="9" t="s">
        <v>53</v>
      </c>
    </row>
    <row r="742" spans="1:6" x14ac:dyDescent="0.25">
      <c r="A742" s="9" t="s">
        <v>1554</v>
      </c>
      <c r="B742" s="9" t="s">
        <v>12</v>
      </c>
      <c r="C742" s="9" t="s">
        <v>740</v>
      </c>
      <c r="D742" s="9" t="s">
        <v>2499</v>
      </c>
      <c r="E742" s="9" t="s">
        <v>63</v>
      </c>
      <c r="F742" s="9" t="s">
        <v>53</v>
      </c>
    </row>
    <row r="743" spans="1:6" x14ac:dyDescent="0.25">
      <c r="A743" s="9" t="s">
        <v>1556</v>
      </c>
      <c r="B743" s="9" t="s">
        <v>18</v>
      </c>
      <c r="C743" s="9" t="s">
        <v>387</v>
      </c>
      <c r="D743" s="9" t="s">
        <v>2500</v>
      </c>
      <c r="E743" s="9" t="s">
        <v>63</v>
      </c>
      <c r="F743" s="9" t="s">
        <v>43</v>
      </c>
    </row>
    <row r="744" spans="1:6" x14ac:dyDescent="0.25">
      <c r="A744" s="9" t="s">
        <v>1558</v>
      </c>
      <c r="B744" s="9" t="s">
        <v>16</v>
      </c>
      <c r="C744" s="9" t="s">
        <v>207</v>
      </c>
      <c r="D744" s="9" t="s">
        <v>2500</v>
      </c>
      <c r="E744" s="9" t="s">
        <v>64</v>
      </c>
      <c r="F744" s="9" t="s">
        <v>49</v>
      </c>
    </row>
    <row r="745" spans="1:6" x14ac:dyDescent="0.25">
      <c r="A745" s="9" t="s">
        <v>1559</v>
      </c>
      <c r="B745" s="9" t="s">
        <v>24</v>
      </c>
      <c r="C745" s="9" t="s">
        <v>1053</v>
      </c>
      <c r="D745" s="9" t="s">
        <v>2500</v>
      </c>
      <c r="E745" s="9" t="s">
        <v>66</v>
      </c>
      <c r="F745" s="9" t="s">
        <v>45</v>
      </c>
    </row>
    <row r="746" spans="1:6" x14ac:dyDescent="0.25">
      <c r="A746" s="9" t="s">
        <v>1560</v>
      </c>
      <c r="B746" s="9" t="s">
        <v>24</v>
      </c>
      <c r="C746" s="9" t="s">
        <v>124</v>
      </c>
      <c r="D746" s="9" t="s">
        <v>2501</v>
      </c>
      <c r="E746" s="9" t="s">
        <v>64</v>
      </c>
      <c r="F746" s="9" t="s">
        <v>51</v>
      </c>
    </row>
    <row r="747" spans="1:6" x14ac:dyDescent="0.25">
      <c r="A747" s="9" t="s">
        <v>1562</v>
      </c>
      <c r="B747" s="9" t="s">
        <v>20</v>
      </c>
      <c r="C747" s="9" t="s">
        <v>423</v>
      </c>
      <c r="D747" s="9" t="s">
        <v>2502</v>
      </c>
      <c r="E747" s="9" t="s">
        <v>66</v>
      </c>
      <c r="F747" s="9" t="s">
        <v>49</v>
      </c>
    </row>
    <row r="748" spans="1:6" x14ac:dyDescent="0.25">
      <c r="A748" s="9" t="s">
        <v>1564</v>
      </c>
      <c r="B748" s="9" t="s">
        <v>24</v>
      </c>
      <c r="C748" s="9" t="s">
        <v>1507</v>
      </c>
      <c r="D748" s="9" t="s">
        <v>2503</v>
      </c>
      <c r="E748" s="9" t="s">
        <v>65</v>
      </c>
      <c r="F748" s="9" t="s">
        <v>51</v>
      </c>
    </row>
    <row r="749" spans="1:6" x14ac:dyDescent="0.25">
      <c r="A749" s="9" t="s">
        <v>1566</v>
      </c>
      <c r="B749" s="9" t="s">
        <v>16</v>
      </c>
      <c r="C749" s="9" t="s">
        <v>1567</v>
      </c>
      <c r="D749" s="9" t="s">
        <v>2503</v>
      </c>
      <c r="E749" s="9" t="s">
        <v>67</v>
      </c>
      <c r="F749" s="9" t="s">
        <v>55</v>
      </c>
    </row>
    <row r="750" spans="1:6" x14ac:dyDescent="0.25">
      <c r="A750" s="9" t="s">
        <v>1568</v>
      </c>
      <c r="B750" s="9" t="s">
        <v>12</v>
      </c>
      <c r="C750" s="9" t="s">
        <v>517</v>
      </c>
      <c r="D750" s="9" t="s">
        <v>2504</v>
      </c>
      <c r="E750" s="9" t="s">
        <v>65</v>
      </c>
      <c r="F750" s="9" t="s">
        <v>47</v>
      </c>
    </row>
    <row r="751" spans="1:6" x14ac:dyDescent="0.25">
      <c r="A751" s="9" t="s">
        <v>1570</v>
      </c>
      <c r="B751" s="9" t="s">
        <v>14</v>
      </c>
      <c r="C751" s="9" t="s">
        <v>810</v>
      </c>
      <c r="D751" s="9" t="s">
        <v>2504</v>
      </c>
      <c r="E751" s="9" t="s">
        <v>65</v>
      </c>
      <c r="F751" s="9" t="s">
        <v>55</v>
      </c>
    </row>
    <row r="752" spans="1:6" x14ac:dyDescent="0.25">
      <c r="A752" s="9" t="s">
        <v>1571</v>
      </c>
      <c r="B752" s="9" t="s">
        <v>14</v>
      </c>
      <c r="C752" s="9" t="s">
        <v>697</v>
      </c>
      <c r="D752" s="9" t="s">
        <v>2504</v>
      </c>
      <c r="E752" s="9" t="s">
        <v>66</v>
      </c>
      <c r="F752" s="9" t="s">
        <v>61</v>
      </c>
    </row>
    <row r="753" spans="1:6" x14ac:dyDescent="0.25">
      <c r="A753" s="9" t="s">
        <v>1572</v>
      </c>
      <c r="B753" s="9" t="s">
        <v>22</v>
      </c>
      <c r="C753" s="9" t="s">
        <v>725</v>
      </c>
      <c r="D753" s="9" t="s">
        <v>2505</v>
      </c>
      <c r="E753" s="9" t="s">
        <v>66</v>
      </c>
      <c r="F753" s="9" t="s">
        <v>45</v>
      </c>
    </row>
    <row r="754" spans="1:6" x14ac:dyDescent="0.25">
      <c r="A754" s="9" t="s">
        <v>1574</v>
      </c>
      <c r="B754" s="9" t="s">
        <v>12</v>
      </c>
      <c r="C754" s="9" t="s">
        <v>385</v>
      </c>
      <c r="D754" s="9" t="s">
        <v>2506</v>
      </c>
      <c r="E754" s="9" t="s">
        <v>63</v>
      </c>
      <c r="F754" s="9" t="s">
        <v>47</v>
      </c>
    </row>
    <row r="755" spans="1:6" x14ac:dyDescent="0.25">
      <c r="A755" s="9" t="s">
        <v>1576</v>
      </c>
      <c r="B755" s="9" t="s">
        <v>12</v>
      </c>
      <c r="C755" s="9" t="s">
        <v>177</v>
      </c>
      <c r="D755" s="9" t="s">
        <v>2507</v>
      </c>
      <c r="E755" s="9" t="s">
        <v>63</v>
      </c>
      <c r="F755" s="9" t="s">
        <v>47</v>
      </c>
    </row>
    <row r="756" spans="1:6" x14ac:dyDescent="0.25">
      <c r="A756" s="9" t="s">
        <v>1578</v>
      </c>
      <c r="B756" s="9" t="s">
        <v>12</v>
      </c>
      <c r="C756" s="9" t="s">
        <v>1579</v>
      </c>
      <c r="D756" s="9" t="s">
        <v>2508</v>
      </c>
      <c r="E756" s="9" t="s">
        <v>62</v>
      </c>
      <c r="F756" s="9" t="s">
        <v>53</v>
      </c>
    </row>
    <row r="757" spans="1:6" x14ac:dyDescent="0.25">
      <c r="A757" s="9" t="s">
        <v>1581</v>
      </c>
      <c r="B757" s="9" t="s">
        <v>24</v>
      </c>
      <c r="C757" s="9" t="s">
        <v>1381</v>
      </c>
      <c r="D757" s="9" t="s">
        <v>2508</v>
      </c>
      <c r="E757" s="9" t="s">
        <v>66</v>
      </c>
      <c r="F757" s="9" t="s">
        <v>55</v>
      </c>
    </row>
    <row r="758" spans="1:6" x14ac:dyDescent="0.25">
      <c r="A758" s="9" t="s">
        <v>1582</v>
      </c>
      <c r="B758" s="9" t="s">
        <v>14</v>
      </c>
      <c r="C758" s="9" t="s">
        <v>112</v>
      </c>
      <c r="D758" s="9" t="s">
        <v>2509</v>
      </c>
      <c r="E758" s="9" t="s">
        <v>63</v>
      </c>
      <c r="F758" s="9" t="s">
        <v>47</v>
      </c>
    </row>
    <row r="759" spans="1:6" x14ac:dyDescent="0.25">
      <c r="A759" s="9" t="s">
        <v>1584</v>
      </c>
      <c r="B759" s="9" t="s">
        <v>14</v>
      </c>
      <c r="C759" s="9" t="s">
        <v>264</v>
      </c>
      <c r="D759" s="9" t="s">
        <v>2510</v>
      </c>
      <c r="E759" s="9" t="s">
        <v>63</v>
      </c>
      <c r="F759" s="9" t="s">
        <v>61</v>
      </c>
    </row>
    <row r="760" spans="1:6" x14ac:dyDescent="0.25">
      <c r="A760" s="9" t="s">
        <v>1586</v>
      </c>
      <c r="B760" s="9" t="s">
        <v>12</v>
      </c>
      <c r="C760" s="9" t="s">
        <v>547</v>
      </c>
      <c r="D760" s="9" t="s">
        <v>2511</v>
      </c>
      <c r="E760" s="9" t="s">
        <v>65</v>
      </c>
      <c r="F760" s="9" t="s">
        <v>49</v>
      </c>
    </row>
    <row r="761" spans="1:6" x14ac:dyDescent="0.25">
      <c r="A761" s="9" t="s">
        <v>1588</v>
      </c>
      <c r="B761" s="9" t="s">
        <v>20</v>
      </c>
      <c r="C761" s="9" t="s">
        <v>783</v>
      </c>
      <c r="D761" s="9" t="s">
        <v>2511</v>
      </c>
      <c r="E761" s="9" t="s">
        <v>62</v>
      </c>
      <c r="F761" s="9" t="s">
        <v>55</v>
      </c>
    </row>
    <row r="762" spans="1:6" x14ac:dyDescent="0.25">
      <c r="A762" s="9" t="s">
        <v>1589</v>
      </c>
      <c r="B762" s="9" t="s">
        <v>24</v>
      </c>
      <c r="C762" s="9" t="s">
        <v>649</v>
      </c>
      <c r="D762" s="9" t="s">
        <v>2512</v>
      </c>
      <c r="E762" s="9" t="s">
        <v>62</v>
      </c>
      <c r="F762" s="9" t="s">
        <v>61</v>
      </c>
    </row>
    <row r="763" spans="1:6" x14ac:dyDescent="0.25">
      <c r="A763" s="9" t="s">
        <v>1591</v>
      </c>
      <c r="B763" s="9" t="s">
        <v>16</v>
      </c>
      <c r="C763" s="9" t="s">
        <v>512</v>
      </c>
      <c r="D763" s="9" t="s">
        <v>2513</v>
      </c>
      <c r="E763" s="9" t="s">
        <v>67</v>
      </c>
      <c r="F763" s="9" t="s">
        <v>51</v>
      </c>
    </row>
    <row r="764" spans="1:6" x14ac:dyDescent="0.25">
      <c r="A764" s="9" t="s">
        <v>1593</v>
      </c>
      <c r="B764" s="9" t="s">
        <v>16</v>
      </c>
      <c r="C764" s="9" t="s">
        <v>552</v>
      </c>
      <c r="D764" s="9" t="s">
        <v>2513</v>
      </c>
      <c r="E764" s="9" t="s">
        <v>63</v>
      </c>
      <c r="F764" s="9" t="s">
        <v>47</v>
      </c>
    </row>
    <row r="765" spans="1:6" x14ac:dyDescent="0.25">
      <c r="A765" s="9" t="s">
        <v>1594</v>
      </c>
      <c r="B765" s="9" t="s">
        <v>22</v>
      </c>
      <c r="C765" s="9" t="s">
        <v>158</v>
      </c>
      <c r="D765" s="9" t="s">
        <v>2514</v>
      </c>
      <c r="E765" s="9" t="s">
        <v>64</v>
      </c>
      <c r="F765" s="9" t="s">
        <v>51</v>
      </c>
    </row>
    <row r="766" spans="1:6" x14ac:dyDescent="0.25">
      <c r="A766" s="9" t="s">
        <v>1596</v>
      </c>
      <c r="B766" s="9" t="s">
        <v>20</v>
      </c>
      <c r="C766" s="9" t="s">
        <v>1597</v>
      </c>
      <c r="D766" s="9" t="s">
        <v>2514</v>
      </c>
      <c r="E766" s="9" t="s">
        <v>64</v>
      </c>
      <c r="F766" s="9" t="s">
        <v>43</v>
      </c>
    </row>
    <row r="767" spans="1:6" x14ac:dyDescent="0.25">
      <c r="A767" s="9" t="s">
        <v>1598</v>
      </c>
      <c r="B767" s="9" t="s">
        <v>20</v>
      </c>
      <c r="C767" s="9" t="s">
        <v>443</v>
      </c>
      <c r="D767" s="9" t="s">
        <v>2514</v>
      </c>
      <c r="E767" s="9" t="s">
        <v>66</v>
      </c>
      <c r="F767" s="9" t="s">
        <v>47</v>
      </c>
    </row>
    <row r="768" spans="1:6" x14ac:dyDescent="0.25">
      <c r="A768" s="9" t="s">
        <v>1599</v>
      </c>
      <c r="B768" s="9" t="s">
        <v>12</v>
      </c>
      <c r="C768" s="9" t="s">
        <v>765</v>
      </c>
      <c r="D768" s="9" t="s">
        <v>2514</v>
      </c>
      <c r="E768" s="9" t="s">
        <v>64</v>
      </c>
      <c r="F768" s="9" t="s">
        <v>43</v>
      </c>
    </row>
    <row r="769" spans="1:6" x14ac:dyDescent="0.25">
      <c r="A769" s="9" t="s">
        <v>1600</v>
      </c>
      <c r="B769" s="9" t="s">
        <v>18</v>
      </c>
      <c r="C769" s="9" t="s">
        <v>1601</v>
      </c>
      <c r="D769" s="9" t="s">
        <v>2514</v>
      </c>
      <c r="E769" s="9" t="s">
        <v>66</v>
      </c>
      <c r="F769" s="9" t="s">
        <v>43</v>
      </c>
    </row>
    <row r="770" spans="1:6" x14ac:dyDescent="0.25">
      <c r="A770" s="9" t="s">
        <v>1602</v>
      </c>
      <c r="B770" s="9" t="s">
        <v>20</v>
      </c>
      <c r="C770" s="9" t="s">
        <v>662</v>
      </c>
      <c r="D770" s="9" t="s">
        <v>2515</v>
      </c>
      <c r="E770" s="9" t="s">
        <v>66</v>
      </c>
      <c r="F770" s="9" t="s">
        <v>47</v>
      </c>
    </row>
    <row r="771" spans="1:6" x14ac:dyDescent="0.25">
      <c r="A771" s="9" t="s">
        <v>1604</v>
      </c>
      <c r="B771" s="9" t="s">
        <v>22</v>
      </c>
      <c r="C771" s="9" t="s">
        <v>217</v>
      </c>
      <c r="D771" s="9" t="s">
        <v>2516</v>
      </c>
      <c r="E771" s="9" t="s">
        <v>66</v>
      </c>
      <c r="F771" s="9" t="s">
        <v>51</v>
      </c>
    </row>
    <row r="772" spans="1:6" x14ac:dyDescent="0.25">
      <c r="A772" s="9" t="s">
        <v>1606</v>
      </c>
      <c r="B772" s="9" t="s">
        <v>18</v>
      </c>
      <c r="C772" s="9" t="s">
        <v>810</v>
      </c>
      <c r="D772" s="9" t="s">
        <v>2517</v>
      </c>
      <c r="E772" s="9" t="s">
        <v>63</v>
      </c>
      <c r="F772" s="9" t="s">
        <v>55</v>
      </c>
    </row>
    <row r="773" spans="1:6" x14ac:dyDescent="0.25">
      <c r="A773" s="9" t="s">
        <v>1608</v>
      </c>
      <c r="B773" s="9" t="s">
        <v>22</v>
      </c>
      <c r="C773" s="9" t="s">
        <v>88</v>
      </c>
      <c r="D773" s="9" t="s">
        <v>2518</v>
      </c>
      <c r="E773" s="9" t="s">
        <v>64</v>
      </c>
      <c r="F773" s="9" t="s">
        <v>61</v>
      </c>
    </row>
    <row r="774" spans="1:6" x14ac:dyDescent="0.25">
      <c r="A774" s="9" t="s">
        <v>1610</v>
      </c>
      <c r="B774" s="9" t="s">
        <v>14</v>
      </c>
      <c r="C774" s="9" t="s">
        <v>507</v>
      </c>
      <c r="D774" s="9" t="s">
        <v>2518</v>
      </c>
      <c r="E774" s="9" t="s">
        <v>62</v>
      </c>
      <c r="F774" s="9" t="s">
        <v>43</v>
      </c>
    </row>
    <row r="775" spans="1:6" x14ac:dyDescent="0.25">
      <c r="A775" s="9" t="s">
        <v>1611</v>
      </c>
      <c r="B775" s="9" t="s">
        <v>24</v>
      </c>
      <c r="C775" s="9" t="s">
        <v>1073</v>
      </c>
      <c r="D775" s="9" t="s">
        <v>2518</v>
      </c>
      <c r="E775" s="9" t="s">
        <v>64</v>
      </c>
      <c r="F775" s="9" t="s">
        <v>47</v>
      </c>
    </row>
    <row r="776" spans="1:6" x14ac:dyDescent="0.25">
      <c r="A776" s="9" t="s">
        <v>1612</v>
      </c>
      <c r="B776" s="9" t="s">
        <v>22</v>
      </c>
      <c r="C776" s="9" t="s">
        <v>1229</v>
      </c>
      <c r="D776" s="9" t="s">
        <v>2519</v>
      </c>
      <c r="E776" s="9" t="s">
        <v>67</v>
      </c>
      <c r="F776" s="9" t="s">
        <v>49</v>
      </c>
    </row>
    <row r="777" spans="1:6" x14ac:dyDescent="0.25">
      <c r="A777" s="9" t="s">
        <v>1614</v>
      </c>
      <c r="B777" s="9" t="s">
        <v>18</v>
      </c>
      <c r="C777" s="9" t="s">
        <v>81</v>
      </c>
      <c r="D777" s="9" t="s">
        <v>2519</v>
      </c>
      <c r="E777" s="9" t="s">
        <v>63</v>
      </c>
      <c r="F777" s="9" t="s">
        <v>47</v>
      </c>
    </row>
    <row r="778" spans="1:6" x14ac:dyDescent="0.25">
      <c r="A778" s="9" t="s">
        <v>1615</v>
      </c>
      <c r="B778" s="9" t="s">
        <v>18</v>
      </c>
      <c r="C778" s="9" t="s">
        <v>725</v>
      </c>
      <c r="D778" s="9" t="s">
        <v>2520</v>
      </c>
      <c r="E778" s="9" t="s">
        <v>67</v>
      </c>
      <c r="F778" s="9" t="s">
        <v>49</v>
      </c>
    </row>
    <row r="779" spans="1:6" x14ac:dyDescent="0.25">
      <c r="A779" s="9" t="s">
        <v>1617</v>
      </c>
      <c r="B779" s="9" t="s">
        <v>24</v>
      </c>
      <c r="C779" s="9" t="s">
        <v>1618</v>
      </c>
      <c r="D779" s="9" t="s">
        <v>2520</v>
      </c>
      <c r="E779" s="9" t="s">
        <v>62</v>
      </c>
      <c r="F779" s="9" t="s">
        <v>61</v>
      </c>
    </row>
    <row r="780" spans="1:6" x14ac:dyDescent="0.25">
      <c r="A780" s="9" t="s">
        <v>1619</v>
      </c>
      <c r="B780" s="9" t="s">
        <v>12</v>
      </c>
      <c r="C780" s="9" t="s">
        <v>489</v>
      </c>
      <c r="D780" s="9" t="s">
        <v>2520</v>
      </c>
      <c r="E780" s="9" t="s">
        <v>63</v>
      </c>
      <c r="F780" s="9" t="s">
        <v>45</v>
      </c>
    </row>
    <row r="781" spans="1:6" x14ac:dyDescent="0.25">
      <c r="A781" s="9" t="s">
        <v>1620</v>
      </c>
      <c r="B781" s="9" t="s">
        <v>18</v>
      </c>
      <c r="C781" s="9" t="s">
        <v>443</v>
      </c>
      <c r="D781" s="9" t="s">
        <v>2520</v>
      </c>
      <c r="E781" s="9" t="s">
        <v>63</v>
      </c>
      <c r="F781" s="9" t="s">
        <v>49</v>
      </c>
    </row>
    <row r="782" spans="1:6" x14ac:dyDescent="0.25">
      <c r="A782" s="9" t="s">
        <v>1621</v>
      </c>
      <c r="B782" s="9" t="s">
        <v>22</v>
      </c>
      <c r="C782" s="9" t="s">
        <v>371</v>
      </c>
      <c r="D782" s="9" t="s">
        <v>2520</v>
      </c>
      <c r="E782" s="9" t="s">
        <v>65</v>
      </c>
      <c r="F782" s="9" t="s">
        <v>43</v>
      </c>
    </row>
    <row r="783" spans="1:6" x14ac:dyDescent="0.25">
      <c r="A783" s="9" t="s">
        <v>1622</v>
      </c>
      <c r="B783" s="9" t="s">
        <v>12</v>
      </c>
      <c r="C783" s="9" t="s">
        <v>1623</v>
      </c>
      <c r="D783" s="9" t="s">
        <v>2521</v>
      </c>
      <c r="E783" s="9" t="s">
        <v>64</v>
      </c>
      <c r="F783" s="9" t="s">
        <v>45</v>
      </c>
    </row>
    <row r="784" spans="1:6" x14ac:dyDescent="0.25">
      <c r="A784" s="9" t="s">
        <v>1625</v>
      </c>
      <c r="B784" s="9" t="s">
        <v>16</v>
      </c>
      <c r="C784" s="9" t="s">
        <v>75</v>
      </c>
      <c r="D784" s="9" t="s">
        <v>2521</v>
      </c>
      <c r="E784" s="9" t="s">
        <v>67</v>
      </c>
      <c r="F784" s="9" t="s">
        <v>45</v>
      </c>
    </row>
    <row r="785" spans="1:6" x14ac:dyDescent="0.25">
      <c r="A785" s="9" t="s">
        <v>1626</v>
      </c>
      <c r="B785" s="9" t="s">
        <v>18</v>
      </c>
      <c r="C785" s="9" t="s">
        <v>122</v>
      </c>
      <c r="D785" s="9" t="s">
        <v>2522</v>
      </c>
      <c r="E785" s="9" t="s">
        <v>62</v>
      </c>
      <c r="F785" s="9" t="s">
        <v>55</v>
      </c>
    </row>
    <row r="786" spans="1:6" x14ac:dyDescent="0.25">
      <c r="A786" s="9" t="s">
        <v>1628</v>
      </c>
      <c r="B786" s="9" t="s">
        <v>14</v>
      </c>
      <c r="C786" s="9" t="s">
        <v>239</v>
      </c>
      <c r="D786" s="9" t="s">
        <v>2522</v>
      </c>
      <c r="E786" s="9" t="s">
        <v>64</v>
      </c>
      <c r="F786" s="9" t="s">
        <v>58</v>
      </c>
    </row>
    <row r="787" spans="1:6" x14ac:dyDescent="0.25">
      <c r="A787" s="9" t="s">
        <v>1629</v>
      </c>
      <c r="B787" s="9" t="s">
        <v>12</v>
      </c>
      <c r="C787" s="9" t="s">
        <v>239</v>
      </c>
      <c r="D787" s="9" t="s">
        <v>2522</v>
      </c>
      <c r="E787" s="9" t="s">
        <v>65</v>
      </c>
      <c r="F787" s="9" t="s">
        <v>58</v>
      </c>
    </row>
    <row r="788" spans="1:6" x14ac:dyDescent="0.25">
      <c r="A788" s="9" t="s">
        <v>1630</v>
      </c>
      <c r="B788" s="9" t="s">
        <v>12</v>
      </c>
      <c r="C788" s="9" t="s">
        <v>174</v>
      </c>
      <c r="D788" s="9" t="s">
        <v>2523</v>
      </c>
      <c r="E788" s="9" t="s">
        <v>64</v>
      </c>
      <c r="F788" s="9" t="s">
        <v>43</v>
      </c>
    </row>
    <row r="789" spans="1:6" x14ac:dyDescent="0.25">
      <c r="A789" s="9" t="s">
        <v>1632</v>
      </c>
      <c r="B789" s="9" t="s">
        <v>12</v>
      </c>
      <c r="C789" s="9" t="s">
        <v>914</v>
      </c>
      <c r="D789" s="9" t="s">
        <v>2524</v>
      </c>
      <c r="E789" s="9" t="s">
        <v>64</v>
      </c>
      <c r="F789" s="9" t="s">
        <v>61</v>
      </c>
    </row>
    <row r="790" spans="1:6" x14ac:dyDescent="0.25">
      <c r="A790" s="9" t="s">
        <v>1634</v>
      </c>
      <c r="B790" s="9" t="s">
        <v>14</v>
      </c>
      <c r="C790" s="9" t="s">
        <v>1317</v>
      </c>
      <c r="D790" s="9" t="s">
        <v>2525</v>
      </c>
      <c r="E790" s="9" t="s">
        <v>64</v>
      </c>
      <c r="F790" s="9" t="s">
        <v>61</v>
      </c>
    </row>
    <row r="791" spans="1:6" x14ac:dyDescent="0.25">
      <c r="A791" s="9" t="s">
        <v>1636</v>
      </c>
      <c r="B791" s="9" t="s">
        <v>24</v>
      </c>
      <c r="C791" s="9" t="s">
        <v>501</v>
      </c>
      <c r="D791" s="9" t="s">
        <v>2526</v>
      </c>
      <c r="E791" s="9" t="s">
        <v>64</v>
      </c>
      <c r="F791" s="9" t="s">
        <v>47</v>
      </c>
    </row>
    <row r="792" spans="1:6" x14ac:dyDescent="0.25">
      <c r="A792" s="9" t="s">
        <v>1638</v>
      </c>
      <c r="B792" s="9" t="s">
        <v>18</v>
      </c>
      <c r="C792" s="9" t="s">
        <v>177</v>
      </c>
      <c r="D792" s="9" t="s">
        <v>2526</v>
      </c>
      <c r="E792" s="9" t="s">
        <v>62</v>
      </c>
      <c r="F792" s="9" t="s">
        <v>53</v>
      </c>
    </row>
    <row r="793" spans="1:6" x14ac:dyDescent="0.25">
      <c r="A793" s="9" t="s">
        <v>1639</v>
      </c>
      <c r="B793" s="9" t="s">
        <v>16</v>
      </c>
      <c r="C793" s="9" t="s">
        <v>481</v>
      </c>
      <c r="D793" s="9" t="s">
        <v>2527</v>
      </c>
      <c r="E793" s="9" t="s">
        <v>63</v>
      </c>
      <c r="F793" s="9" t="s">
        <v>58</v>
      </c>
    </row>
    <row r="794" spans="1:6" x14ac:dyDescent="0.25">
      <c r="A794" s="9" t="s">
        <v>1641</v>
      </c>
      <c r="B794" s="9" t="s">
        <v>24</v>
      </c>
      <c r="C794" s="9" t="s">
        <v>705</v>
      </c>
      <c r="D794" s="9" t="s">
        <v>2528</v>
      </c>
      <c r="E794" s="9" t="s">
        <v>66</v>
      </c>
      <c r="F794" s="9" t="s">
        <v>55</v>
      </c>
    </row>
    <row r="795" spans="1:6" x14ac:dyDescent="0.25">
      <c r="A795" s="9" t="s">
        <v>1643</v>
      </c>
      <c r="B795" s="9" t="s">
        <v>12</v>
      </c>
      <c r="C795" s="9" t="s">
        <v>792</v>
      </c>
      <c r="D795" s="9" t="s">
        <v>2529</v>
      </c>
      <c r="E795" s="9" t="s">
        <v>62</v>
      </c>
      <c r="F795" s="9" t="s">
        <v>49</v>
      </c>
    </row>
    <row r="796" spans="1:6" x14ac:dyDescent="0.25">
      <c r="A796" s="9" t="s">
        <v>1645</v>
      </c>
      <c r="B796" s="9" t="s">
        <v>20</v>
      </c>
      <c r="C796" s="9" t="s">
        <v>1646</v>
      </c>
      <c r="D796" s="9" t="s">
        <v>2530</v>
      </c>
      <c r="E796" s="9" t="s">
        <v>64</v>
      </c>
      <c r="F796" s="9" t="s">
        <v>51</v>
      </c>
    </row>
    <row r="797" spans="1:6" x14ac:dyDescent="0.25">
      <c r="A797" s="9" t="s">
        <v>1648</v>
      </c>
      <c r="B797" s="9" t="s">
        <v>22</v>
      </c>
      <c r="C797" s="9" t="s">
        <v>307</v>
      </c>
      <c r="D797" s="9" t="s">
        <v>2531</v>
      </c>
      <c r="E797" s="9" t="s">
        <v>62</v>
      </c>
      <c r="F797" s="9" t="s">
        <v>49</v>
      </c>
    </row>
    <row r="798" spans="1:6" x14ac:dyDescent="0.25">
      <c r="A798" s="9" t="s">
        <v>1650</v>
      </c>
      <c r="B798" s="9" t="s">
        <v>12</v>
      </c>
      <c r="C798" s="9" t="s">
        <v>484</v>
      </c>
      <c r="D798" s="9" t="s">
        <v>2532</v>
      </c>
      <c r="E798" s="9" t="s">
        <v>63</v>
      </c>
      <c r="F798" s="9" t="s">
        <v>47</v>
      </c>
    </row>
    <row r="799" spans="1:6" x14ac:dyDescent="0.25">
      <c r="A799" s="9" t="s">
        <v>1652</v>
      </c>
      <c r="B799" s="9" t="s">
        <v>22</v>
      </c>
      <c r="C799" s="9" t="s">
        <v>333</v>
      </c>
      <c r="D799" s="9" t="s">
        <v>2533</v>
      </c>
      <c r="E799" s="9" t="s">
        <v>63</v>
      </c>
      <c r="F799" s="9" t="s">
        <v>51</v>
      </c>
    </row>
    <row r="800" spans="1:6" x14ac:dyDescent="0.25">
      <c r="A800" s="9" t="s">
        <v>1654</v>
      </c>
      <c r="B800" s="9" t="s">
        <v>18</v>
      </c>
      <c r="C800" s="9" t="s">
        <v>400</v>
      </c>
      <c r="D800" s="9" t="s">
        <v>2533</v>
      </c>
      <c r="E800" s="9" t="s">
        <v>63</v>
      </c>
      <c r="F800" s="9" t="s">
        <v>47</v>
      </c>
    </row>
    <row r="801" spans="1:6" x14ac:dyDescent="0.25">
      <c r="A801" s="9" t="s">
        <v>1655</v>
      </c>
      <c r="B801" s="9" t="s">
        <v>16</v>
      </c>
      <c r="C801" s="9" t="s">
        <v>225</v>
      </c>
      <c r="D801" s="9" t="s">
        <v>2534</v>
      </c>
      <c r="E801" s="9" t="s">
        <v>62</v>
      </c>
      <c r="F801" s="9" t="s">
        <v>45</v>
      </c>
    </row>
    <row r="802" spans="1:6" x14ac:dyDescent="0.25">
      <c r="A802" s="9" t="s">
        <v>1657</v>
      </c>
      <c r="B802" s="9" t="s">
        <v>14</v>
      </c>
      <c r="C802" s="9" t="s">
        <v>552</v>
      </c>
      <c r="D802" s="9" t="s">
        <v>2534</v>
      </c>
      <c r="E802" s="9" t="s">
        <v>64</v>
      </c>
      <c r="F802" s="9" t="s">
        <v>47</v>
      </c>
    </row>
    <row r="803" spans="1:6" x14ac:dyDescent="0.25">
      <c r="A803" s="9" t="s">
        <v>1658</v>
      </c>
      <c r="B803" s="9" t="s">
        <v>16</v>
      </c>
      <c r="C803" s="9" t="s">
        <v>517</v>
      </c>
      <c r="D803" s="9" t="s">
        <v>2535</v>
      </c>
      <c r="E803" s="9" t="s">
        <v>63</v>
      </c>
      <c r="F803" s="9" t="s">
        <v>58</v>
      </c>
    </row>
    <row r="804" spans="1:6" x14ac:dyDescent="0.25">
      <c r="A804" s="9" t="s">
        <v>1660</v>
      </c>
      <c r="B804" s="9" t="s">
        <v>14</v>
      </c>
      <c r="C804" s="9" t="s">
        <v>1661</v>
      </c>
      <c r="D804" s="9" t="s">
        <v>2535</v>
      </c>
      <c r="E804" s="9" t="s">
        <v>63</v>
      </c>
      <c r="F804" s="9" t="s">
        <v>45</v>
      </c>
    </row>
    <row r="805" spans="1:6" x14ac:dyDescent="0.25">
      <c r="A805" s="9" t="s">
        <v>1662</v>
      </c>
      <c r="B805" s="9" t="s">
        <v>16</v>
      </c>
      <c r="C805" s="9" t="s">
        <v>633</v>
      </c>
      <c r="D805" s="9" t="s">
        <v>2536</v>
      </c>
      <c r="E805" s="9" t="s">
        <v>62</v>
      </c>
      <c r="F805" s="9" t="s">
        <v>45</v>
      </c>
    </row>
    <row r="806" spans="1:6" x14ac:dyDescent="0.25">
      <c r="A806" s="9" t="s">
        <v>1664</v>
      </c>
      <c r="B806" s="9" t="s">
        <v>18</v>
      </c>
      <c r="C806" s="9" t="s">
        <v>122</v>
      </c>
      <c r="D806" s="9" t="s">
        <v>2537</v>
      </c>
      <c r="E806" s="9" t="s">
        <v>63</v>
      </c>
      <c r="F806" s="9" t="s">
        <v>45</v>
      </c>
    </row>
    <row r="807" spans="1:6" x14ac:dyDescent="0.25">
      <c r="A807" s="9" t="s">
        <v>1666</v>
      </c>
      <c r="B807" s="9" t="s">
        <v>16</v>
      </c>
      <c r="C807" s="9" t="s">
        <v>411</v>
      </c>
      <c r="D807" s="9" t="s">
        <v>2538</v>
      </c>
      <c r="E807" s="9" t="s">
        <v>67</v>
      </c>
      <c r="F807" s="9" t="s">
        <v>47</v>
      </c>
    </row>
    <row r="808" spans="1:6" x14ac:dyDescent="0.25">
      <c r="A808" s="9" t="s">
        <v>1668</v>
      </c>
      <c r="B808" s="9" t="s">
        <v>14</v>
      </c>
      <c r="C808" s="9" t="s">
        <v>507</v>
      </c>
      <c r="D808" s="9" t="s">
        <v>2539</v>
      </c>
      <c r="E808" s="9" t="s">
        <v>65</v>
      </c>
      <c r="F808" s="9" t="s">
        <v>51</v>
      </c>
    </row>
    <row r="809" spans="1:6" x14ac:dyDescent="0.25">
      <c r="A809" s="9" t="s">
        <v>1670</v>
      </c>
      <c r="B809" s="9" t="s">
        <v>14</v>
      </c>
      <c r="C809" s="9" t="s">
        <v>230</v>
      </c>
      <c r="D809" s="9" t="s">
        <v>2539</v>
      </c>
      <c r="E809" s="9" t="s">
        <v>64</v>
      </c>
      <c r="F809" s="9" t="s">
        <v>51</v>
      </c>
    </row>
    <row r="810" spans="1:6" x14ac:dyDescent="0.25">
      <c r="A810" s="9" t="s">
        <v>1671</v>
      </c>
      <c r="B810" s="9" t="s">
        <v>16</v>
      </c>
      <c r="C810" s="9" t="s">
        <v>354</v>
      </c>
      <c r="D810" s="9" t="s">
        <v>2540</v>
      </c>
      <c r="E810" s="9" t="s">
        <v>64</v>
      </c>
      <c r="F810" s="9" t="s">
        <v>53</v>
      </c>
    </row>
    <row r="811" spans="1:6" x14ac:dyDescent="0.25">
      <c r="A811" s="9" t="s">
        <v>1673</v>
      </c>
      <c r="B811" s="9" t="s">
        <v>12</v>
      </c>
      <c r="C811" s="9" t="s">
        <v>552</v>
      </c>
      <c r="D811" s="9" t="s">
        <v>2541</v>
      </c>
      <c r="E811" s="9" t="s">
        <v>62</v>
      </c>
      <c r="F811" s="9" t="s">
        <v>49</v>
      </c>
    </row>
    <row r="812" spans="1:6" x14ac:dyDescent="0.25">
      <c r="A812" s="9" t="s">
        <v>1675</v>
      </c>
      <c r="B812" s="9" t="s">
        <v>24</v>
      </c>
      <c r="C812" s="9" t="s">
        <v>1147</v>
      </c>
      <c r="D812" s="9" t="s">
        <v>2542</v>
      </c>
      <c r="E812" s="9" t="s">
        <v>62</v>
      </c>
      <c r="F812" s="9" t="s">
        <v>51</v>
      </c>
    </row>
    <row r="813" spans="1:6" x14ac:dyDescent="0.25">
      <c r="A813" s="9" t="s">
        <v>1677</v>
      </c>
      <c r="B813" s="9" t="s">
        <v>16</v>
      </c>
      <c r="C813" s="9" t="s">
        <v>740</v>
      </c>
      <c r="D813" s="9" t="s">
        <v>2542</v>
      </c>
      <c r="E813" s="9" t="s">
        <v>66</v>
      </c>
      <c r="F813" s="9" t="s">
        <v>47</v>
      </c>
    </row>
    <row r="814" spans="1:6" x14ac:dyDescent="0.25">
      <c r="A814" s="9" t="s">
        <v>1678</v>
      </c>
      <c r="B814" s="9" t="s">
        <v>16</v>
      </c>
      <c r="C814" s="9" t="s">
        <v>264</v>
      </c>
      <c r="D814" s="9" t="s">
        <v>2542</v>
      </c>
      <c r="E814" s="9" t="s">
        <v>64</v>
      </c>
      <c r="F814" s="9" t="s">
        <v>61</v>
      </c>
    </row>
    <row r="815" spans="1:6" x14ac:dyDescent="0.25">
      <c r="A815" s="9" t="s">
        <v>1679</v>
      </c>
      <c r="B815" s="9" t="s">
        <v>14</v>
      </c>
      <c r="C815" s="9" t="s">
        <v>1048</v>
      </c>
      <c r="D815" s="9" t="s">
        <v>2543</v>
      </c>
      <c r="E815" s="9" t="s">
        <v>67</v>
      </c>
      <c r="F815" s="9" t="s">
        <v>61</v>
      </c>
    </row>
    <row r="816" spans="1:6" x14ac:dyDescent="0.25">
      <c r="A816" s="9" t="s">
        <v>1681</v>
      </c>
      <c r="B816" s="9" t="s">
        <v>12</v>
      </c>
      <c r="C816" s="9" t="s">
        <v>914</v>
      </c>
      <c r="D816" s="9" t="s">
        <v>2543</v>
      </c>
      <c r="E816" s="9" t="s">
        <v>62</v>
      </c>
      <c r="F816" s="9" t="s">
        <v>51</v>
      </c>
    </row>
    <row r="817" spans="1:6" x14ac:dyDescent="0.25">
      <c r="A817" s="9" t="s">
        <v>1682</v>
      </c>
      <c r="B817" s="9" t="s">
        <v>20</v>
      </c>
      <c r="C817" s="9" t="s">
        <v>1507</v>
      </c>
      <c r="D817" s="9" t="s">
        <v>2544</v>
      </c>
      <c r="E817" s="9" t="s">
        <v>65</v>
      </c>
      <c r="F817" s="9" t="s">
        <v>49</v>
      </c>
    </row>
    <row r="818" spans="1:6" x14ac:dyDescent="0.25">
      <c r="A818" s="9" t="s">
        <v>1684</v>
      </c>
      <c r="B818" s="9" t="s">
        <v>22</v>
      </c>
      <c r="C818" s="9" t="s">
        <v>503</v>
      </c>
      <c r="D818" s="9" t="s">
        <v>2544</v>
      </c>
      <c r="E818" s="9" t="s">
        <v>65</v>
      </c>
      <c r="F818" s="9" t="s">
        <v>55</v>
      </c>
    </row>
    <row r="819" spans="1:6" x14ac:dyDescent="0.25">
      <c r="A819" s="9" t="s">
        <v>1685</v>
      </c>
      <c r="B819" s="9" t="s">
        <v>14</v>
      </c>
      <c r="C819" s="9" t="s">
        <v>979</v>
      </c>
      <c r="D819" s="9" t="s">
        <v>2544</v>
      </c>
      <c r="E819" s="9" t="s">
        <v>64</v>
      </c>
      <c r="F819" s="9" t="s">
        <v>53</v>
      </c>
    </row>
    <row r="820" spans="1:6" x14ac:dyDescent="0.25">
      <c r="A820" s="9" t="s">
        <v>1686</v>
      </c>
      <c r="B820" s="9" t="s">
        <v>24</v>
      </c>
      <c r="C820" s="9" t="s">
        <v>989</v>
      </c>
      <c r="D820" s="9" t="s">
        <v>2545</v>
      </c>
      <c r="E820" s="9" t="s">
        <v>67</v>
      </c>
      <c r="F820" s="9" t="s">
        <v>58</v>
      </c>
    </row>
    <row r="821" spans="1:6" x14ac:dyDescent="0.25">
      <c r="A821" s="9" t="s">
        <v>1688</v>
      </c>
      <c r="B821" s="9" t="s">
        <v>24</v>
      </c>
      <c r="C821" s="9" t="s">
        <v>552</v>
      </c>
      <c r="D821" s="9" t="s">
        <v>2546</v>
      </c>
      <c r="E821" s="9" t="s">
        <v>65</v>
      </c>
      <c r="F821" s="9" t="s">
        <v>43</v>
      </c>
    </row>
    <row r="822" spans="1:6" x14ac:dyDescent="0.25">
      <c r="A822" s="9" t="s">
        <v>1690</v>
      </c>
      <c r="B822" s="9" t="s">
        <v>18</v>
      </c>
      <c r="C822" s="9" t="s">
        <v>124</v>
      </c>
      <c r="D822" s="9" t="s">
        <v>2546</v>
      </c>
      <c r="E822" s="9" t="s">
        <v>65</v>
      </c>
      <c r="F822" s="9" t="s">
        <v>61</v>
      </c>
    </row>
    <row r="823" spans="1:6" x14ac:dyDescent="0.25">
      <c r="A823" s="9" t="s">
        <v>1691</v>
      </c>
      <c r="B823" s="9" t="s">
        <v>20</v>
      </c>
      <c r="C823" s="9" t="s">
        <v>291</v>
      </c>
      <c r="D823" s="9" t="s">
        <v>2547</v>
      </c>
      <c r="E823" s="9" t="s">
        <v>67</v>
      </c>
      <c r="F823" s="9" t="s">
        <v>47</v>
      </c>
    </row>
    <row r="824" spans="1:6" x14ac:dyDescent="0.25">
      <c r="A824" s="9" t="s">
        <v>1693</v>
      </c>
      <c r="B824" s="9" t="s">
        <v>22</v>
      </c>
      <c r="C824" s="9" t="s">
        <v>580</v>
      </c>
      <c r="D824" s="9" t="s">
        <v>2548</v>
      </c>
      <c r="E824" s="9" t="s">
        <v>66</v>
      </c>
      <c r="F824" s="9" t="s">
        <v>45</v>
      </c>
    </row>
    <row r="825" spans="1:6" x14ac:dyDescent="0.25">
      <c r="A825" s="9" t="s">
        <v>1695</v>
      </c>
      <c r="B825" s="9" t="s">
        <v>16</v>
      </c>
      <c r="C825" s="9" t="s">
        <v>1696</v>
      </c>
      <c r="D825" s="9" t="s">
        <v>2549</v>
      </c>
      <c r="E825" s="9" t="s">
        <v>66</v>
      </c>
      <c r="F825" s="9" t="s">
        <v>61</v>
      </c>
    </row>
    <row r="826" spans="1:6" x14ac:dyDescent="0.25">
      <c r="A826" s="9" t="s">
        <v>1698</v>
      </c>
      <c r="B826" s="9" t="s">
        <v>12</v>
      </c>
      <c r="C826" s="9" t="s">
        <v>522</v>
      </c>
      <c r="D826" s="9" t="s">
        <v>2549</v>
      </c>
      <c r="E826" s="9" t="s">
        <v>66</v>
      </c>
      <c r="F826" s="9" t="s">
        <v>43</v>
      </c>
    </row>
    <row r="827" spans="1:6" x14ac:dyDescent="0.25">
      <c r="A827" s="9" t="s">
        <v>1699</v>
      </c>
      <c r="B827" s="9" t="s">
        <v>14</v>
      </c>
      <c r="C827" s="9" t="s">
        <v>1027</v>
      </c>
      <c r="D827" s="9" t="s">
        <v>2550</v>
      </c>
      <c r="E827" s="9" t="s">
        <v>64</v>
      </c>
      <c r="F827" s="9" t="s">
        <v>49</v>
      </c>
    </row>
    <row r="828" spans="1:6" x14ac:dyDescent="0.25">
      <c r="A828" s="9" t="s">
        <v>1701</v>
      </c>
      <c r="B828" s="9" t="s">
        <v>14</v>
      </c>
      <c r="C828" s="9" t="s">
        <v>128</v>
      </c>
      <c r="D828" s="9" t="s">
        <v>2550</v>
      </c>
      <c r="E828" s="9" t="s">
        <v>65</v>
      </c>
      <c r="F828" s="9" t="s">
        <v>58</v>
      </c>
    </row>
    <row r="829" spans="1:6" x14ac:dyDescent="0.25">
      <c r="A829" s="9" t="s">
        <v>1702</v>
      </c>
      <c r="B829" s="9" t="s">
        <v>12</v>
      </c>
      <c r="C829" s="9" t="s">
        <v>718</v>
      </c>
      <c r="D829" s="9" t="s">
        <v>2551</v>
      </c>
      <c r="E829" s="9" t="s">
        <v>62</v>
      </c>
      <c r="F829" s="9" t="s">
        <v>43</v>
      </c>
    </row>
    <row r="830" spans="1:6" x14ac:dyDescent="0.25">
      <c r="A830" s="9" t="s">
        <v>1704</v>
      </c>
      <c r="B830" s="9" t="s">
        <v>18</v>
      </c>
      <c r="C830" s="9" t="s">
        <v>252</v>
      </c>
      <c r="D830" s="9" t="s">
        <v>2552</v>
      </c>
      <c r="E830" s="9" t="s">
        <v>67</v>
      </c>
      <c r="F830" s="9" t="s">
        <v>49</v>
      </c>
    </row>
    <row r="831" spans="1:6" x14ac:dyDescent="0.25">
      <c r="A831" s="9" t="s">
        <v>1706</v>
      </c>
      <c r="B831" s="9" t="s">
        <v>16</v>
      </c>
      <c r="C831" s="9" t="s">
        <v>165</v>
      </c>
      <c r="D831" s="9" t="s">
        <v>2553</v>
      </c>
      <c r="E831" s="9" t="s">
        <v>66</v>
      </c>
      <c r="F831" s="9" t="s">
        <v>43</v>
      </c>
    </row>
    <row r="832" spans="1:6" x14ac:dyDescent="0.25">
      <c r="A832" s="9" t="s">
        <v>1708</v>
      </c>
      <c r="B832" s="9" t="s">
        <v>22</v>
      </c>
      <c r="C832" s="9" t="s">
        <v>86</v>
      </c>
      <c r="D832" s="9" t="s">
        <v>2554</v>
      </c>
      <c r="E832" s="9" t="s">
        <v>66</v>
      </c>
      <c r="F832" s="9" t="s">
        <v>61</v>
      </c>
    </row>
    <row r="833" spans="1:6" x14ac:dyDescent="0.25">
      <c r="A833" s="9" t="s">
        <v>1710</v>
      </c>
      <c r="B833" s="9" t="s">
        <v>14</v>
      </c>
      <c r="C833" s="9" t="s">
        <v>796</v>
      </c>
      <c r="D833" s="9" t="s">
        <v>2555</v>
      </c>
      <c r="E833" s="9" t="s">
        <v>62</v>
      </c>
      <c r="F833" s="9" t="s">
        <v>49</v>
      </c>
    </row>
    <row r="834" spans="1:6" x14ac:dyDescent="0.25">
      <c r="A834" s="9" t="s">
        <v>1712</v>
      </c>
      <c r="B834" s="9" t="s">
        <v>14</v>
      </c>
      <c r="C834" s="9" t="s">
        <v>365</v>
      </c>
      <c r="D834" s="9" t="s">
        <v>2556</v>
      </c>
      <c r="E834" s="9" t="s">
        <v>62</v>
      </c>
      <c r="F834" s="9" t="s">
        <v>47</v>
      </c>
    </row>
    <row r="835" spans="1:6" x14ac:dyDescent="0.25">
      <c r="A835" s="9" t="s">
        <v>1714</v>
      </c>
      <c r="B835" s="9" t="s">
        <v>22</v>
      </c>
      <c r="C835" s="9" t="s">
        <v>1151</v>
      </c>
      <c r="D835" s="9" t="s">
        <v>2557</v>
      </c>
      <c r="E835" s="9" t="s">
        <v>63</v>
      </c>
      <c r="F835" s="9" t="s">
        <v>61</v>
      </c>
    </row>
    <row r="836" spans="1:6" x14ac:dyDescent="0.25">
      <c r="A836" s="9" t="s">
        <v>1716</v>
      </c>
      <c r="B836" s="9" t="s">
        <v>14</v>
      </c>
      <c r="C836" s="9" t="s">
        <v>324</v>
      </c>
      <c r="D836" s="9" t="s">
        <v>2557</v>
      </c>
      <c r="E836" s="9" t="s">
        <v>64</v>
      </c>
      <c r="F836" s="9" t="s">
        <v>47</v>
      </c>
    </row>
    <row r="837" spans="1:6" x14ac:dyDescent="0.25">
      <c r="A837" s="9" t="s">
        <v>1717</v>
      </c>
      <c r="B837" s="9" t="s">
        <v>16</v>
      </c>
      <c r="C837" s="9" t="s">
        <v>374</v>
      </c>
      <c r="D837" s="9" t="s">
        <v>2558</v>
      </c>
      <c r="E837" s="9" t="s">
        <v>67</v>
      </c>
      <c r="F837" s="9" t="s">
        <v>58</v>
      </c>
    </row>
    <row r="838" spans="1:6" x14ac:dyDescent="0.25">
      <c r="A838" s="9" t="s">
        <v>1719</v>
      </c>
      <c r="B838" s="9" t="s">
        <v>18</v>
      </c>
      <c r="C838" s="9" t="s">
        <v>765</v>
      </c>
      <c r="D838" s="9" t="s">
        <v>2558</v>
      </c>
      <c r="E838" s="9" t="s">
        <v>62</v>
      </c>
      <c r="F838" s="9" t="s">
        <v>58</v>
      </c>
    </row>
    <row r="839" spans="1:6" x14ac:dyDescent="0.25">
      <c r="A839" s="9" t="s">
        <v>1720</v>
      </c>
      <c r="B839" s="9" t="s">
        <v>16</v>
      </c>
      <c r="C839" s="9" t="s">
        <v>1128</v>
      </c>
      <c r="D839" s="9" t="s">
        <v>2559</v>
      </c>
      <c r="E839" s="9" t="s">
        <v>67</v>
      </c>
      <c r="F839" s="9" t="s">
        <v>47</v>
      </c>
    </row>
    <row r="840" spans="1:6" x14ac:dyDescent="0.25">
      <c r="A840" s="9" t="s">
        <v>1722</v>
      </c>
      <c r="B840" s="9" t="s">
        <v>14</v>
      </c>
      <c r="C840" s="9" t="s">
        <v>1723</v>
      </c>
      <c r="D840" s="9" t="s">
        <v>2560</v>
      </c>
      <c r="E840" s="9" t="s">
        <v>67</v>
      </c>
      <c r="F840" s="9" t="s">
        <v>55</v>
      </c>
    </row>
    <row r="841" spans="1:6" x14ac:dyDescent="0.25">
      <c r="A841" s="9" t="s">
        <v>1725</v>
      </c>
      <c r="B841" s="9" t="s">
        <v>24</v>
      </c>
      <c r="C841" s="9" t="s">
        <v>105</v>
      </c>
      <c r="D841" s="9" t="s">
        <v>2560</v>
      </c>
      <c r="E841" s="9" t="s">
        <v>65</v>
      </c>
      <c r="F841" s="9" t="s">
        <v>61</v>
      </c>
    </row>
    <row r="842" spans="1:6" x14ac:dyDescent="0.25">
      <c r="A842" s="9" t="s">
        <v>1726</v>
      </c>
      <c r="B842" s="9" t="s">
        <v>16</v>
      </c>
      <c r="C842" s="9" t="s">
        <v>242</v>
      </c>
      <c r="D842" s="9" t="s">
        <v>2560</v>
      </c>
      <c r="E842" s="9" t="s">
        <v>64</v>
      </c>
      <c r="F842" s="9" t="s">
        <v>58</v>
      </c>
    </row>
    <row r="843" spans="1:6" x14ac:dyDescent="0.25">
      <c r="A843" s="9" t="s">
        <v>1727</v>
      </c>
      <c r="B843" s="9" t="s">
        <v>12</v>
      </c>
      <c r="C843" s="9" t="s">
        <v>589</v>
      </c>
      <c r="D843" s="9" t="s">
        <v>2561</v>
      </c>
      <c r="E843" s="9" t="s">
        <v>63</v>
      </c>
      <c r="F843" s="9" t="s">
        <v>49</v>
      </c>
    </row>
    <row r="844" spans="1:6" x14ac:dyDescent="0.25">
      <c r="A844" s="9" t="s">
        <v>1729</v>
      </c>
      <c r="B844" s="9" t="s">
        <v>18</v>
      </c>
      <c r="C844" s="9" t="s">
        <v>644</v>
      </c>
      <c r="D844" s="9" t="s">
        <v>2562</v>
      </c>
      <c r="E844" s="9" t="s">
        <v>63</v>
      </c>
      <c r="F844" s="9" t="s">
        <v>55</v>
      </c>
    </row>
    <row r="845" spans="1:6" x14ac:dyDescent="0.25">
      <c r="A845" s="9" t="s">
        <v>1731</v>
      </c>
      <c r="B845" s="9" t="s">
        <v>14</v>
      </c>
      <c r="C845" s="9" t="s">
        <v>242</v>
      </c>
      <c r="D845" s="9" t="s">
        <v>2563</v>
      </c>
      <c r="E845" s="9" t="s">
        <v>63</v>
      </c>
      <c r="F845" s="9" t="s">
        <v>53</v>
      </c>
    </row>
    <row r="846" spans="1:6" x14ac:dyDescent="0.25">
      <c r="A846" s="9" t="s">
        <v>1733</v>
      </c>
      <c r="B846" s="9" t="s">
        <v>16</v>
      </c>
      <c r="C846" s="9" t="s">
        <v>725</v>
      </c>
      <c r="D846" s="9" t="s">
        <v>2564</v>
      </c>
      <c r="E846" s="9" t="s">
        <v>67</v>
      </c>
      <c r="F846" s="9" t="s">
        <v>55</v>
      </c>
    </row>
    <row r="847" spans="1:6" x14ac:dyDescent="0.25">
      <c r="A847" s="9" t="s">
        <v>1735</v>
      </c>
      <c r="B847" s="9" t="s">
        <v>12</v>
      </c>
      <c r="C847" s="9" t="s">
        <v>134</v>
      </c>
      <c r="D847" s="9" t="s">
        <v>2564</v>
      </c>
      <c r="E847" s="9" t="s">
        <v>66</v>
      </c>
      <c r="F847" s="9" t="s">
        <v>61</v>
      </c>
    </row>
    <row r="848" spans="1:6" x14ac:dyDescent="0.25">
      <c r="A848" s="9" t="s">
        <v>1736</v>
      </c>
      <c r="B848" s="9" t="s">
        <v>22</v>
      </c>
      <c r="C848" s="9" t="s">
        <v>662</v>
      </c>
      <c r="D848" s="9" t="s">
        <v>2565</v>
      </c>
      <c r="E848" s="9" t="s">
        <v>62</v>
      </c>
      <c r="F848" s="9" t="s">
        <v>58</v>
      </c>
    </row>
    <row r="849" spans="1:6" x14ac:dyDescent="0.25">
      <c r="A849" s="9" t="s">
        <v>1738</v>
      </c>
      <c r="B849" s="9" t="s">
        <v>16</v>
      </c>
      <c r="C849" s="9" t="s">
        <v>286</v>
      </c>
      <c r="D849" s="9" t="s">
        <v>2566</v>
      </c>
      <c r="E849" s="9" t="s">
        <v>65</v>
      </c>
      <c r="F849" s="9" t="s">
        <v>61</v>
      </c>
    </row>
    <row r="850" spans="1:6" x14ac:dyDescent="0.25">
      <c r="A850" s="9" t="s">
        <v>1740</v>
      </c>
      <c r="B850" s="9" t="s">
        <v>14</v>
      </c>
      <c r="C850" s="9" t="s">
        <v>145</v>
      </c>
      <c r="D850" s="9" t="s">
        <v>2567</v>
      </c>
      <c r="E850" s="9" t="s">
        <v>63</v>
      </c>
      <c r="F850" s="9" t="s">
        <v>58</v>
      </c>
    </row>
    <row r="851" spans="1:6" x14ac:dyDescent="0.25">
      <c r="A851" s="9" t="s">
        <v>1742</v>
      </c>
      <c r="B851" s="9" t="s">
        <v>18</v>
      </c>
      <c r="C851" s="9" t="s">
        <v>535</v>
      </c>
      <c r="D851" s="9" t="s">
        <v>2568</v>
      </c>
      <c r="E851" s="9" t="s">
        <v>63</v>
      </c>
      <c r="F851" s="9" t="s">
        <v>61</v>
      </c>
    </row>
    <row r="852" spans="1:6" x14ac:dyDescent="0.25">
      <c r="A852" s="9" t="s">
        <v>1744</v>
      </c>
      <c r="B852" s="9" t="s">
        <v>24</v>
      </c>
      <c r="C852" s="9" t="s">
        <v>139</v>
      </c>
      <c r="D852" s="9" t="s">
        <v>2569</v>
      </c>
      <c r="E852" s="9" t="s">
        <v>65</v>
      </c>
      <c r="F852" s="9" t="s">
        <v>43</v>
      </c>
    </row>
    <row r="853" spans="1:6" x14ac:dyDescent="0.25">
      <c r="A853" s="9" t="s">
        <v>1746</v>
      </c>
      <c r="B853" s="9" t="s">
        <v>12</v>
      </c>
      <c r="C853" s="9" t="s">
        <v>207</v>
      </c>
      <c r="D853" s="9" t="s">
        <v>2570</v>
      </c>
      <c r="E853" s="9" t="s">
        <v>67</v>
      </c>
      <c r="F853" s="9" t="s">
        <v>47</v>
      </c>
    </row>
    <row r="854" spans="1:6" x14ac:dyDescent="0.25">
      <c r="A854" s="9" t="s">
        <v>1748</v>
      </c>
      <c r="B854" s="9" t="s">
        <v>20</v>
      </c>
      <c r="C854" s="9" t="s">
        <v>239</v>
      </c>
      <c r="D854" s="9" t="s">
        <v>2571</v>
      </c>
      <c r="E854" s="9" t="s">
        <v>64</v>
      </c>
      <c r="F854" s="9" t="s">
        <v>49</v>
      </c>
    </row>
    <row r="855" spans="1:6" x14ac:dyDescent="0.25">
      <c r="A855" s="9" t="s">
        <v>1750</v>
      </c>
      <c r="B855" s="9" t="s">
        <v>20</v>
      </c>
      <c r="C855" s="9" t="s">
        <v>1534</v>
      </c>
      <c r="D855" s="9" t="s">
        <v>2571</v>
      </c>
      <c r="E855" s="9" t="s">
        <v>67</v>
      </c>
      <c r="F855" s="9" t="s">
        <v>53</v>
      </c>
    </row>
    <row r="856" spans="1:6" x14ac:dyDescent="0.25">
      <c r="A856" s="9" t="s">
        <v>1751</v>
      </c>
      <c r="B856" s="9" t="s">
        <v>14</v>
      </c>
      <c r="C856" s="9" t="s">
        <v>501</v>
      </c>
      <c r="D856" s="9" t="s">
        <v>2571</v>
      </c>
      <c r="E856" s="9" t="s">
        <v>62</v>
      </c>
      <c r="F856" s="9" t="s">
        <v>43</v>
      </c>
    </row>
    <row r="857" spans="1:6" x14ac:dyDescent="0.25">
      <c r="A857" s="9" t="s">
        <v>1752</v>
      </c>
      <c r="B857" s="9" t="s">
        <v>16</v>
      </c>
      <c r="C857" s="9" t="s">
        <v>1273</v>
      </c>
      <c r="D857" s="9" t="s">
        <v>2572</v>
      </c>
      <c r="E857" s="9" t="s">
        <v>64</v>
      </c>
      <c r="F857" s="9" t="s">
        <v>53</v>
      </c>
    </row>
    <row r="858" spans="1:6" x14ac:dyDescent="0.25">
      <c r="A858" s="9" t="s">
        <v>1754</v>
      </c>
      <c r="B858" s="9" t="s">
        <v>22</v>
      </c>
      <c r="C858" s="9" t="s">
        <v>522</v>
      </c>
      <c r="D858" s="9" t="s">
        <v>2572</v>
      </c>
      <c r="E858" s="9" t="s">
        <v>62</v>
      </c>
      <c r="F858" s="9" t="s">
        <v>47</v>
      </c>
    </row>
    <row r="859" spans="1:6" x14ac:dyDescent="0.25">
      <c r="A859" s="9" t="s">
        <v>1755</v>
      </c>
      <c r="B859" s="9" t="s">
        <v>16</v>
      </c>
      <c r="C859" s="9" t="s">
        <v>1623</v>
      </c>
      <c r="D859" s="9" t="s">
        <v>2573</v>
      </c>
      <c r="E859" s="9" t="s">
        <v>63</v>
      </c>
      <c r="F859" s="9" t="s">
        <v>51</v>
      </c>
    </row>
    <row r="860" spans="1:6" x14ac:dyDescent="0.25">
      <c r="A860" s="9" t="s">
        <v>1757</v>
      </c>
      <c r="B860" s="9" t="s">
        <v>16</v>
      </c>
      <c r="C860" s="9" t="s">
        <v>328</v>
      </c>
      <c r="D860" s="9" t="s">
        <v>2574</v>
      </c>
      <c r="E860" s="9" t="s">
        <v>65</v>
      </c>
      <c r="F860" s="9" t="s">
        <v>43</v>
      </c>
    </row>
    <row r="861" spans="1:6" x14ac:dyDescent="0.25">
      <c r="A861" s="9" t="s">
        <v>1759</v>
      </c>
      <c r="B861" s="9" t="s">
        <v>16</v>
      </c>
      <c r="C861" s="9" t="s">
        <v>1048</v>
      </c>
      <c r="D861" s="9" t="s">
        <v>2574</v>
      </c>
      <c r="E861" s="9" t="s">
        <v>67</v>
      </c>
      <c r="F861" s="9" t="s">
        <v>58</v>
      </c>
    </row>
    <row r="862" spans="1:6" x14ac:dyDescent="0.25">
      <c r="A862" s="9" t="s">
        <v>1760</v>
      </c>
      <c r="B862" s="9" t="s">
        <v>16</v>
      </c>
      <c r="C862" s="9" t="s">
        <v>1761</v>
      </c>
      <c r="D862" s="9" t="s">
        <v>2574</v>
      </c>
      <c r="E862" s="9" t="s">
        <v>67</v>
      </c>
      <c r="F862" s="9" t="s">
        <v>61</v>
      </c>
    </row>
    <row r="863" spans="1:6" x14ac:dyDescent="0.25">
      <c r="A863" s="9" t="s">
        <v>1762</v>
      </c>
      <c r="B863" s="9" t="s">
        <v>14</v>
      </c>
      <c r="C863" s="9" t="s">
        <v>278</v>
      </c>
      <c r="D863" s="9" t="s">
        <v>2575</v>
      </c>
      <c r="E863" s="9" t="s">
        <v>64</v>
      </c>
      <c r="F863" s="9" t="s">
        <v>49</v>
      </c>
    </row>
    <row r="864" spans="1:6" x14ac:dyDescent="0.25">
      <c r="A864" s="9" t="s">
        <v>1764</v>
      </c>
      <c r="B864" s="9" t="s">
        <v>18</v>
      </c>
      <c r="C864" s="9" t="s">
        <v>1125</v>
      </c>
      <c r="D864" s="9" t="s">
        <v>2576</v>
      </c>
      <c r="E864" s="9" t="s">
        <v>62</v>
      </c>
      <c r="F864" s="9" t="s">
        <v>51</v>
      </c>
    </row>
    <row r="865" spans="1:6" x14ac:dyDescent="0.25">
      <c r="A865" s="9" t="s">
        <v>1766</v>
      </c>
      <c r="B865" s="9" t="s">
        <v>18</v>
      </c>
      <c r="C865" s="9" t="s">
        <v>378</v>
      </c>
      <c r="D865" s="9" t="s">
        <v>2577</v>
      </c>
      <c r="E865" s="9" t="s">
        <v>66</v>
      </c>
      <c r="F865" s="9" t="s">
        <v>47</v>
      </c>
    </row>
    <row r="866" spans="1:6" x14ac:dyDescent="0.25">
      <c r="A866" s="9" t="s">
        <v>1768</v>
      </c>
      <c r="B866" s="9" t="s">
        <v>24</v>
      </c>
      <c r="C866" s="9" t="s">
        <v>705</v>
      </c>
      <c r="D866" s="9" t="s">
        <v>2578</v>
      </c>
      <c r="E866" s="9" t="s">
        <v>66</v>
      </c>
      <c r="F866" s="9" t="s">
        <v>51</v>
      </c>
    </row>
    <row r="867" spans="1:6" x14ac:dyDescent="0.25">
      <c r="A867" s="9" t="s">
        <v>1770</v>
      </c>
      <c r="B867" s="9" t="s">
        <v>20</v>
      </c>
      <c r="C867" s="9" t="s">
        <v>641</v>
      </c>
      <c r="D867" s="9" t="s">
        <v>2578</v>
      </c>
      <c r="E867" s="9" t="s">
        <v>65</v>
      </c>
      <c r="F867" s="9" t="s">
        <v>53</v>
      </c>
    </row>
    <row r="868" spans="1:6" x14ac:dyDescent="0.25">
      <c r="A868" s="9" t="s">
        <v>1771</v>
      </c>
      <c r="B868" s="9" t="s">
        <v>20</v>
      </c>
      <c r="C868" s="9" t="s">
        <v>535</v>
      </c>
      <c r="D868" s="9" t="s">
        <v>2579</v>
      </c>
      <c r="E868" s="9" t="s">
        <v>63</v>
      </c>
      <c r="F868" s="9" t="s">
        <v>47</v>
      </c>
    </row>
    <row r="869" spans="1:6" x14ac:dyDescent="0.25">
      <c r="A869" s="9" t="s">
        <v>1773</v>
      </c>
      <c r="B869" s="9" t="s">
        <v>24</v>
      </c>
      <c r="C869" s="9" t="s">
        <v>489</v>
      </c>
      <c r="D869" s="9" t="s">
        <v>2579</v>
      </c>
      <c r="E869" s="9" t="s">
        <v>63</v>
      </c>
      <c r="F869" s="9" t="s">
        <v>61</v>
      </c>
    </row>
    <row r="870" spans="1:6" x14ac:dyDescent="0.25">
      <c r="A870" s="9" t="s">
        <v>1774</v>
      </c>
      <c r="B870" s="9" t="s">
        <v>16</v>
      </c>
      <c r="C870" s="9" t="s">
        <v>636</v>
      </c>
      <c r="D870" s="9" t="s">
        <v>2580</v>
      </c>
      <c r="E870" s="9" t="s">
        <v>67</v>
      </c>
      <c r="F870" s="9" t="s">
        <v>51</v>
      </c>
    </row>
    <row r="871" spans="1:6" x14ac:dyDescent="0.25">
      <c r="A871" s="9" t="s">
        <v>1776</v>
      </c>
      <c r="B871" s="9" t="s">
        <v>14</v>
      </c>
      <c r="C871" s="9" t="s">
        <v>620</v>
      </c>
      <c r="D871" s="9" t="s">
        <v>2581</v>
      </c>
      <c r="E871" s="9" t="s">
        <v>64</v>
      </c>
      <c r="F871" s="9" t="s">
        <v>58</v>
      </c>
    </row>
    <row r="872" spans="1:6" x14ac:dyDescent="0.25">
      <c r="A872" s="9" t="s">
        <v>1778</v>
      </c>
      <c r="B872" s="9" t="s">
        <v>18</v>
      </c>
      <c r="C872" s="9" t="s">
        <v>603</v>
      </c>
      <c r="D872" s="9" t="s">
        <v>2582</v>
      </c>
      <c r="E872" s="9" t="s">
        <v>64</v>
      </c>
      <c r="F872" s="9" t="s">
        <v>49</v>
      </c>
    </row>
    <row r="873" spans="1:6" x14ac:dyDescent="0.25">
      <c r="A873" s="9" t="s">
        <v>1780</v>
      </c>
      <c r="B873" s="9" t="s">
        <v>20</v>
      </c>
      <c r="C873" s="9" t="s">
        <v>1661</v>
      </c>
      <c r="D873" s="9" t="s">
        <v>2582</v>
      </c>
      <c r="E873" s="9" t="s">
        <v>63</v>
      </c>
      <c r="F873" s="9" t="s">
        <v>47</v>
      </c>
    </row>
    <row r="874" spans="1:6" x14ac:dyDescent="0.25">
      <c r="A874" s="9" t="s">
        <v>1781</v>
      </c>
      <c r="B874" s="9" t="s">
        <v>20</v>
      </c>
      <c r="C874" s="9" t="s">
        <v>1090</v>
      </c>
      <c r="D874" s="9" t="s">
        <v>2583</v>
      </c>
      <c r="E874" s="9" t="s">
        <v>67</v>
      </c>
      <c r="F874" s="9" t="s">
        <v>58</v>
      </c>
    </row>
    <row r="875" spans="1:6" x14ac:dyDescent="0.25">
      <c r="A875" s="9" t="s">
        <v>1783</v>
      </c>
      <c r="B875" s="9" t="s">
        <v>22</v>
      </c>
      <c r="C875" s="9" t="s">
        <v>1761</v>
      </c>
      <c r="D875" s="9" t="s">
        <v>2583</v>
      </c>
      <c r="E875" s="9" t="s">
        <v>65</v>
      </c>
      <c r="F875" s="9" t="s">
        <v>51</v>
      </c>
    </row>
    <row r="876" spans="1:6" x14ac:dyDescent="0.25">
      <c r="A876" s="9" t="s">
        <v>1784</v>
      </c>
      <c r="B876" s="9" t="s">
        <v>22</v>
      </c>
      <c r="C876" s="9" t="s">
        <v>275</v>
      </c>
      <c r="D876" s="9" t="s">
        <v>2583</v>
      </c>
      <c r="E876" s="9" t="s">
        <v>66</v>
      </c>
      <c r="F876" s="9" t="s">
        <v>55</v>
      </c>
    </row>
    <row r="877" spans="1:6" x14ac:dyDescent="0.25">
      <c r="A877" s="9" t="s">
        <v>1785</v>
      </c>
      <c r="B877" s="9" t="s">
        <v>14</v>
      </c>
      <c r="C877" s="9" t="s">
        <v>662</v>
      </c>
      <c r="D877" s="9" t="s">
        <v>2584</v>
      </c>
      <c r="E877" s="9" t="s">
        <v>64</v>
      </c>
      <c r="F877" s="9" t="s">
        <v>51</v>
      </c>
    </row>
    <row r="878" spans="1:6" x14ac:dyDescent="0.25">
      <c r="A878" s="9" t="s">
        <v>1787</v>
      </c>
      <c r="B878" s="9" t="s">
        <v>18</v>
      </c>
      <c r="C878" s="9" t="s">
        <v>789</v>
      </c>
      <c r="D878" s="9" t="s">
        <v>2585</v>
      </c>
      <c r="E878" s="9" t="s">
        <v>62</v>
      </c>
      <c r="F878" s="9" t="s">
        <v>61</v>
      </c>
    </row>
    <row r="879" spans="1:6" x14ac:dyDescent="0.25">
      <c r="A879" s="9" t="s">
        <v>1789</v>
      </c>
      <c r="B879" s="9" t="s">
        <v>22</v>
      </c>
      <c r="C879" s="9" t="s">
        <v>1646</v>
      </c>
      <c r="D879" s="9" t="s">
        <v>2586</v>
      </c>
      <c r="E879" s="9" t="s">
        <v>62</v>
      </c>
      <c r="F879" s="9" t="s">
        <v>47</v>
      </c>
    </row>
    <row r="880" spans="1:6" x14ac:dyDescent="0.25">
      <c r="A880" s="9" t="s">
        <v>1791</v>
      </c>
      <c r="B880" s="9" t="s">
        <v>12</v>
      </c>
      <c r="C880" s="9" t="s">
        <v>343</v>
      </c>
      <c r="D880" s="9" t="s">
        <v>2587</v>
      </c>
      <c r="E880" s="9" t="s">
        <v>66</v>
      </c>
      <c r="F880" s="9" t="s">
        <v>49</v>
      </c>
    </row>
    <row r="881" spans="1:6" x14ac:dyDescent="0.25">
      <c r="A881" s="9" t="s">
        <v>1793</v>
      </c>
      <c r="B881" s="9" t="s">
        <v>20</v>
      </c>
      <c r="C881" s="9" t="s">
        <v>91</v>
      </c>
      <c r="D881" s="9" t="s">
        <v>2588</v>
      </c>
      <c r="E881" s="9" t="s">
        <v>62</v>
      </c>
      <c r="F881" s="9" t="s">
        <v>47</v>
      </c>
    </row>
    <row r="882" spans="1:6" x14ac:dyDescent="0.25">
      <c r="A882" s="9" t="s">
        <v>1795</v>
      </c>
      <c r="B882" s="9" t="s">
        <v>14</v>
      </c>
      <c r="C882" s="9" t="s">
        <v>1048</v>
      </c>
      <c r="D882" s="9" t="s">
        <v>2588</v>
      </c>
      <c r="E882" s="9" t="s">
        <v>63</v>
      </c>
      <c r="F882" s="9" t="s">
        <v>61</v>
      </c>
    </row>
    <row r="883" spans="1:6" x14ac:dyDescent="0.25">
      <c r="A883" s="9" t="s">
        <v>1796</v>
      </c>
      <c r="B883" s="9" t="s">
        <v>22</v>
      </c>
      <c r="C883" s="9" t="s">
        <v>675</v>
      </c>
      <c r="D883" s="9" t="s">
        <v>2588</v>
      </c>
      <c r="E883" s="9" t="s">
        <v>66</v>
      </c>
      <c r="F883" s="9" t="s">
        <v>58</v>
      </c>
    </row>
    <row r="884" spans="1:6" x14ac:dyDescent="0.25">
      <c r="A884" s="9" t="s">
        <v>1797</v>
      </c>
      <c r="B884" s="9" t="s">
        <v>22</v>
      </c>
      <c r="C884" s="9" t="s">
        <v>644</v>
      </c>
      <c r="D884" s="9" t="s">
        <v>2589</v>
      </c>
      <c r="E884" s="9" t="s">
        <v>62</v>
      </c>
      <c r="F884" s="9" t="s">
        <v>55</v>
      </c>
    </row>
    <row r="885" spans="1:6" x14ac:dyDescent="0.25">
      <c r="A885" s="9" t="s">
        <v>1799</v>
      </c>
      <c r="B885" s="9" t="s">
        <v>20</v>
      </c>
      <c r="C885" s="9" t="s">
        <v>747</v>
      </c>
      <c r="D885" s="9" t="s">
        <v>2589</v>
      </c>
      <c r="E885" s="9" t="s">
        <v>63</v>
      </c>
      <c r="F885" s="9" t="s">
        <v>47</v>
      </c>
    </row>
    <row r="886" spans="1:6" x14ac:dyDescent="0.25">
      <c r="A886" s="9" t="s">
        <v>1800</v>
      </c>
      <c r="B886" s="9" t="s">
        <v>12</v>
      </c>
      <c r="C886" s="9" t="s">
        <v>639</v>
      </c>
      <c r="D886" s="9" t="s">
        <v>2590</v>
      </c>
      <c r="E886" s="9" t="s">
        <v>67</v>
      </c>
      <c r="F886" s="9" t="s">
        <v>55</v>
      </c>
    </row>
    <row r="887" spans="1:6" x14ac:dyDescent="0.25">
      <c r="A887" s="9" t="s">
        <v>1802</v>
      </c>
      <c r="B887" s="9" t="s">
        <v>20</v>
      </c>
      <c r="C887" s="9" t="s">
        <v>740</v>
      </c>
      <c r="D887" s="9" t="s">
        <v>2590</v>
      </c>
      <c r="E887" s="9" t="s">
        <v>62</v>
      </c>
      <c r="F887" s="9" t="s">
        <v>53</v>
      </c>
    </row>
    <row r="888" spans="1:6" x14ac:dyDescent="0.25">
      <c r="A888" s="9" t="s">
        <v>1803</v>
      </c>
      <c r="B888" s="9" t="s">
        <v>22</v>
      </c>
      <c r="C888" s="9" t="s">
        <v>128</v>
      </c>
      <c r="D888" s="9" t="s">
        <v>2590</v>
      </c>
      <c r="E888" s="9" t="s">
        <v>64</v>
      </c>
      <c r="F888" s="9" t="s">
        <v>53</v>
      </c>
    </row>
    <row r="889" spans="1:6" x14ac:dyDescent="0.25">
      <c r="A889" s="9" t="s">
        <v>1804</v>
      </c>
      <c r="B889" s="9" t="s">
        <v>24</v>
      </c>
      <c r="C889" s="9" t="s">
        <v>1314</v>
      </c>
      <c r="D889" s="9" t="s">
        <v>2591</v>
      </c>
      <c r="E889" s="9" t="s">
        <v>67</v>
      </c>
      <c r="F889" s="9" t="s">
        <v>55</v>
      </c>
    </row>
    <row r="890" spans="1:6" x14ac:dyDescent="0.25">
      <c r="A890" s="9" t="s">
        <v>1806</v>
      </c>
      <c r="B890" s="9" t="s">
        <v>12</v>
      </c>
      <c r="C890" s="9" t="s">
        <v>262</v>
      </c>
      <c r="D890" s="9" t="s">
        <v>2592</v>
      </c>
      <c r="E890" s="9" t="s">
        <v>64</v>
      </c>
      <c r="F890" s="9" t="s">
        <v>55</v>
      </c>
    </row>
    <row r="891" spans="1:6" x14ac:dyDescent="0.25">
      <c r="A891" s="9" t="s">
        <v>1808</v>
      </c>
      <c r="B891" s="9" t="s">
        <v>22</v>
      </c>
      <c r="C891" s="9" t="s">
        <v>1090</v>
      </c>
      <c r="D891" s="9" t="s">
        <v>2592</v>
      </c>
      <c r="E891" s="9" t="s">
        <v>67</v>
      </c>
      <c r="F891" s="9" t="s">
        <v>43</v>
      </c>
    </row>
    <row r="892" spans="1:6" x14ac:dyDescent="0.25">
      <c r="A892" s="9" t="s">
        <v>1809</v>
      </c>
      <c r="B892" s="9" t="s">
        <v>12</v>
      </c>
      <c r="C892" s="9" t="s">
        <v>114</v>
      </c>
      <c r="D892" s="9" t="s">
        <v>2593</v>
      </c>
      <c r="E892" s="9" t="s">
        <v>65</v>
      </c>
      <c r="F892" s="9" t="s">
        <v>45</v>
      </c>
    </row>
    <row r="893" spans="1:6" x14ac:dyDescent="0.25">
      <c r="A893" s="9" t="s">
        <v>1811</v>
      </c>
      <c r="B893" s="9" t="s">
        <v>14</v>
      </c>
      <c r="C893" s="9" t="s">
        <v>1723</v>
      </c>
      <c r="D893" s="9" t="s">
        <v>2593</v>
      </c>
      <c r="E893" s="9" t="s">
        <v>66</v>
      </c>
      <c r="F893" s="9" t="s">
        <v>49</v>
      </c>
    </row>
    <row r="894" spans="1:6" x14ac:dyDescent="0.25">
      <c r="A894" s="9" t="s">
        <v>1812</v>
      </c>
      <c r="B894" s="9" t="s">
        <v>20</v>
      </c>
      <c r="C894" s="9" t="s">
        <v>82</v>
      </c>
      <c r="D894" s="9" t="s">
        <v>2593</v>
      </c>
      <c r="E894" s="9" t="s">
        <v>64</v>
      </c>
      <c r="F894" s="9" t="s">
        <v>53</v>
      </c>
    </row>
    <row r="895" spans="1:6" x14ac:dyDescent="0.25">
      <c r="A895" s="9" t="s">
        <v>1813</v>
      </c>
      <c r="B895" s="9" t="s">
        <v>20</v>
      </c>
      <c r="C895" s="9" t="s">
        <v>874</v>
      </c>
      <c r="D895" s="9" t="s">
        <v>2594</v>
      </c>
      <c r="E895" s="9" t="s">
        <v>63</v>
      </c>
      <c r="F895" s="9" t="s">
        <v>43</v>
      </c>
    </row>
    <row r="896" spans="1:6" x14ac:dyDescent="0.25">
      <c r="A896" s="9" t="s">
        <v>1815</v>
      </c>
      <c r="B896" s="9" t="s">
        <v>18</v>
      </c>
      <c r="C896" s="9" t="s">
        <v>868</v>
      </c>
      <c r="D896" s="9" t="s">
        <v>2594</v>
      </c>
      <c r="E896" s="9" t="s">
        <v>62</v>
      </c>
      <c r="F896" s="9" t="s">
        <v>49</v>
      </c>
    </row>
    <row r="897" spans="1:6" x14ac:dyDescent="0.25">
      <c r="A897" s="9" t="s">
        <v>1816</v>
      </c>
      <c r="B897" s="9" t="s">
        <v>20</v>
      </c>
      <c r="C897" s="9" t="s">
        <v>315</v>
      </c>
      <c r="D897" s="9" t="s">
        <v>2594</v>
      </c>
      <c r="E897" s="9" t="s">
        <v>65</v>
      </c>
      <c r="F897" s="9" t="s">
        <v>51</v>
      </c>
    </row>
    <row r="898" spans="1:6" x14ac:dyDescent="0.25">
      <c r="A898" s="9" t="s">
        <v>1817</v>
      </c>
      <c r="B898" s="9" t="s">
        <v>12</v>
      </c>
      <c r="C898" s="9" t="s">
        <v>652</v>
      </c>
      <c r="D898" s="9" t="s">
        <v>2595</v>
      </c>
      <c r="E898" s="9" t="s">
        <v>66</v>
      </c>
      <c r="F898" s="9" t="s">
        <v>47</v>
      </c>
    </row>
    <row r="899" spans="1:6" x14ac:dyDescent="0.25">
      <c r="A899" s="9" t="s">
        <v>1819</v>
      </c>
      <c r="B899" s="9" t="s">
        <v>18</v>
      </c>
      <c r="C899" s="9" t="s">
        <v>363</v>
      </c>
      <c r="D899" s="9" t="s">
        <v>2595</v>
      </c>
      <c r="E899" s="9" t="s">
        <v>66</v>
      </c>
      <c r="F899" s="9" t="s">
        <v>53</v>
      </c>
    </row>
    <row r="900" spans="1:6" x14ac:dyDescent="0.25">
      <c r="A900" s="9" t="s">
        <v>1820</v>
      </c>
      <c r="B900" s="9" t="s">
        <v>18</v>
      </c>
      <c r="C900" s="9" t="s">
        <v>177</v>
      </c>
      <c r="D900" s="9" t="s">
        <v>2595</v>
      </c>
      <c r="E900" s="9" t="s">
        <v>64</v>
      </c>
      <c r="F900" s="9" t="s">
        <v>51</v>
      </c>
    </row>
    <row r="901" spans="1:6" x14ac:dyDescent="0.25">
      <c r="A901" s="9" t="s">
        <v>1821</v>
      </c>
      <c r="B901" s="9" t="s">
        <v>16</v>
      </c>
      <c r="C901" s="9" t="s">
        <v>371</v>
      </c>
      <c r="D901" s="9" t="s">
        <v>2596</v>
      </c>
      <c r="E901" s="9" t="s">
        <v>62</v>
      </c>
      <c r="F901" s="9" t="s">
        <v>58</v>
      </c>
    </row>
    <row r="902" spans="1:6" x14ac:dyDescent="0.25">
      <c r="A902" s="9" t="s">
        <v>1823</v>
      </c>
      <c r="B902" s="9" t="s">
        <v>12</v>
      </c>
      <c r="C902" s="9" t="s">
        <v>989</v>
      </c>
      <c r="D902" s="9" t="s">
        <v>2597</v>
      </c>
      <c r="E902" s="9" t="s">
        <v>65</v>
      </c>
      <c r="F902" s="9" t="s">
        <v>58</v>
      </c>
    </row>
    <row r="903" spans="1:6" x14ac:dyDescent="0.25">
      <c r="A903" s="9" t="s">
        <v>1825</v>
      </c>
      <c r="B903" s="9" t="s">
        <v>12</v>
      </c>
      <c r="C903" s="9" t="s">
        <v>315</v>
      </c>
      <c r="D903" s="9" t="s">
        <v>2597</v>
      </c>
      <c r="E903" s="9" t="s">
        <v>62</v>
      </c>
      <c r="F903" s="9" t="s">
        <v>61</v>
      </c>
    </row>
    <row r="904" spans="1:6" x14ac:dyDescent="0.25">
      <c r="A904" s="9" t="s">
        <v>1826</v>
      </c>
      <c r="B904" s="9" t="s">
        <v>18</v>
      </c>
      <c r="C904" s="9" t="s">
        <v>1125</v>
      </c>
      <c r="D904" s="9" t="s">
        <v>2598</v>
      </c>
      <c r="E904" s="9" t="s">
        <v>66</v>
      </c>
      <c r="F904" s="9" t="s">
        <v>53</v>
      </c>
    </row>
    <row r="905" spans="1:6" x14ac:dyDescent="0.25">
      <c r="A905" s="9" t="s">
        <v>1828</v>
      </c>
      <c r="B905" s="9" t="s">
        <v>14</v>
      </c>
      <c r="C905" s="9" t="s">
        <v>222</v>
      </c>
      <c r="D905" s="9" t="s">
        <v>2599</v>
      </c>
      <c r="E905" s="9" t="s">
        <v>63</v>
      </c>
      <c r="F905" s="9" t="s">
        <v>58</v>
      </c>
    </row>
    <row r="906" spans="1:6" x14ac:dyDescent="0.25">
      <c r="A906" s="9" t="s">
        <v>1830</v>
      </c>
      <c r="B906" s="9" t="s">
        <v>14</v>
      </c>
      <c r="C906" s="9" t="s">
        <v>740</v>
      </c>
      <c r="D906" s="9" t="s">
        <v>2600</v>
      </c>
      <c r="E906" s="9" t="s">
        <v>66</v>
      </c>
      <c r="F906" s="9" t="s">
        <v>55</v>
      </c>
    </row>
    <row r="907" spans="1:6" x14ac:dyDescent="0.25">
      <c r="A907" s="9" t="s">
        <v>1832</v>
      </c>
      <c r="B907" s="9" t="s">
        <v>18</v>
      </c>
      <c r="C907" s="9" t="s">
        <v>611</v>
      </c>
      <c r="D907" s="9" t="s">
        <v>2601</v>
      </c>
      <c r="E907" s="9" t="s">
        <v>65</v>
      </c>
      <c r="F907" s="9" t="s">
        <v>45</v>
      </c>
    </row>
    <row r="908" spans="1:6" x14ac:dyDescent="0.25">
      <c r="A908" s="9" t="s">
        <v>1834</v>
      </c>
      <c r="B908" s="9" t="s">
        <v>16</v>
      </c>
      <c r="C908" s="9" t="s">
        <v>378</v>
      </c>
      <c r="D908" s="9" t="s">
        <v>2602</v>
      </c>
      <c r="E908" s="9" t="s">
        <v>64</v>
      </c>
      <c r="F908" s="9" t="s">
        <v>58</v>
      </c>
    </row>
    <row r="909" spans="1:6" x14ac:dyDescent="0.25">
      <c r="A909" s="9" t="s">
        <v>1836</v>
      </c>
      <c r="B909" s="9" t="s">
        <v>16</v>
      </c>
      <c r="C909" s="9" t="s">
        <v>351</v>
      </c>
      <c r="D909" s="9" t="s">
        <v>2602</v>
      </c>
      <c r="E909" s="9" t="s">
        <v>67</v>
      </c>
      <c r="F909" s="9" t="s">
        <v>58</v>
      </c>
    </row>
    <row r="910" spans="1:6" x14ac:dyDescent="0.25">
      <c r="A910" s="9" t="s">
        <v>1837</v>
      </c>
      <c r="B910" s="9" t="s">
        <v>24</v>
      </c>
      <c r="C910" s="9" t="s">
        <v>1601</v>
      </c>
      <c r="D910" s="9" t="s">
        <v>2602</v>
      </c>
      <c r="E910" s="9" t="s">
        <v>64</v>
      </c>
      <c r="F910" s="9" t="s">
        <v>45</v>
      </c>
    </row>
    <row r="911" spans="1:6" x14ac:dyDescent="0.25">
      <c r="A911" s="9" t="s">
        <v>1838</v>
      </c>
      <c r="B911" s="9" t="s">
        <v>16</v>
      </c>
      <c r="C911" s="9" t="s">
        <v>1484</v>
      </c>
      <c r="D911" s="9" t="s">
        <v>2602</v>
      </c>
      <c r="E911" s="9" t="s">
        <v>62</v>
      </c>
      <c r="F911" s="9" t="s">
        <v>45</v>
      </c>
    </row>
    <row r="912" spans="1:6" x14ac:dyDescent="0.25">
      <c r="A912" s="9" t="s">
        <v>1839</v>
      </c>
      <c r="B912" s="9" t="s">
        <v>16</v>
      </c>
      <c r="C912" s="9" t="s">
        <v>754</v>
      </c>
      <c r="D912" s="9" t="s">
        <v>2603</v>
      </c>
      <c r="E912" s="9" t="s">
        <v>63</v>
      </c>
      <c r="F912" s="9" t="s">
        <v>45</v>
      </c>
    </row>
    <row r="913" spans="1:6" x14ac:dyDescent="0.25">
      <c r="A913" s="9" t="s">
        <v>1841</v>
      </c>
      <c r="B913" s="9" t="s">
        <v>20</v>
      </c>
      <c r="C913" s="9" t="s">
        <v>752</v>
      </c>
      <c r="D913" s="9" t="s">
        <v>2604</v>
      </c>
      <c r="E913" s="9" t="s">
        <v>65</v>
      </c>
      <c r="F913" s="9" t="s">
        <v>58</v>
      </c>
    </row>
    <row r="914" spans="1:6" x14ac:dyDescent="0.25">
      <c r="A914" s="9" t="s">
        <v>1843</v>
      </c>
      <c r="B914" s="9" t="s">
        <v>18</v>
      </c>
      <c r="C914" s="9" t="s">
        <v>825</v>
      </c>
      <c r="D914" s="9" t="s">
        <v>2605</v>
      </c>
      <c r="E914" s="9" t="s">
        <v>62</v>
      </c>
      <c r="F914" s="9" t="s">
        <v>47</v>
      </c>
    </row>
    <row r="915" spans="1:6" x14ac:dyDescent="0.25">
      <c r="A915" s="9" t="s">
        <v>1845</v>
      </c>
      <c r="B915" s="9" t="s">
        <v>16</v>
      </c>
      <c r="C915" s="9" t="s">
        <v>600</v>
      </c>
      <c r="D915" s="9" t="s">
        <v>2606</v>
      </c>
      <c r="E915" s="9" t="s">
        <v>64</v>
      </c>
      <c r="F915" s="9" t="s">
        <v>53</v>
      </c>
    </row>
    <row r="916" spans="1:6" x14ac:dyDescent="0.25">
      <c r="A916" s="9" t="s">
        <v>1847</v>
      </c>
      <c r="B916" s="9" t="s">
        <v>14</v>
      </c>
      <c r="C916" s="9" t="s">
        <v>600</v>
      </c>
      <c r="D916" s="9" t="s">
        <v>2607</v>
      </c>
      <c r="E916" s="9" t="s">
        <v>65</v>
      </c>
      <c r="F916" s="9" t="s">
        <v>55</v>
      </c>
    </row>
    <row r="917" spans="1:6" x14ac:dyDescent="0.25">
      <c r="A917" s="9" t="s">
        <v>1849</v>
      </c>
      <c r="B917" s="9" t="s">
        <v>14</v>
      </c>
      <c r="C917" s="9" t="s">
        <v>1027</v>
      </c>
      <c r="D917" s="9" t="s">
        <v>2607</v>
      </c>
      <c r="E917" s="9" t="s">
        <v>66</v>
      </c>
      <c r="F917" s="9" t="s">
        <v>45</v>
      </c>
    </row>
    <row r="918" spans="1:6" x14ac:dyDescent="0.25">
      <c r="A918" s="9" t="s">
        <v>1850</v>
      </c>
      <c r="B918" s="9" t="s">
        <v>24</v>
      </c>
      <c r="C918" s="9" t="s">
        <v>1022</v>
      </c>
      <c r="D918" s="9" t="s">
        <v>2607</v>
      </c>
      <c r="E918" s="9" t="s">
        <v>65</v>
      </c>
      <c r="F918" s="9" t="s">
        <v>53</v>
      </c>
    </row>
    <row r="919" spans="1:6" x14ac:dyDescent="0.25">
      <c r="A919" s="9" t="s">
        <v>1851</v>
      </c>
      <c r="B919" s="9" t="s">
        <v>14</v>
      </c>
      <c r="C919" s="9" t="s">
        <v>1761</v>
      </c>
      <c r="D919" s="9" t="s">
        <v>2608</v>
      </c>
      <c r="E919" s="9" t="s">
        <v>67</v>
      </c>
      <c r="F919" s="9" t="s">
        <v>43</v>
      </c>
    </row>
    <row r="920" spans="1:6" x14ac:dyDescent="0.25">
      <c r="A920" s="9" t="s">
        <v>1853</v>
      </c>
      <c r="B920" s="9" t="s">
        <v>20</v>
      </c>
      <c r="C920" s="9" t="s">
        <v>131</v>
      </c>
      <c r="D920" s="9" t="s">
        <v>2609</v>
      </c>
      <c r="E920" s="9" t="s">
        <v>67</v>
      </c>
      <c r="F920" s="9" t="s">
        <v>53</v>
      </c>
    </row>
    <row r="921" spans="1:6" x14ac:dyDescent="0.25">
      <c r="A921" s="9" t="s">
        <v>1855</v>
      </c>
      <c r="B921" s="9" t="s">
        <v>18</v>
      </c>
      <c r="C921" s="9" t="s">
        <v>1761</v>
      </c>
      <c r="D921" s="9" t="s">
        <v>2610</v>
      </c>
      <c r="E921" s="9" t="s">
        <v>62</v>
      </c>
      <c r="F921" s="9" t="s">
        <v>53</v>
      </c>
    </row>
    <row r="922" spans="1:6" x14ac:dyDescent="0.25">
      <c r="A922" s="9" t="s">
        <v>1857</v>
      </c>
      <c r="B922" s="9" t="s">
        <v>16</v>
      </c>
      <c r="C922" s="9" t="s">
        <v>307</v>
      </c>
      <c r="D922" s="9" t="s">
        <v>2610</v>
      </c>
      <c r="E922" s="9" t="s">
        <v>63</v>
      </c>
      <c r="F922" s="9" t="s">
        <v>45</v>
      </c>
    </row>
    <row r="923" spans="1:6" x14ac:dyDescent="0.25">
      <c r="A923" s="9" t="s">
        <v>1858</v>
      </c>
      <c r="B923" s="9" t="s">
        <v>18</v>
      </c>
      <c r="C923" s="9" t="s">
        <v>979</v>
      </c>
      <c r="D923" s="9" t="s">
        <v>2611</v>
      </c>
      <c r="E923" s="9" t="s">
        <v>66</v>
      </c>
      <c r="F923" s="9" t="s">
        <v>43</v>
      </c>
    </row>
    <row r="924" spans="1:6" x14ac:dyDescent="0.25">
      <c r="A924" s="9" t="s">
        <v>1860</v>
      </c>
      <c r="B924" s="9" t="s">
        <v>22</v>
      </c>
      <c r="C924" s="9" t="s">
        <v>865</v>
      </c>
      <c r="D924" s="9" t="s">
        <v>2612</v>
      </c>
      <c r="E924" s="9" t="s">
        <v>64</v>
      </c>
      <c r="F924" s="9" t="s">
        <v>55</v>
      </c>
    </row>
    <row r="925" spans="1:6" x14ac:dyDescent="0.25">
      <c r="A925" s="9" t="s">
        <v>1862</v>
      </c>
      <c r="B925" s="9" t="s">
        <v>14</v>
      </c>
      <c r="C925" s="9" t="s">
        <v>418</v>
      </c>
      <c r="D925" s="9" t="s">
        <v>2613</v>
      </c>
      <c r="E925" s="9" t="s">
        <v>67</v>
      </c>
      <c r="F925" s="9" t="s">
        <v>53</v>
      </c>
    </row>
    <row r="926" spans="1:6" x14ac:dyDescent="0.25">
      <c r="A926" s="9" t="s">
        <v>1864</v>
      </c>
      <c r="B926" s="9" t="s">
        <v>16</v>
      </c>
      <c r="C926" s="9" t="s">
        <v>131</v>
      </c>
      <c r="D926" s="9" t="s">
        <v>2614</v>
      </c>
      <c r="E926" s="9" t="s">
        <v>63</v>
      </c>
      <c r="F926" s="9" t="s">
        <v>58</v>
      </c>
    </row>
    <row r="927" spans="1:6" x14ac:dyDescent="0.25">
      <c r="A927" s="9" t="s">
        <v>1866</v>
      </c>
      <c r="B927" s="9" t="s">
        <v>20</v>
      </c>
      <c r="C927" s="9" t="s">
        <v>105</v>
      </c>
      <c r="D927" s="9" t="s">
        <v>2614</v>
      </c>
      <c r="E927" s="9" t="s">
        <v>63</v>
      </c>
      <c r="F927" s="9" t="s">
        <v>43</v>
      </c>
    </row>
    <row r="928" spans="1:6" x14ac:dyDescent="0.25">
      <c r="A928" s="9" t="s">
        <v>1867</v>
      </c>
      <c r="B928" s="9" t="s">
        <v>22</v>
      </c>
      <c r="C928" s="9" t="s">
        <v>233</v>
      </c>
      <c r="D928" s="9" t="s">
        <v>2615</v>
      </c>
      <c r="E928" s="9" t="s">
        <v>65</v>
      </c>
      <c r="F928" s="9" t="s">
        <v>58</v>
      </c>
    </row>
    <row r="929" spans="1:6" x14ac:dyDescent="0.25">
      <c r="A929" s="9" t="s">
        <v>1869</v>
      </c>
      <c r="B929" s="9" t="s">
        <v>16</v>
      </c>
      <c r="C929" s="9" t="s">
        <v>1870</v>
      </c>
      <c r="D929" s="9" t="s">
        <v>2616</v>
      </c>
      <c r="E929" s="9" t="s">
        <v>64</v>
      </c>
      <c r="F929" s="9" t="s">
        <v>53</v>
      </c>
    </row>
    <row r="930" spans="1:6" x14ac:dyDescent="0.25">
      <c r="A930" s="9" t="s">
        <v>1872</v>
      </c>
      <c r="B930" s="9" t="s">
        <v>22</v>
      </c>
      <c r="C930" s="9" t="s">
        <v>278</v>
      </c>
      <c r="D930" s="9" t="s">
        <v>2617</v>
      </c>
      <c r="E930" s="9" t="s">
        <v>64</v>
      </c>
      <c r="F930" s="9" t="s">
        <v>43</v>
      </c>
    </row>
    <row r="931" spans="1:6" x14ac:dyDescent="0.25">
      <c r="A931" s="9" t="s">
        <v>1874</v>
      </c>
      <c r="B931" s="9" t="s">
        <v>18</v>
      </c>
      <c r="C931" s="9" t="s">
        <v>338</v>
      </c>
      <c r="D931" s="9" t="s">
        <v>2618</v>
      </c>
      <c r="E931" s="9" t="s">
        <v>66</v>
      </c>
      <c r="F931" s="9" t="s">
        <v>53</v>
      </c>
    </row>
    <row r="932" spans="1:6" x14ac:dyDescent="0.25">
      <c r="A932" s="9" t="s">
        <v>1876</v>
      </c>
      <c r="B932" s="9" t="s">
        <v>14</v>
      </c>
      <c r="C932" s="9" t="s">
        <v>989</v>
      </c>
      <c r="D932" s="9" t="s">
        <v>2619</v>
      </c>
      <c r="E932" s="9" t="s">
        <v>67</v>
      </c>
      <c r="F932" s="9" t="s">
        <v>61</v>
      </c>
    </row>
    <row r="933" spans="1:6" x14ac:dyDescent="0.25">
      <c r="A933" s="9" t="s">
        <v>1878</v>
      </c>
      <c r="B933" s="9" t="s">
        <v>20</v>
      </c>
      <c r="C933" s="9" t="s">
        <v>119</v>
      </c>
      <c r="D933" s="9" t="s">
        <v>2620</v>
      </c>
      <c r="E933" s="9" t="s">
        <v>66</v>
      </c>
      <c r="F933" s="9" t="s">
        <v>45</v>
      </c>
    </row>
    <row r="934" spans="1:6" x14ac:dyDescent="0.25">
      <c r="A934" s="9" t="s">
        <v>1880</v>
      </c>
      <c r="B934" s="9" t="s">
        <v>14</v>
      </c>
      <c r="C934" s="9" t="s">
        <v>228</v>
      </c>
      <c r="D934" s="9" t="s">
        <v>2621</v>
      </c>
      <c r="E934" s="9" t="s">
        <v>64</v>
      </c>
      <c r="F934" s="9" t="s">
        <v>53</v>
      </c>
    </row>
    <row r="935" spans="1:6" x14ac:dyDescent="0.25">
      <c r="A935" s="9" t="s">
        <v>1882</v>
      </c>
      <c r="B935" s="9" t="s">
        <v>24</v>
      </c>
      <c r="C935" s="9" t="s">
        <v>82</v>
      </c>
      <c r="D935" s="9" t="s">
        <v>2622</v>
      </c>
      <c r="E935" s="9" t="s">
        <v>64</v>
      </c>
      <c r="F935" s="9" t="s">
        <v>51</v>
      </c>
    </row>
    <row r="936" spans="1:6" x14ac:dyDescent="0.25">
      <c r="A936" s="9" t="s">
        <v>1884</v>
      </c>
      <c r="B936" s="9" t="s">
        <v>14</v>
      </c>
      <c r="C936" s="9" t="s">
        <v>363</v>
      </c>
      <c r="D936" s="9" t="s">
        <v>2622</v>
      </c>
      <c r="E936" s="9" t="s">
        <v>62</v>
      </c>
      <c r="F936" s="9" t="s">
        <v>49</v>
      </c>
    </row>
    <row r="937" spans="1:6" x14ac:dyDescent="0.25">
      <c r="A937" s="9" t="s">
        <v>1885</v>
      </c>
      <c r="B937" s="9" t="s">
        <v>20</v>
      </c>
      <c r="C937" s="9" t="s">
        <v>307</v>
      </c>
      <c r="D937" s="9" t="s">
        <v>2623</v>
      </c>
      <c r="E937" s="9" t="s">
        <v>64</v>
      </c>
      <c r="F937" s="9" t="s">
        <v>53</v>
      </c>
    </row>
    <row r="938" spans="1:6" x14ac:dyDescent="0.25">
      <c r="A938" s="9" t="s">
        <v>1887</v>
      </c>
      <c r="B938" s="9" t="s">
        <v>20</v>
      </c>
      <c r="C938" s="9" t="s">
        <v>165</v>
      </c>
      <c r="D938" s="9" t="s">
        <v>2623</v>
      </c>
      <c r="E938" s="9" t="s">
        <v>65</v>
      </c>
      <c r="F938" s="9" t="s">
        <v>53</v>
      </c>
    </row>
    <row r="939" spans="1:6" x14ac:dyDescent="0.25">
      <c r="A939" s="9" t="s">
        <v>1888</v>
      </c>
      <c r="B939" s="9" t="s">
        <v>24</v>
      </c>
      <c r="C939" s="9" t="s">
        <v>594</v>
      </c>
      <c r="D939" s="9" t="s">
        <v>2623</v>
      </c>
      <c r="E939" s="9" t="s">
        <v>66</v>
      </c>
      <c r="F939" s="9" t="s">
        <v>51</v>
      </c>
    </row>
    <row r="940" spans="1:6" x14ac:dyDescent="0.25">
      <c r="A940" s="9" t="s">
        <v>1889</v>
      </c>
      <c r="B940" s="9" t="s">
        <v>16</v>
      </c>
      <c r="C940" s="9" t="s">
        <v>267</v>
      </c>
      <c r="D940" s="9" t="s">
        <v>2624</v>
      </c>
      <c r="E940" s="9" t="s">
        <v>63</v>
      </c>
      <c r="F940" s="9" t="s">
        <v>45</v>
      </c>
    </row>
    <row r="941" spans="1:6" x14ac:dyDescent="0.25">
      <c r="A941" s="9" t="s">
        <v>1891</v>
      </c>
      <c r="B941" s="9" t="s">
        <v>12</v>
      </c>
      <c r="C941" s="9" t="s">
        <v>354</v>
      </c>
      <c r="D941" s="9" t="s">
        <v>2625</v>
      </c>
      <c r="E941" s="9" t="s">
        <v>62</v>
      </c>
      <c r="F941" s="9" t="s">
        <v>55</v>
      </c>
    </row>
    <row r="942" spans="1:6" x14ac:dyDescent="0.25">
      <c r="A942" s="9" t="s">
        <v>1893</v>
      </c>
      <c r="B942" s="9" t="s">
        <v>24</v>
      </c>
      <c r="C942" s="9" t="s">
        <v>413</v>
      </c>
      <c r="D942" s="9" t="s">
        <v>2626</v>
      </c>
      <c r="E942" s="9" t="s">
        <v>62</v>
      </c>
      <c r="F942" s="9" t="s">
        <v>43</v>
      </c>
    </row>
    <row r="943" spans="1:6" x14ac:dyDescent="0.25">
      <c r="A943" s="9" t="s">
        <v>1895</v>
      </c>
      <c r="B943" s="9" t="s">
        <v>16</v>
      </c>
      <c r="C943" s="9" t="s">
        <v>481</v>
      </c>
      <c r="D943" s="9" t="s">
        <v>2626</v>
      </c>
      <c r="E943" s="9" t="s">
        <v>63</v>
      </c>
      <c r="F943" s="9" t="s">
        <v>45</v>
      </c>
    </row>
    <row r="944" spans="1:6" x14ac:dyDescent="0.25">
      <c r="A944" s="9" t="s">
        <v>1896</v>
      </c>
      <c r="B944" s="9" t="s">
        <v>18</v>
      </c>
      <c r="C944" s="9" t="s">
        <v>1661</v>
      </c>
      <c r="D944" s="9" t="s">
        <v>2627</v>
      </c>
      <c r="E944" s="9" t="s">
        <v>65</v>
      </c>
      <c r="F944" s="9" t="s">
        <v>53</v>
      </c>
    </row>
    <row r="945" spans="1:6" x14ac:dyDescent="0.25">
      <c r="A945" s="9" t="s">
        <v>1898</v>
      </c>
      <c r="B945" s="9" t="s">
        <v>24</v>
      </c>
      <c r="C945" s="9" t="s">
        <v>77</v>
      </c>
      <c r="D945" s="9" t="s">
        <v>2627</v>
      </c>
      <c r="E945" s="9" t="s">
        <v>63</v>
      </c>
      <c r="F945" s="9" t="s">
        <v>61</v>
      </c>
    </row>
    <row r="946" spans="1:6" x14ac:dyDescent="0.25">
      <c r="A946" s="9" t="s">
        <v>1899</v>
      </c>
      <c r="B946" s="9" t="s">
        <v>18</v>
      </c>
      <c r="C946" s="9" t="s">
        <v>236</v>
      </c>
      <c r="D946" s="9" t="s">
        <v>2627</v>
      </c>
      <c r="E946" s="9" t="s">
        <v>63</v>
      </c>
      <c r="F946" s="9" t="s">
        <v>53</v>
      </c>
    </row>
    <row r="947" spans="1:6" x14ac:dyDescent="0.25">
      <c r="A947" s="9" t="s">
        <v>1900</v>
      </c>
      <c r="B947" s="9" t="s">
        <v>22</v>
      </c>
      <c r="C947" s="9" t="s">
        <v>896</v>
      </c>
      <c r="D947" s="9" t="s">
        <v>2628</v>
      </c>
      <c r="E947" s="9" t="s">
        <v>65</v>
      </c>
      <c r="F947" s="9" t="s">
        <v>43</v>
      </c>
    </row>
    <row r="948" spans="1:6" x14ac:dyDescent="0.25">
      <c r="A948" s="9" t="s">
        <v>1902</v>
      </c>
      <c r="B948" s="9" t="s">
        <v>12</v>
      </c>
      <c r="C948" s="9" t="s">
        <v>545</v>
      </c>
      <c r="D948" s="9" t="s">
        <v>2629</v>
      </c>
      <c r="E948" s="9" t="s">
        <v>66</v>
      </c>
      <c r="F948" s="9" t="s">
        <v>45</v>
      </c>
    </row>
    <row r="949" spans="1:6" x14ac:dyDescent="0.25">
      <c r="A949" s="9" t="s">
        <v>1904</v>
      </c>
      <c r="B949" s="9" t="s">
        <v>12</v>
      </c>
      <c r="C949" s="9" t="s">
        <v>188</v>
      </c>
      <c r="D949" s="9" t="s">
        <v>2630</v>
      </c>
      <c r="E949" s="9" t="s">
        <v>62</v>
      </c>
      <c r="F949" s="9" t="s">
        <v>49</v>
      </c>
    </row>
    <row r="950" spans="1:6" x14ac:dyDescent="0.25">
      <c r="A950" s="9" t="s">
        <v>1906</v>
      </c>
      <c r="B950" s="9" t="s">
        <v>18</v>
      </c>
      <c r="C950" s="9" t="s">
        <v>73</v>
      </c>
      <c r="D950" s="9" t="s">
        <v>2631</v>
      </c>
      <c r="E950" s="9" t="s">
        <v>66</v>
      </c>
      <c r="F950" s="9" t="s">
        <v>61</v>
      </c>
    </row>
    <row r="951" spans="1:6" x14ac:dyDescent="0.25">
      <c r="A951" s="9" t="s">
        <v>1908</v>
      </c>
      <c r="B951" s="9" t="s">
        <v>24</v>
      </c>
      <c r="C951" s="9" t="s">
        <v>501</v>
      </c>
      <c r="D951" s="9" t="s">
        <v>2632</v>
      </c>
      <c r="E951" s="9" t="s">
        <v>66</v>
      </c>
      <c r="F951" s="9" t="s">
        <v>61</v>
      </c>
    </row>
    <row r="952" spans="1:6" x14ac:dyDescent="0.25">
      <c r="A952" s="9" t="s">
        <v>1910</v>
      </c>
      <c r="B952" s="9" t="s">
        <v>14</v>
      </c>
      <c r="C952" s="9" t="s">
        <v>75</v>
      </c>
      <c r="D952" s="9" t="s">
        <v>2633</v>
      </c>
      <c r="E952" s="9" t="s">
        <v>65</v>
      </c>
      <c r="F952" s="9" t="s">
        <v>49</v>
      </c>
    </row>
    <row r="953" spans="1:6" x14ac:dyDescent="0.25">
      <c r="A953" s="9" t="s">
        <v>1912</v>
      </c>
      <c r="B953" s="9" t="s">
        <v>12</v>
      </c>
      <c r="C953" s="9" t="s">
        <v>961</v>
      </c>
      <c r="D953" s="9" t="s">
        <v>2634</v>
      </c>
      <c r="E953" s="9" t="s">
        <v>63</v>
      </c>
      <c r="F953" s="9" t="s">
        <v>43</v>
      </c>
    </row>
    <row r="954" spans="1:6" x14ac:dyDescent="0.25">
      <c r="A954" s="9" t="s">
        <v>1914</v>
      </c>
      <c r="B954" s="9" t="s">
        <v>20</v>
      </c>
      <c r="C954" s="9" t="s">
        <v>628</v>
      </c>
      <c r="D954" s="9" t="s">
        <v>2635</v>
      </c>
      <c r="E954" s="9" t="s">
        <v>62</v>
      </c>
      <c r="F954" s="9" t="s">
        <v>45</v>
      </c>
    </row>
    <row r="955" spans="1:6" x14ac:dyDescent="0.25">
      <c r="A955" s="9" t="s">
        <v>1916</v>
      </c>
      <c r="B955" s="9" t="s">
        <v>18</v>
      </c>
      <c r="C955" s="9" t="s">
        <v>252</v>
      </c>
      <c r="D955" s="9" t="s">
        <v>2636</v>
      </c>
      <c r="E955" s="9" t="s">
        <v>65</v>
      </c>
      <c r="F955" s="9" t="s">
        <v>55</v>
      </c>
    </row>
    <row r="956" spans="1:6" x14ac:dyDescent="0.25">
      <c r="A956" s="9" t="s">
        <v>1918</v>
      </c>
      <c r="B956" s="9" t="s">
        <v>24</v>
      </c>
      <c r="C956" s="9" t="s">
        <v>378</v>
      </c>
      <c r="D956" s="9" t="s">
        <v>2637</v>
      </c>
      <c r="E956" s="9" t="s">
        <v>65</v>
      </c>
      <c r="F956" s="9" t="s">
        <v>55</v>
      </c>
    </row>
    <row r="957" spans="1:6" x14ac:dyDescent="0.25">
      <c r="A957" s="9" t="s">
        <v>1920</v>
      </c>
      <c r="B957" s="9" t="s">
        <v>24</v>
      </c>
      <c r="C957" s="9" t="s">
        <v>343</v>
      </c>
      <c r="D957" s="9" t="s">
        <v>2638</v>
      </c>
      <c r="E957" s="9" t="s">
        <v>65</v>
      </c>
      <c r="F957" s="9" t="s">
        <v>47</v>
      </c>
    </row>
    <row r="958" spans="1:6" x14ac:dyDescent="0.25">
      <c r="A958" s="9" t="s">
        <v>1922</v>
      </c>
      <c r="B958" s="9" t="s">
        <v>12</v>
      </c>
      <c r="C958" s="9" t="s">
        <v>126</v>
      </c>
      <c r="D958" s="9" t="s">
        <v>2638</v>
      </c>
      <c r="E958" s="9" t="s">
        <v>64</v>
      </c>
      <c r="F958" s="9" t="s">
        <v>49</v>
      </c>
    </row>
    <row r="959" spans="1:6" x14ac:dyDescent="0.25">
      <c r="A959" s="9" t="s">
        <v>1923</v>
      </c>
      <c r="B959" s="9" t="s">
        <v>16</v>
      </c>
      <c r="C959" s="9" t="s">
        <v>1567</v>
      </c>
      <c r="D959" s="9" t="s">
        <v>2638</v>
      </c>
      <c r="E959" s="9" t="s">
        <v>64</v>
      </c>
      <c r="F959" s="9" t="s">
        <v>61</v>
      </c>
    </row>
    <row r="960" spans="1:6" x14ac:dyDescent="0.25">
      <c r="A960" s="9" t="s">
        <v>1924</v>
      </c>
      <c r="B960" s="9" t="s">
        <v>14</v>
      </c>
      <c r="C960" s="9" t="s">
        <v>354</v>
      </c>
      <c r="D960" s="9" t="s">
        <v>2639</v>
      </c>
      <c r="E960" s="9" t="s">
        <v>67</v>
      </c>
      <c r="F960" s="9" t="s">
        <v>49</v>
      </c>
    </row>
    <row r="961" spans="1:6" x14ac:dyDescent="0.25">
      <c r="A961" s="9" t="s">
        <v>1926</v>
      </c>
      <c r="B961" s="9" t="s">
        <v>24</v>
      </c>
      <c r="C961" s="9" t="s">
        <v>792</v>
      </c>
      <c r="D961" s="9" t="s">
        <v>2640</v>
      </c>
      <c r="E961" s="9" t="s">
        <v>65</v>
      </c>
      <c r="F961" s="9" t="s">
        <v>45</v>
      </c>
    </row>
    <row r="962" spans="1:6" x14ac:dyDescent="0.25">
      <c r="A962" s="9" t="s">
        <v>1928</v>
      </c>
      <c r="B962" s="9" t="s">
        <v>20</v>
      </c>
      <c r="C962" s="9" t="s">
        <v>346</v>
      </c>
      <c r="D962" s="9" t="s">
        <v>2641</v>
      </c>
      <c r="E962" s="9" t="s">
        <v>63</v>
      </c>
      <c r="F962" s="9" t="s">
        <v>49</v>
      </c>
    </row>
    <row r="963" spans="1:6" x14ac:dyDescent="0.25">
      <c r="A963" s="9" t="s">
        <v>1930</v>
      </c>
      <c r="B963" s="9" t="s">
        <v>12</v>
      </c>
      <c r="C963" s="9" t="s">
        <v>1048</v>
      </c>
      <c r="D963" s="9" t="s">
        <v>2642</v>
      </c>
      <c r="E963" s="9" t="s">
        <v>66</v>
      </c>
      <c r="F963" s="9" t="s">
        <v>53</v>
      </c>
    </row>
    <row r="964" spans="1:6" x14ac:dyDescent="0.25">
      <c r="A964" s="9" t="s">
        <v>1932</v>
      </c>
      <c r="B964" s="9" t="s">
        <v>12</v>
      </c>
      <c r="C964" s="9" t="s">
        <v>624</v>
      </c>
      <c r="D964" s="9" t="s">
        <v>2642</v>
      </c>
      <c r="E964" s="9" t="s">
        <v>63</v>
      </c>
      <c r="F964" s="9" t="s">
        <v>49</v>
      </c>
    </row>
    <row r="965" spans="1:6" x14ac:dyDescent="0.25">
      <c r="A965" s="9" t="s">
        <v>1933</v>
      </c>
      <c r="B965" s="9" t="s">
        <v>12</v>
      </c>
      <c r="C965" s="9" t="s">
        <v>697</v>
      </c>
      <c r="D965" s="9" t="s">
        <v>2643</v>
      </c>
      <c r="E965" s="9" t="s">
        <v>65</v>
      </c>
      <c r="F965" s="9" t="s">
        <v>53</v>
      </c>
    </row>
    <row r="966" spans="1:6" x14ac:dyDescent="0.25">
      <c r="A966" s="9" t="s">
        <v>1935</v>
      </c>
      <c r="B966" s="9" t="s">
        <v>14</v>
      </c>
      <c r="C966" s="9" t="s">
        <v>147</v>
      </c>
      <c r="D966" s="9" t="s">
        <v>2643</v>
      </c>
      <c r="E966" s="9" t="s">
        <v>66</v>
      </c>
      <c r="F966" s="9" t="s">
        <v>61</v>
      </c>
    </row>
    <row r="967" spans="1:6" x14ac:dyDescent="0.25">
      <c r="A967" s="9" t="s">
        <v>1936</v>
      </c>
      <c r="B967" s="9" t="s">
        <v>20</v>
      </c>
      <c r="C967" s="9" t="s">
        <v>649</v>
      </c>
      <c r="D967" s="9" t="s">
        <v>2644</v>
      </c>
      <c r="E967" s="9" t="s">
        <v>62</v>
      </c>
      <c r="F967" s="9" t="s">
        <v>55</v>
      </c>
    </row>
    <row r="968" spans="1:6" x14ac:dyDescent="0.25">
      <c r="A968" s="9" t="s">
        <v>1938</v>
      </c>
      <c r="B968" s="9" t="s">
        <v>22</v>
      </c>
      <c r="C968" s="9" t="s">
        <v>670</v>
      </c>
      <c r="D968" s="9" t="s">
        <v>2645</v>
      </c>
      <c r="E968" s="9" t="s">
        <v>67</v>
      </c>
      <c r="F968" s="9" t="s">
        <v>45</v>
      </c>
    </row>
    <row r="969" spans="1:6" x14ac:dyDescent="0.25">
      <c r="A969" s="9" t="s">
        <v>1940</v>
      </c>
      <c r="B969" s="9" t="s">
        <v>18</v>
      </c>
      <c r="C969" s="9" t="s">
        <v>683</v>
      </c>
      <c r="D969" s="9" t="s">
        <v>2645</v>
      </c>
      <c r="E969" s="9" t="s">
        <v>66</v>
      </c>
      <c r="F969" s="9" t="s">
        <v>61</v>
      </c>
    </row>
    <row r="970" spans="1:6" x14ac:dyDescent="0.25">
      <c r="A970" s="9" t="s">
        <v>1941</v>
      </c>
      <c r="B970" s="9" t="s">
        <v>12</v>
      </c>
      <c r="C970" s="9" t="s">
        <v>385</v>
      </c>
      <c r="D970" s="9" t="s">
        <v>2645</v>
      </c>
      <c r="E970" s="9" t="s">
        <v>63</v>
      </c>
      <c r="F970" s="9" t="s">
        <v>51</v>
      </c>
    </row>
    <row r="971" spans="1:6" x14ac:dyDescent="0.25">
      <c r="A971" s="9" t="s">
        <v>1942</v>
      </c>
      <c r="B971" s="9" t="s">
        <v>22</v>
      </c>
      <c r="C971" s="9" t="s">
        <v>772</v>
      </c>
      <c r="D971" s="9" t="s">
        <v>2646</v>
      </c>
      <c r="E971" s="9" t="s">
        <v>67</v>
      </c>
      <c r="F971" s="9" t="s">
        <v>49</v>
      </c>
    </row>
    <row r="972" spans="1:6" x14ac:dyDescent="0.25">
      <c r="A972" s="9" t="s">
        <v>1944</v>
      </c>
      <c r="B972" s="9" t="s">
        <v>12</v>
      </c>
      <c r="C972" s="9" t="s">
        <v>242</v>
      </c>
      <c r="D972" s="9" t="s">
        <v>2647</v>
      </c>
      <c r="E972" s="9" t="s">
        <v>63</v>
      </c>
      <c r="F972" s="9" t="s">
        <v>55</v>
      </c>
    </row>
    <row r="973" spans="1:6" x14ac:dyDescent="0.25">
      <c r="A973" s="9" t="s">
        <v>1946</v>
      </c>
      <c r="B973" s="9" t="s">
        <v>18</v>
      </c>
      <c r="C973" s="9" t="s">
        <v>703</v>
      </c>
      <c r="D973" s="9" t="s">
        <v>2648</v>
      </c>
      <c r="E973" s="9" t="s">
        <v>62</v>
      </c>
      <c r="F973" s="9" t="s">
        <v>45</v>
      </c>
    </row>
    <row r="974" spans="1:6" x14ac:dyDescent="0.25">
      <c r="A974" s="9" t="s">
        <v>1948</v>
      </c>
      <c r="B974" s="9" t="s">
        <v>12</v>
      </c>
      <c r="C974" s="9" t="s">
        <v>835</v>
      </c>
      <c r="D974" s="9" t="s">
        <v>2649</v>
      </c>
      <c r="E974" s="9" t="s">
        <v>63</v>
      </c>
      <c r="F974" s="9" t="s">
        <v>51</v>
      </c>
    </row>
    <row r="975" spans="1:6" x14ac:dyDescent="0.25">
      <c r="A975" s="9" t="s">
        <v>1950</v>
      </c>
      <c r="B975" s="9" t="s">
        <v>18</v>
      </c>
      <c r="C975" s="9" t="s">
        <v>783</v>
      </c>
      <c r="D975" s="9" t="s">
        <v>2650</v>
      </c>
      <c r="E975" s="9" t="s">
        <v>62</v>
      </c>
      <c r="F975" s="9" t="s">
        <v>45</v>
      </c>
    </row>
    <row r="976" spans="1:6" x14ac:dyDescent="0.25">
      <c r="A976" s="9" t="s">
        <v>1952</v>
      </c>
      <c r="B976" s="9" t="s">
        <v>22</v>
      </c>
      <c r="C976" s="9" t="s">
        <v>515</v>
      </c>
      <c r="D976" s="9" t="s">
        <v>2651</v>
      </c>
      <c r="E976" s="9" t="s">
        <v>67</v>
      </c>
      <c r="F976" s="9" t="s">
        <v>43</v>
      </c>
    </row>
    <row r="977" spans="1:6" x14ac:dyDescent="0.25">
      <c r="A977" s="9" t="s">
        <v>1954</v>
      </c>
      <c r="B977" s="9" t="s">
        <v>18</v>
      </c>
      <c r="C977" s="9" t="s">
        <v>160</v>
      </c>
      <c r="D977" s="9" t="s">
        <v>2652</v>
      </c>
      <c r="E977" s="9" t="s">
        <v>62</v>
      </c>
      <c r="F977" s="9" t="s">
        <v>47</v>
      </c>
    </row>
    <row r="978" spans="1:6" x14ac:dyDescent="0.25">
      <c r="A978" s="9" t="s">
        <v>1956</v>
      </c>
      <c r="B978" s="9" t="s">
        <v>18</v>
      </c>
      <c r="C978" s="9" t="s">
        <v>789</v>
      </c>
      <c r="D978" s="9" t="s">
        <v>2652</v>
      </c>
      <c r="E978" s="9" t="s">
        <v>67</v>
      </c>
      <c r="F978" s="9" t="s">
        <v>43</v>
      </c>
    </row>
    <row r="979" spans="1:6" x14ac:dyDescent="0.25">
      <c r="A979" s="9" t="s">
        <v>1957</v>
      </c>
      <c r="B979" s="9" t="s">
        <v>16</v>
      </c>
      <c r="C979" s="9" t="s">
        <v>1183</v>
      </c>
      <c r="D979" s="9" t="s">
        <v>2653</v>
      </c>
      <c r="E979" s="9" t="s">
        <v>67</v>
      </c>
      <c r="F979" s="9" t="s">
        <v>58</v>
      </c>
    </row>
    <row r="980" spans="1:6" x14ac:dyDescent="0.25">
      <c r="A980" s="9" t="s">
        <v>1959</v>
      </c>
      <c r="B980" s="9" t="s">
        <v>20</v>
      </c>
      <c r="C980" s="9" t="s">
        <v>262</v>
      </c>
      <c r="D980" s="9" t="s">
        <v>2653</v>
      </c>
      <c r="E980" s="9" t="s">
        <v>63</v>
      </c>
      <c r="F980" s="9" t="s">
        <v>51</v>
      </c>
    </row>
    <row r="981" spans="1:6" x14ac:dyDescent="0.25">
      <c r="A981" s="9" t="s">
        <v>1960</v>
      </c>
      <c r="B981" s="9" t="s">
        <v>16</v>
      </c>
      <c r="C981" s="9" t="s">
        <v>835</v>
      </c>
      <c r="D981" s="9" t="s">
        <v>2654</v>
      </c>
      <c r="E981" s="9" t="s">
        <v>65</v>
      </c>
      <c r="F981" s="9" t="s">
        <v>58</v>
      </c>
    </row>
    <row r="982" spans="1:6" x14ac:dyDescent="0.25">
      <c r="A982" s="9" t="s">
        <v>1962</v>
      </c>
      <c r="B982" s="9" t="s">
        <v>16</v>
      </c>
      <c r="C982" s="9" t="s">
        <v>354</v>
      </c>
      <c r="D982" s="9" t="s">
        <v>2655</v>
      </c>
      <c r="E982" s="9" t="s">
        <v>64</v>
      </c>
      <c r="F982" s="9" t="s">
        <v>47</v>
      </c>
    </row>
    <row r="983" spans="1:6" x14ac:dyDescent="0.25">
      <c r="A983" s="9" t="s">
        <v>1964</v>
      </c>
      <c r="B983" s="9" t="s">
        <v>18</v>
      </c>
      <c r="C983" s="9" t="s">
        <v>530</v>
      </c>
      <c r="D983" s="9" t="s">
        <v>2656</v>
      </c>
      <c r="E983" s="9" t="s">
        <v>62</v>
      </c>
      <c r="F983" s="9" t="s">
        <v>53</v>
      </c>
    </row>
    <row r="984" spans="1:6" x14ac:dyDescent="0.25">
      <c r="A984" s="9" t="s">
        <v>1966</v>
      </c>
      <c r="B984" s="9" t="s">
        <v>14</v>
      </c>
      <c r="C984" s="9" t="s">
        <v>324</v>
      </c>
      <c r="D984" s="9" t="s">
        <v>2657</v>
      </c>
      <c r="E984" s="9" t="s">
        <v>67</v>
      </c>
      <c r="F984" s="9" t="s">
        <v>49</v>
      </c>
    </row>
    <row r="985" spans="1:6" x14ac:dyDescent="0.25">
      <c r="A985" s="9" t="s">
        <v>1968</v>
      </c>
      <c r="B985" s="9" t="s">
        <v>14</v>
      </c>
      <c r="C985" s="9" t="s">
        <v>453</v>
      </c>
      <c r="D985" s="9" t="s">
        <v>2658</v>
      </c>
      <c r="E985" s="9" t="s">
        <v>62</v>
      </c>
      <c r="F985" s="9" t="s">
        <v>49</v>
      </c>
    </row>
    <row r="986" spans="1:6" x14ac:dyDescent="0.25">
      <c r="A986" s="9" t="s">
        <v>1970</v>
      </c>
      <c r="B986" s="9" t="s">
        <v>14</v>
      </c>
      <c r="C986" s="9" t="s">
        <v>1322</v>
      </c>
      <c r="D986" s="9" t="s">
        <v>2658</v>
      </c>
      <c r="E986" s="9" t="s">
        <v>65</v>
      </c>
      <c r="F986" s="9" t="s">
        <v>45</v>
      </c>
    </row>
    <row r="987" spans="1:6" x14ac:dyDescent="0.25">
      <c r="A987" s="9" t="s">
        <v>1971</v>
      </c>
      <c r="B987" s="9" t="s">
        <v>22</v>
      </c>
      <c r="C987" s="9" t="s">
        <v>257</v>
      </c>
      <c r="D987" s="9" t="s">
        <v>2659</v>
      </c>
      <c r="E987" s="9" t="s">
        <v>65</v>
      </c>
      <c r="F987" s="9" t="s">
        <v>43</v>
      </c>
    </row>
    <row r="988" spans="1:6" x14ac:dyDescent="0.25">
      <c r="A988" s="9" t="s">
        <v>1973</v>
      </c>
      <c r="B988" s="9" t="s">
        <v>14</v>
      </c>
      <c r="C988" s="9" t="s">
        <v>109</v>
      </c>
      <c r="D988" s="9" t="s">
        <v>2660</v>
      </c>
      <c r="E988" s="9" t="s">
        <v>65</v>
      </c>
      <c r="F988" s="9" t="s">
        <v>58</v>
      </c>
    </row>
    <row r="989" spans="1:6" x14ac:dyDescent="0.25">
      <c r="A989" s="9" t="s">
        <v>1975</v>
      </c>
      <c r="B989" s="9" t="s">
        <v>18</v>
      </c>
      <c r="C989" s="9" t="s">
        <v>786</v>
      </c>
      <c r="D989" s="9" t="s">
        <v>2660</v>
      </c>
      <c r="E989" s="9" t="s">
        <v>66</v>
      </c>
      <c r="F989" s="9" t="s">
        <v>55</v>
      </c>
    </row>
    <row r="990" spans="1:6" x14ac:dyDescent="0.25">
      <c r="A990" s="9" t="s">
        <v>1976</v>
      </c>
      <c r="B990" s="9" t="s">
        <v>24</v>
      </c>
      <c r="C990" s="9" t="s">
        <v>639</v>
      </c>
      <c r="D990" s="9" t="s">
        <v>2661</v>
      </c>
      <c r="E990" s="9" t="s">
        <v>62</v>
      </c>
      <c r="F990" s="9" t="s">
        <v>58</v>
      </c>
    </row>
    <row r="991" spans="1:6" x14ac:dyDescent="0.25">
      <c r="A991" s="9" t="s">
        <v>1978</v>
      </c>
      <c r="B991" s="9" t="s">
        <v>12</v>
      </c>
      <c r="C991" s="9" t="s">
        <v>1073</v>
      </c>
      <c r="D991" s="9" t="s">
        <v>2661</v>
      </c>
      <c r="E991" s="9" t="s">
        <v>64</v>
      </c>
      <c r="F991" s="9" t="s">
        <v>47</v>
      </c>
    </row>
    <row r="992" spans="1:6" x14ac:dyDescent="0.25">
      <c r="A992" s="9" t="s">
        <v>1979</v>
      </c>
      <c r="B992" s="9" t="s">
        <v>14</v>
      </c>
      <c r="C992" s="9" t="s">
        <v>249</v>
      </c>
      <c r="D992" s="9" t="s">
        <v>2662</v>
      </c>
      <c r="E992" s="9" t="s">
        <v>66</v>
      </c>
      <c r="F992" s="9" t="s">
        <v>51</v>
      </c>
    </row>
    <row r="993" spans="1:6" x14ac:dyDescent="0.25">
      <c r="A993" s="9" t="s">
        <v>1981</v>
      </c>
      <c r="B993" s="9" t="s">
        <v>20</v>
      </c>
      <c r="C993" s="9" t="s">
        <v>652</v>
      </c>
      <c r="D993" s="9" t="s">
        <v>2663</v>
      </c>
      <c r="E993" s="9" t="s">
        <v>67</v>
      </c>
      <c r="F993" s="9" t="s">
        <v>61</v>
      </c>
    </row>
    <row r="994" spans="1:6" x14ac:dyDescent="0.25">
      <c r="A994" s="9" t="s">
        <v>1983</v>
      </c>
      <c r="B994" s="9" t="s">
        <v>12</v>
      </c>
      <c r="C994" s="9" t="s">
        <v>736</v>
      </c>
      <c r="D994" s="9" t="s">
        <v>2664</v>
      </c>
      <c r="E994" s="9" t="s">
        <v>64</v>
      </c>
      <c r="F994" s="9" t="s">
        <v>49</v>
      </c>
    </row>
    <row r="995" spans="1:6" x14ac:dyDescent="0.25">
      <c r="A995" s="9" t="s">
        <v>1985</v>
      </c>
      <c r="B995" s="9" t="s">
        <v>22</v>
      </c>
      <c r="C995" s="9" t="s">
        <v>236</v>
      </c>
      <c r="D995" s="9" t="s">
        <v>2665</v>
      </c>
      <c r="E995" s="9" t="s">
        <v>63</v>
      </c>
      <c r="F995" s="9" t="s">
        <v>53</v>
      </c>
    </row>
    <row r="996" spans="1:6" x14ac:dyDescent="0.25">
      <c r="A996" s="9" t="s">
        <v>1987</v>
      </c>
      <c r="B996" s="9" t="s">
        <v>18</v>
      </c>
      <c r="C996" s="9" t="s">
        <v>249</v>
      </c>
      <c r="D996" s="9" t="s">
        <v>2666</v>
      </c>
      <c r="E996" s="9" t="s">
        <v>62</v>
      </c>
      <c r="F996" s="9" t="s">
        <v>51</v>
      </c>
    </row>
    <row r="997" spans="1:6" x14ac:dyDescent="0.25">
      <c r="A997" s="9" t="s">
        <v>1989</v>
      </c>
      <c r="B997" s="9" t="s">
        <v>16</v>
      </c>
      <c r="C997" s="9" t="s">
        <v>343</v>
      </c>
      <c r="D997" s="9" t="s">
        <v>2667</v>
      </c>
      <c r="E997" s="9" t="s">
        <v>64</v>
      </c>
      <c r="F997" s="9" t="s">
        <v>58</v>
      </c>
    </row>
    <row r="998" spans="1:6" x14ac:dyDescent="0.25">
      <c r="A998" s="9" t="s">
        <v>1991</v>
      </c>
      <c r="B998" s="9" t="s">
        <v>24</v>
      </c>
      <c r="C998" s="9" t="s">
        <v>600</v>
      </c>
      <c r="D998" s="9" t="s">
        <v>2668</v>
      </c>
      <c r="E998" s="9" t="s">
        <v>65</v>
      </c>
      <c r="F998" s="9" t="s">
        <v>53</v>
      </c>
    </row>
    <row r="999" spans="1:6" x14ac:dyDescent="0.25">
      <c r="A999" s="9" t="s">
        <v>1993</v>
      </c>
      <c r="B999" s="9" t="s">
        <v>20</v>
      </c>
      <c r="C999" s="9" t="s">
        <v>964</v>
      </c>
      <c r="D999" s="9" t="s">
        <v>2669</v>
      </c>
      <c r="E999" s="9" t="s">
        <v>64</v>
      </c>
      <c r="F999" s="9" t="s">
        <v>43</v>
      </c>
    </row>
    <row r="1000" spans="1:6" x14ac:dyDescent="0.25">
      <c r="A1000" s="9" t="s">
        <v>1995</v>
      </c>
      <c r="B1000" s="9" t="s">
        <v>12</v>
      </c>
      <c r="C1000" s="9" t="s">
        <v>93</v>
      </c>
      <c r="D1000" s="9" t="s">
        <v>2670</v>
      </c>
      <c r="E1000" s="9" t="s">
        <v>65</v>
      </c>
      <c r="F1000" s="9" t="s">
        <v>51</v>
      </c>
    </row>
    <row r="1001" spans="1:6" x14ac:dyDescent="0.25">
      <c r="A1001" s="9" t="s">
        <v>1997</v>
      </c>
      <c r="B1001" s="9" t="s">
        <v>24</v>
      </c>
      <c r="C1001" s="9" t="s">
        <v>727</v>
      </c>
      <c r="D1001" s="9" t="s">
        <v>2671</v>
      </c>
      <c r="E1001" s="9" t="s">
        <v>66</v>
      </c>
      <c r="F1001" s="9" t="s">
        <v>53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118D3B-3FE1-4F08-9382-2FE68977D0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首頁與導覽</vt:lpstr>
      <vt:lpstr>產品銷售驗證</vt:lpstr>
      <vt:lpstr>核心客戶貢獻度</vt:lpstr>
      <vt:lpstr>2019年度營收指標趨勢</vt:lpstr>
      <vt:lpstr>員工績效考核</vt:lpstr>
      <vt:lpstr>客戶消費行為與趨勢追蹤</vt:lpstr>
      <vt:lpstr>Clients</vt:lpstr>
      <vt:lpstr>Employees</vt:lpstr>
      <vt:lpstr>Products</vt:lpstr>
      <vt:lpstr>Sales</vt:lpstr>
      <vt:lpstr>Salesall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怡君 陳</dc:creator>
  <cp:lastModifiedBy>怡君 陳</cp:lastModifiedBy>
  <dcterms:created xsi:type="dcterms:W3CDTF">2026-03-15T06:36:37Z</dcterms:created>
  <dcterms:modified xsi:type="dcterms:W3CDTF">2026-03-22T07:30:46Z</dcterms:modified>
</cp:coreProperties>
</file>